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Hull\Book2j\Italiano\Docente\4_Tests\"/>
    </mc:Choice>
  </mc:AlternateContent>
  <bookViews>
    <workbookView xWindow="0" yWindow="0" windowWidth="28800" windowHeight="12210" tabRatio="698"/>
  </bookViews>
  <sheets>
    <sheet name="1" sheetId="16" r:id="rId1"/>
    <sheet name="2" sheetId="15" r:id="rId2"/>
    <sheet name="3" sheetId="13" r:id="rId3"/>
    <sheet name="4" sheetId="14" r:id="rId4"/>
    <sheet name="5" sheetId="12" r:id="rId5"/>
    <sheet name="6" sheetId="19" r:id="rId6"/>
    <sheet name="7" sheetId="11" r:id="rId7"/>
    <sheet name="8" sheetId="22" r:id="rId8"/>
    <sheet name="9" sheetId="34" r:id="rId9"/>
    <sheet name="10" sheetId="10" r:id="rId10"/>
    <sheet name="11" sheetId="9" r:id="rId11"/>
    <sheet name="12" sheetId="8" r:id="rId12"/>
    <sheet name="13" sheetId="7" r:id="rId13"/>
    <sheet name="14" sheetId="31" r:id="rId14"/>
    <sheet name="15" sheetId="5" r:id="rId15"/>
    <sheet name="16" sheetId="23" r:id="rId16"/>
    <sheet name="17" sheetId="4" r:id="rId17"/>
    <sheet name="18" sheetId="20" r:id="rId18"/>
    <sheet name="19" sheetId="3" r:id="rId19"/>
    <sheet name="20" sheetId="2" r:id="rId20"/>
    <sheet name="21" sheetId="18" r:id="rId21"/>
    <sheet name="22" sheetId="1" r:id="rId22"/>
    <sheet name="23" sheetId="32" r:id="rId23"/>
    <sheet name="24" sheetId="30" r:id="rId24"/>
    <sheet name="25" sheetId="26" r:id="rId25"/>
    <sheet name="26" sheetId="27" r:id="rId26"/>
    <sheet name="Risposte" sheetId="24" r:id="rId27"/>
  </sheets>
  <definedNames>
    <definedName name="_xlnm.Print_Area" localSheetId="0">'1'!$A$1:$P$274</definedName>
    <definedName name="_xlnm.Print_Area" localSheetId="9">'10'!$A$1:$P$240</definedName>
    <definedName name="_xlnm.Print_Area" localSheetId="10">'11'!$A$1:$P$259</definedName>
    <definedName name="_xlnm.Print_Area" localSheetId="11">'12'!$A$1:$P$249</definedName>
    <definedName name="_xlnm.Print_Area" localSheetId="12">'13'!$A$1:$P$357</definedName>
    <definedName name="_xlnm.Print_Area" localSheetId="13">'14'!$A$1:$P$281</definedName>
    <definedName name="_xlnm.Print_Area" localSheetId="14">'15'!$A$1:$Q$261</definedName>
    <definedName name="_xlnm.Print_Area" localSheetId="15">'16'!$A$1:$P$204</definedName>
    <definedName name="_xlnm.Print_Area" localSheetId="16">'17'!$A$1:$P$335</definedName>
    <definedName name="_xlnm.Print_Area" localSheetId="17">'18'!$A$1:$P$264</definedName>
    <definedName name="_xlnm.Print_Area" localSheetId="18">'19'!$A$1:$P$247</definedName>
    <definedName name="_xlnm.Print_Area" localSheetId="1">'2'!$A$1:$P$250</definedName>
    <definedName name="_xlnm.Print_Area" localSheetId="19">'20'!$A$1:$Q$230</definedName>
    <definedName name="_xlnm.Print_Area" localSheetId="20">'21'!$A$1:$P$233</definedName>
    <definedName name="_xlnm.Print_Area" localSheetId="21">'22'!$A$1:$P$238</definedName>
    <definedName name="_xlnm.Print_Area" localSheetId="22">'23'!$A$1:$P$259</definedName>
    <definedName name="_xlnm.Print_Area" localSheetId="23">'24'!$A$1:$P$238</definedName>
    <definedName name="_xlnm.Print_Area" localSheetId="24">'25'!$A$1:$P$213</definedName>
    <definedName name="_xlnm.Print_Area" localSheetId="25">'26'!$A$1:$P$223</definedName>
    <definedName name="_xlnm.Print_Area" localSheetId="2">'3'!$A$1:$P$275</definedName>
    <definedName name="_xlnm.Print_Area" localSheetId="3">'4'!$A$1:$R$275</definedName>
    <definedName name="_xlnm.Print_Area" localSheetId="4">'5'!$A$1:$P$259</definedName>
    <definedName name="_xlnm.Print_Area" localSheetId="5">'6'!$A$1:$P$266</definedName>
    <definedName name="_xlnm.Print_Area" localSheetId="6">'7'!$A$1:$P$255</definedName>
    <definedName name="_xlnm.Print_Area" localSheetId="7">'8'!$A$1:$P$301</definedName>
    <definedName name="_xlnm.Print_Area" localSheetId="8">'9'!$A$1:$P$218</definedName>
    <definedName name="_xlnm.Print_Area" localSheetId="26">Risposte!$A$1:$BY$27</definedName>
    <definedName name="_xlnm.Print_Titles" localSheetId="0">'1'!$1:$2</definedName>
    <definedName name="_xlnm.Print_Titles" localSheetId="9">'10'!$1:$2</definedName>
    <definedName name="_xlnm.Print_Titles" localSheetId="10">'11'!$1:$2</definedName>
    <definedName name="_xlnm.Print_Titles" localSheetId="11">'12'!$1:$2</definedName>
    <definedName name="_xlnm.Print_Titles" localSheetId="12">'13'!$1:$2</definedName>
    <definedName name="_xlnm.Print_Titles" localSheetId="13">'14'!$1:$2</definedName>
    <definedName name="_xlnm.Print_Titles" localSheetId="14">'15'!$1:$2</definedName>
    <definedName name="_xlnm.Print_Titles" localSheetId="15">'16'!$1:$2</definedName>
    <definedName name="_xlnm.Print_Titles" localSheetId="16">'17'!$1:$2</definedName>
    <definedName name="_xlnm.Print_Titles" localSheetId="17">'18'!$1:$2</definedName>
    <definedName name="_xlnm.Print_Titles" localSheetId="18">'19'!$1:$2</definedName>
    <definedName name="_xlnm.Print_Titles" localSheetId="1">'2'!$1:$2</definedName>
    <definedName name="_xlnm.Print_Titles" localSheetId="19">'20'!$1:$2</definedName>
    <definedName name="_xlnm.Print_Titles" localSheetId="20">'21'!$1:$2</definedName>
    <definedName name="_xlnm.Print_Titles" localSheetId="21">'22'!$1:$2</definedName>
    <definedName name="_xlnm.Print_Titles" localSheetId="22">'23'!$1:$2</definedName>
    <definedName name="_xlnm.Print_Titles" localSheetId="23">'24'!$1:$2</definedName>
    <definedName name="_xlnm.Print_Titles" localSheetId="24">'25'!$1:$2</definedName>
    <definedName name="_xlnm.Print_Titles" localSheetId="25">'26'!$1:$2</definedName>
    <definedName name="_xlnm.Print_Titles" localSheetId="2">'3'!$1:$2</definedName>
    <definedName name="_xlnm.Print_Titles" localSheetId="3">'4'!$1:$2</definedName>
    <definedName name="_xlnm.Print_Titles" localSheetId="4">'5'!$1:$2</definedName>
    <definedName name="_xlnm.Print_Titles" localSheetId="5">'6'!$1:$2</definedName>
    <definedName name="_xlnm.Print_Titles" localSheetId="6">'7'!$1:$2</definedName>
    <definedName name="_xlnm.Print_Titles" localSheetId="7">'8'!$1:$2</definedName>
    <definedName name="_xlnm.Print_Titles" localSheetId="8">'9'!$1:$2</definedName>
  </definedNames>
  <calcPr calcId="162913"/>
</workbook>
</file>

<file path=xl/calcChain.xml><?xml version="1.0" encoding="utf-8"?>
<calcChain xmlns="http://schemas.openxmlformats.org/spreadsheetml/2006/main">
  <c r="C211" i="11" l="1"/>
  <c r="B211" i="11"/>
  <c r="B234" i="19"/>
  <c r="B235" i="19" s="1"/>
  <c r="C58" i="27"/>
  <c r="Z20" i="24" l="1"/>
  <c r="Z19" i="24"/>
  <c r="Z18" i="24"/>
  <c r="Z17" i="24"/>
  <c r="Z16" i="24"/>
  <c r="Z15" i="24"/>
  <c r="Z14" i="24"/>
  <c r="Z13" i="24"/>
  <c r="Z12" i="24"/>
  <c r="Z11" i="24"/>
  <c r="Z10" i="24"/>
  <c r="Z9" i="24"/>
  <c r="Z8" i="24"/>
  <c r="Z7" i="24"/>
  <c r="Z6" i="24"/>
  <c r="Z5" i="24"/>
  <c r="Z4" i="24"/>
  <c r="Z3" i="24"/>
  <c r="Z2" i="24"/>
  <c r="Z1" i="24"/>
  <c r="B87" i="34" l="1"/>
  <c r="B71" i="34"/>
  <c r="BY20" i="24" l="1"/>
  <c r="BY19" i="24"/>
  <c r="BY18" i="24"/>
  <c r="BY17" i="24"/>
  <c r="BY16" i="24"/>
  <c r="BY15" i="24"/>
  <c r="BY14" i="24"/>
  <c r="BY13" i="24"/>
  <c r="BY12" i="24"/>
  <c r="BY11" i="24"/>
  <c r="BY10" i="24"/>
  <c r="BY9" i="24"/>
  <c r="BY8" i="24"/>
  <c r="BY7" i="24"/>
  <c r="BY6" i="24"/>
  <c r="BY5" i="24"/>
  <c r="BY4" i="24"/>
  <c r="BY3" i="24"/>
  <c r="BY2" i="24"/>
  <c r="BY1" i="24"/>
  <c r="BV20" i="24"/>
  <c r="BV19" i="24"/>
  <c r="BV18" i="24"/>
  <c r="BV17" i="24"/>
  <c r="BV16" i="24"/>
  <c r="BV15" i="24"/>
  <c r="BV14" i="24"/>
  <c r="BV13" i="24"/>
  <c r="BV12" i="24"/>
  <c r="BV11" i="24"/>
  <c r="BV10" i="24"/>
  <c r="BV9" i="24"/>
  <c r="BV8" i="24"/>
  <c r="BV7" i="24"/>
  <c r="BV6" i="24"/>
  <c r="BV5" i="24"/>
  <c r="BV4" i="24"/>
  <c r="BV3" i="24"/>
  <c r="BV2" i="24"/>
  <c r="BV1" i="24"/>
  <c r="BS20" i="24"/>
  <c r="BS19" i="24"/>
  <c r="BS18" i="24"/>
  <c r="BS17" i="24"/>
  <c r="BS16" i="24"/>
  <c r="BS15" i="24"/>
  <c r="BS14" i="24"/>
  <c r="BS13" i="24"/>
  <c r="BS12" i="24"/>
  <c r="BS11" i="24"/>
  <c r="BS10" i="24"/>
  <c r="BS9" i="24"/>
  <c r="BS8" i="24"/>
  <c r="BS7" i="24"/>
  <c r="BS6" i="24"/>
  <c r="BS5" i="24"/>
  <c r="BS4" i="24"/>
  <c r="BS3" i="24"/>
  <c r="BS2" i="24"/>
  <c r="BS1" i="24"/>
  <c r="BP20" i="24"/>
  <c r="BP19" i="24"/>
  <c r="BP18" i="24"/>
  <c r="BP17" i="24"/>
  <c r="BP16" i="24"/>
  <c r="BP15" i="24"/>
  <c r="BP14" i="24"/>
  <c r="BP13" i="24"/>
  <c r="BP12" i="24"/>
  <c r="BP11" i="24"/>
  <c r="BP10" i="24"/>
  <c r="BP9" i="24"/>
  <c r="BP8" i="24"/>
  <c r="BP7" i="24"/>
  <c r="BP6" i="24"/>
  <c r="BP5" i="24"/>
  <c r="BP4" i="24"/>
  <c r="BP3" i="24"/>
  <c r="BP2" i="24"/>
  <c r="BP1" i="24"/>
  <c r="BM20" i="24"/>
  <c r="BM19" i="24"/>
  <c r="BM18" i="24"/>
  <c r="BM17" i="24"/>
  <c r="BM16" i="24"/>
  <c r="BM15" i="24"/>
  <c r="BM14" i="24"/>
  <c r="BM13" i="24"/>
  <c r="BM12" i="24"/>
  <c r="BM11" i="24"/>
  <c r="BM10" i="24"/>
  <c r="BM9" i="24"/>
  <c r="BM8" i="24"/>
  <c r="BM7" i="24"/>
  <c r="BM6" i="24"/>
  <c r="BM5" i="24"/>
  <c r="BM4" i="24"/>
  <c r="BM3" i="24"/>
  <c r="BM2" i="24"/>
  <c r="BM1" i="24"/>
  <c r="BJ20" i="24"/>
  <c r="BJ19" i="24"/>
  <c r="BJ18" i="24"/>
  <c r="BJ17" i="24"/>
  <c r="BJ16" i="24"/>
  <c r="BJ15" i="24"/>
  <c r="BJ14" i="24"/>
  <c r="BJ13" i="24"/>
  <c r="BJ12" i="24"/>
  <c r="BJ11" i="24"/>
  <c r="BJ10" i="24"/>
  <c r="BJ9" i="24"/>
  <c r="BJ8" i="24"/>
  <c r="BJ7" i="24"/>
  <c r="BJ6" i="24"/>
  <c r="BJ5" i="24"/>
  <c r="BJ4" i="24"/>
  <c r="BJ3" i="24"/>
  <c r="BJ2" i="24"/>
  <c r="BJ1" i="24"/>
  <c r="BG20" i="24"/>
  <c r="BG19" i="24"/>
  <c r="BG18" i="24"/>
  <c r="BG17" i="24"/>
  <c r="BG16" i="24"/>
  <c r="BG15" i="24"/>
  <c r="BG14" i="24"/>
  <c r="BG13" i="24"/>
  <c r="BG12" i="24"/>
  <c r="BG11" i="24"/>
  <c r="BG10" i="24"/>
  <c r="BG9" i="24"/>
  <c r="BG8" i="24"/>
  <c r="BG7" i="24"/>
  <c r="BG6" i="24"/>
  <c r="BG5" i="24"/>
  <c r="BG4" i="24"/>
  <c r="BG3" i="24"/>
  <c r="BG2" i="24"/>
  <c r="BG1" i="24"/>
  <c r="BD20" i="24"/>
  <c r="BD19" i="24"/>
  <c r="BD18" i="24"/>
  <c r="BD17" i="24"/>
  <c r="BD16" i="24"/>
  <c r="BD15" i="24"/>
  <c r="BD14" i="24"/>
  <c r="BD13" i="24"/>
  <c r="BD12" i="24"/>
  <c r="BD11" i="24"/>
  <c r="BD10" i="24"/>
  <c r="BD9" i="24"/>
  <c r="BD8" i="24"/>
  <c r="BD7" i="24"/>
  <c r="BD6" i="24"/>
  <c r="BD5" i="24"/>
  <c r="BD4" i="24"/>
  <c r="BD3" i="24"/>
  <c r="BD2" i="24"/>
  <c r="BD1" i="24"/>
  <c r="BA20" i="24"/>
  <c r="BA19" i="24"/>
  <c r="BA18" i="24"/>
  <c r="BA17" i="24"/>
  <c r="BA16" i="24"/>
  <c r="BA15" i="24"/>
  <c r="BA14" i="24"/>
  <c r="BA13" i="24"/>
  <c r="BA12" i="24"/>
  <c r="BA11" i="24"/>
  <c r="BA10" i="24"/>
  <c r="BA9" i="24"/>
  <c r="BA8" i="24"/>
  <c r="BA7" i="24"/>
  <c r="BA6" i="24"/>
  <c r="BA5" i="24"/>
  <c r="BA4" i="24"/>
  <c r="BA3" i="24"/>
  <c r="BA2" i="24"/>
  <c r="BA1" i="24"/>
  <c r="AX20" i="24"/>
  <c r="AX19" i="24"/>
  <c r="AX18" i="24"/>
  <c r="AX17" i="24"/>
  <c r="AX16" i="24"/>
  <c r="AX15" i="24"/>
  <c r="AX14" i="24"/>
  <c r="AX13" i="24"/>
  <c r="AX12" i="24"/>
  <c r="AX11" i="24"/>
  <c r="AX10" i="24"/>
  <c r="AX9" i="24"/>
  <c r="AX8" i="24"/>
  <c r="AX7" i="24"/>
  <c r="AX6" i="24"/>
  <c r="AX5" i="24"/>
  <c r="AX4" i="24"/>
  <c r="AX3" i="24"/>
  <c r="AX2" i="24"/>
  <c r="AX1" i="24"/>
  <c r="AU20" i="24"/>
  <c r="AU19" i="24"/>
  <c r="AU18" i="24"/>
  <c r="AU17" i="24"/>
  <c r="AU16" i="24"/>
  <c r="AU15" i="24"/>
  <c r="AU14" i="24"/>
  <c r="AU13" i="24"/>
  <c r="AU12" i="24"/>
  <c r="AU11" i="24"/>
  <c r="AU10" i="24"/>
  <c r="AU9" i="24"/>
  <c r="AU8" i="24"/>
  <c r="AU7" i="24"/>
  <c r="AU6" i="24"/>
  <c r="AU5" i="24"/>
  <c r="AU4" i="24"/>
  <c r="AU3" i="24"/>
  <c r="AU2" i="24"/>
  <c r="AU1" i="24"/>
  <c r="AR20" i="24"/>
  <c r="AR19" i="24"/>
  <c r="AR18" i="24"/>
  <c r="AR17" i="24"/>
  <c r="AR16" i="24"/>
  <c r="AR15" i="24"/>
  <c r="AR14" i="24"/>
  <c r="AR13" i="24"/>
  <c r="AR12" i="24"/>
  <c r="AR11" i="24"/>
  <c r="AR10" i="24"/>
  <c r="AR9" i="24"/>
  <c r="AR8" i="24"/>
  <c r="AR7" i="24"/>
  <c r="AR6" i="24"/>
  <c r="AR5" i="24"/>
  <c r="AR4" i="24"/>
  <c r="AR3" i="24"/>
  <c r="AR2" i="24"/>
  <c r="AR1" i="24"/>
  <c r="AO20" i="24" l="1"/>
  <c r="AO19" i="24"/>
  <c r="AO18" i="24"/>
  <c r="AO17" i="24"/>
  <c r="AO16" i="24"/>
  <c r="AO15" i="24"/>
  <c r="AO14" i="24"/>
  <c r="AO13" i="24"/>
  <c r="AO12" i="24"/>
  <c r="AO11" i="24"/>
  <c r="AO10" i="24"/>
  <c r="AO9" i="24"/>
  <c r="AO8" i="24"/>
  <c r="AO7" i="24"/>
  <c r="AO6" i="24"/>
  <c r="AO5" i="24"/>
  <c r="AO4" i="24"/>
  <c r="AO3" i="24"/>
  <c r="AO2" i="24"/>
  <c r="AO1" i="24"/>
  <c r="AL20" i="24"/>
  <c r="AL19" i="24"/>
  <c r="AL18" i="24"/>
  <c r="AL17" i="24"/>
  <c r="AL16" i="24"/>
  <c r="AL15" i="24"/>
  <c r="AL14" i="24"/>
  <c r="AL13" i="24"/>
  <c r="AL12" i="24"/>
  <c r="AL11" i="24"/>
  <c r="AL10" i="24"/>
  <c r="AL9" i="24"/>
  <c r="AL8" i="24"/>
  <c r="AL7" i="24"/>
  <c r="AL6" i="24"/>
  <c r="AL5" i="24"/>
  <c r="AL4" i="24"/>
  <c r="AL3" i="24"/>
  <c r="AL2" i="24"/>
  <c r="AL1" i="24"/>
  <c r="AI20" i="24"/>
  <c r="C248" i="8"/>
  <c r="B248" i="8"/>
  <c r="D248" i="8" s="1"/>
  <c r="C247" i="8"/>
  <c r="B247" i="8"/>
  <c r="AI19" i="24"/>
  <c r="AI18" i="24"/>
  <c r="AI17" i="24"/>
  <c r="AI16" i="24"/>
  <c r="AI15" i="24"/>
  <c r="AI14" i="24"/>
  <c r="AI13" i="24"/>
  <c r="AI12" i="24"/>
  <c r="AI11" i="24"/>
  <c r="AI10" i="24"/>
  <c r="AI9" i="24"/>
  <c r="AI8" i="24"/>
  <c r="AI7" i="24"/>
  <c r="AI6" i="24"/>
  <c r="AI5" i="24"/>
  <c r="AI4" i="24"/>
  <c r="AI3" i="24"/>
  <c r="AI2" i="24"/>
  <c r="AI1" i="24"/>
  <c r="AF20" i="24"/>
  <c r="AF19" i="24"/>
  <c r="AF18" i="24"/>
  <c r="AF17" i="24"/>
  <c r="AF16" i="24"/>
  <c r="AF15" i="24"/>
  <c r="AF14" i="24"/>
  <c r="AF13" i="24"/>
  <c r="AF12" i="24"/>
  <c r="AF11" i="24"/>
  <c r="AF10" i="24"/>
  <c r="AF9" i="24"/>
  <c r="AF8" i="24"/>
  <c r="AF7" i="24"/>
  <c r="AF6" i="24"/>
  <c r="AF5" i="24"/>
  <c r="AF4" i="24"/>
  <c r="AF3" i="24"/>
  <c r="AF2" i="24"/>
  <c r="AF1" i="24"/>
  <c r="AC20" i="24"/>
  <c r="AC19" i="24"/>
  <c r="AC18" i="24"/>
  <c r="AC17" i="24"/>
  <c r="AC16" i="24"/>
  <c r="AC15" i="24"/>
  <c r="AC14" i="24"/>
  <c r="AC13" i="24"/>
  <c r="AC12" i="24"/>
  <c r="AC11" i="24"/>
  <c r="AC10" i="24"/>
  <c r="AC9" i="24"/>
  <c r="AC8" i="24"/>
  <c r="AC7" i="24"/>
  <c r="AC6" i="24"/>
  <c r="AC5" i="24"/>
  <c r="AC4" i="24"/>
  <c r="AC3" i="24"/>
  <c r="AC2" i="24"/>
  <c r="AC1" i="24"/>
  <c r="W20" i="24"/>
  <c r="W19" i="24"/>
  <c r="W18" i="24"/>
  <c r="W17" i="24"/>
  <c r="W16" i="24"/>
  <c r="W15" i="24"/>
  <c r="W14" i="24"/>
  <c r="W13" i="24"/>
  <c r="W12" i="24"/>
  <c r="W11" i="24"/>
  <c r="W10" i="24"/>
  <c r="W9" i="24"/>
  <c r="W8" i="24"/>
  <c r="W7" i="24"/>
  <c r="W6" i="24"/>
  <c r="W5" i="24"/>
  <c r="W4" i="24"/>
  <c r="W3" i="24"/>
  <c r="W2" i="24"/>
  <c r="W1" i="24"/>
  <c r="AA26" i="24"/>
  <c r="AA25" i="24"/>
  <c r="AA24" i="24"/>
  <c r="AA23" i="24"/>
  <c r="Z26" i="24"/>
  <c r="Z25" i="24"/>
  <c r="Z24" i="24"/>
  <c r="Z23" i="24"/>
  <c r="Y26" i="24"/>
  <c r="Y25" i="24"/>
  <c r="Y24" i="24"/>
  <c r="Y23" i="24"/>
  <c r="X26" i="24"/>
  <c r="X25" i="24"/>
  <c r="X24" i="24"/>
  <c r="X23" i="24"/>
  <c r="W26" i="24"/>
  <c r="W25" i="24"/>
  <c r="W24" i="24"/>
  <c r="W23" i="24"/>
  <c r="V26" i="24"/>
  <c r="V25" i="24"/>
  <c r="V24" i="24"/>
  <c r="V23" i="24"/>
  <c r="U26" i="24"/>
  <c r="U25" i="24"/>
  <c r="U24" i="24"/>
  <c r="U23" i="24"/>
  <c r="T26" i="24"/>
  <c r="T25" i="24"/>
  <c r="T24" i="24"/>
  <c r="T23" i="24"/>
  <c r="S26" i="24"/>
  <c r="S25" i="24"/>
  <c r="S24" i="24"/>
  <c r="S23" i="24"/>
  <c r="R26" i="24"/>
  <c r="R25" i="24"/>
  <c r="R24" i="24"/>
  <c r="R23" i="24"/>
  <c r="Q26" i="24"/>
  <c r="Q25" i="24"/>
  <c r="Q24" i="24"/>
  <c r="Q23" i="24"/>
  <c r="P26" i="24"/>
  <c r="P25" i="24"/>
  <c r="P24" i="24"/>
  <c r="P23" i="24"/>
  <c r="J26" i="24"/>
  <c r="J25" i="24"/>
  <c r="J24" i="24"/>
  <c r="J23" i="24"/>
  <c r="T20" i="24"/>
  <c r="T19" i="24"/>
  <c r="T18" i="24"/>
  <c r="T17" i="24"/>
  <c r="T16" i="24"/>
  <c r="T15" i="24"/>
  <c r="T14" i="24"/>
  <c r="T13" i="24"/>
  <c r="T12" i="24"/>
  <c r="T11" i="24"/>
  <c r="T10" i="24"/>
  <c r="T9" i="24"/>
  <c r="T8" i="24"/>
  <c r="T7" i="24"/>
  <c r="T6" i="24"/>
  <c r="T5" i="24"/>
  <c r="T4" i="24"/>
  <c r="T3" i="24"/>
  <c r="T2" i="24"/>
  <c r="T1" i="24"/>
  <c r="Q20" i="24"/>
  <c r="Q19" i="24"/>
  <c r="Q18" i="24"/>
  <c r="Q17" i="24"/>
  <c r="Q16" i="24"/>
  <c r="Q15" i="24"/>
  <c r="Q14" i="24"/>
  <c r="Q13" i="24"/>
  <c r="Q12" i="24"/>
  <c r="Q11" i="24"/>
  <c r="Q10" i="24"/>
  <c r="Q9" i="24"/>
  <c r="Q8" i="24"/>
  <c r="Q7" i="24"/>
  <c r="Q6" i="24"/>
  <c r="Q5" i="24"/>
  <c r="Q4" i="24"/>
  <c r="Q3" i="24"/>
  <c r="Q2" i="24"/>
  <c r="Q1" i="24"/>
  <c r="N19" i="24"/>
  <c r="N20" i="24"/>
  <c r="N18" i="24"/>
  <c r="N17" i="24"/>
  <c r="N16" i="24"/>
  <c r="N15" i="24"/>
  <c r="N14" i="24"/>
  <c r="N13" i="24"/>
  <c r="N12" i="24"/>
  <c r="N11" i="24"/>
  <c r="N10" i="24"/>
  <c r="N9" i="24"/>
  <c r="N8" i="24"/>
  <c r="N7" i="24"/>
  <c r="N6" i="24"/>
  <c r="N5" i="24"/>
  <c r="N4" i="24"/>
  <c r="N3" i="24"/>
  <c r="N2" i="24"/>
  <c r="N1" i="24"/>
  <c r="K20" i="24"/>
  <c r="K19" i="24"/>
  <c r="K18" i="24"/>
  <c r="K17" i="24"/>
  <c r="K16" i="24"/>
  <c r="K15" i="24"/>
  <c r="K14" i="24"/>
  <c r="K13" i="24"/>
  <c r="K12" i="24"/>
  <c r="K11" i="24"/>
  <c r="K10" i="24"/>
  <c r="K9" i="24"/>
  <c r="K8" i="24"/>
  <c r="K7" i="24"/>
  <c r="K6" i="24"/>
  <c r="K5" i="24"/>
  <c r="K4" i="24"/>
  <c r="K3" i="24"/>
  <c r="K2" i="24"/>
  <c r="K1" i="24"/>
  <c r="H20" i="24"/>
  <c r="H19" i="24"/>
  <c r="H18" i="24"/>
  <c r="H17" i="24"/>
  <c r="H16" i="24"/>
  <c r="H15" i="24"/>
  <c r="H14" i="24"/>
  <c r="H13" i="24"/>
  <c r="H12" i="24"/>
  <c r="H11" i="24"/>
  <c r="H10" i="24"/>
  <c r="H9" i="24"/>
  <c r="H8" i="24"/>
  <c r="H7" i="24"/>
  <c r="H6" i="24"/>
  <c r="H5" i="24"/>
  <c r="H4" i="24"/>
  <c r="H3" i="24"/>
  <c r="H2" i="24"/>
  <c r="H1" i="24"/>
  <c r="E20" i="24"/>
  <c r="E19" i="24"/>
  <c r="E18" i="24"/>
  <c r="E17" i="24"/>
  <c r="E16" i="24"/>
  <c r="E15" i="24"/>
  <c r="E14" i="24"/>
  <c r="E13" i="24"/>
  <c r="E12" i="24"/>
  <c r="E11" i="24"/>
  <c r="E10" i="24"/>
  <c r="E9" i="24"/>
  <c r="E8" i="24"/>
  <c r="E7" i="24"/>
  <c r="E6" i="24"/>
  <c r="E5" i="24"/>
  <c r="E4" i="24"/>
  <c r="E3" i="24"/>
  <c r="E2" i="24"/>
  <c r="E1" i="24"/>
  <c r="B20" i="24"/>
  <c r="B19" i="24"/>
  <c r="B18" i="24"/>
  <c r="B17" i="24"/>
  <c r="B16" i="24"/>
  <c r="B15" i="24"/>
  <c r="B14" i="24"/>
  <c r="B13" i="24"/>
  <c r="B12" i="24"/>
  <c r="B11" i="24"/>
  <c r="B10" i="24"/>
  <c r="B9" i="24"/>
  <c r="B8" i="24"/>
  <c r="B7" i="24"/>
  <c r="B6" i="24"/>
  <c r="B5" i="24"/>
  <c r="B4" i="24"/>
  <c r="B3" i="24"/>
  <c r="B2" i="24"/>
  <c r="B1" i="24"/>
  <c r="B172" i="27"/>
  <c r="B171" i="27"/>
  <c r="O26" i="24" l="1"/>
  <c r="W27" i="24"/>
  <c r="O23" i="24"/>
  <c r="M24" i="24"/>
  <c r="N25" i="24"/>
  <c r="D247" i="8"/>
  <c r="B249" i="8" s="1"/>
  <c r="D26" i="24"/>
  <c r="M23" i="24"/>
  <c r="K24" i="24"/>
  <c r="Q27" i="24"/>
  <c r="E23" i="24"/>
  <c r="F26" i="24"/>
  <c r="R27" i="24"/>
  <c r="K25" i="24"/>
  <c r="D23" i="24"/>
  <c r="D25" i="24"/>
  <c r="E26" i="24"/>
  <c r="U27" i="24"/>
  <c r="C24" i="24"/>
  <c r="B26" i="24"/>
  <c r="G24" i="24"/>
  <c r="G26" i="24"/>
  <c r="AA27" i="24"/>
  <c r="F23" i="24"/>
  <c r="E25" i="24"/>
  <c r="X27" i="24"/>
  <c r="F24" i="24"/>
  <c r="F25" i="24"/>
  <c r="E24" i="24"/>
  <c r="G23" i="24"/>
  <c r="Y27" i="24"/>
  <c r="G25" i="24"/>
  <c r="Z27" i="24"/>
  <c r="B23" i="24"/>
  <c r="B24" i="24"/>
  <c r="T27" i="24"/>
  <c r="B25" i="24"/>
  <c r="C23" i="24"/>
  <c r="C25" i="24"/>
  <c r="H25" i="24"/>
  <c r="C26" i="24"/>
  <c r="D24" i="24"/>
  <c r="D27" i="24" s="1"/>
  <c r="P27" i="24"/>
  <c r="V27" i="24"/>
  <c r="K26" i="24"/>
  <c r="S27" i="24"/>
  <c r="H26" i="24"/>
  <c r="H23" i="24"/>
  <c r="H24" i="24"/>
  <c r="J27" i="24"/>
  <c r="O25" i="24"/>
  <c r="O24" i="24"/>
  <c r="N24" i="24"/>
  <c r="N23" i="24"/>
  <c r="N26" i="24"/>
  <c r="M25" i="24"/>
  <c r="M26" i="24"/>
  <c r="L25" i="24"/>
  <c r="L26" i="24"/>
  <c r="L24" i="24"/>
  <c r="L23" i="24"/>
  <c r="K23" i="24"/>
  <c r="I26" i="24"/>
  <c r="I25" i="24"/>
  <c r="I24" i="24"/>
  <c r="I23" i="24"/>
  <c r="B112" i="26"/>
  <c r="B225" i="30"/>
  <c r="B227" i="30" s="1"/>
  <c r="B224" i="30"/>
  <c r="B226" i="30" s="1"/>
  <c r="B228" i="30" s="1"/>
  <c r="B91" i="30"/>
  <c r="B54" i="30"/>
  <c r="B55" i="30" s="1"/>
  <c r="B249" i="32"/>
  <c r="B221" i="32"/>
  <c r="B222" i="32" s="1"/>
  <c r="B223" i="32" s="1"/>
  <c r="B202" i="32"/>
  <c r="B203" i="32" s="1"/>
  <c r="B185" i="32"/>
  <c r="B186" i="32" s="1"/>
  <c r="B124" i="32"/>
  <c r="B126" i="32" s="1"/>
  <c r="B73" i="32"/>
  <c r="B54" i="32"/>
  <c r="B55" i="32" s="1"/>
  <c r="B37" i="32"/>
  <c r="B38" i="32" s="1"/>
  <c r="B102" i="1"/>
  <c r="B100" i="1"/>
  <c r="B99" i="1"/>
  <c r="B45" i="1"/>
  <c r="B46" i="1" s="1"/>
  <c r="B28" i="1"/>
  <c r="E179" i="18"/>
  <c r="E178" i="18"/>
  <c r="B179" i="18"/>
  <c r="B178" i="18"/>
  <c r="B180" i="18" s="1"/>
  <c r="B161" i="18"/>
  <c r="B15" i="18"/>
  <c r="F228" i="2"/>
  <c r="F227" i="2"/>
  <c r="D230" i="2"/>
  <c r="C230" i="2"/>
  <c r="B163" i="2"/>
  <c r="G230" i="2" l="1"/>
  <c r="O27" i="24"/>
  <c r="F230" i="2"/>
  <c r="E27" i="24"/>
  <c r="M27" i="24"/>
  <c r="K27" i="24"/>
  <c r="L27" i="24"/>
  <c r="B27" i="24"/>
  <c r="N27" i="24"/>
  <c r="F27" i="24"/>
  <c r="I27" i="24"/>
  <c r="C27" i="24"/>
  <c r="G27" i="24"/>
  <c r="H27" i="24"/>
  <c r="AC26" i="24"/>
  <c r="AC24" i="24"/>
  <c r="AC25" i="24"/>
  <c r="AC23" i="24"/>
  <c r="B223" i="3"/>
  <c r="B227" i="3" s="1"/>
  <c r="B207" i="3"/>
  <c r="B183" i="3"/>
  <c r="B168" i="3"/>
  <c r="B264" i="20"/>
  <c r="B209" i="20"/>
  <c r="B212" i="20" s="1"/>
  <c r="B126" i="20"/>
  <c r="B125" i="20"/>
  <c r="B103" i="20"/>
  <c r="B102" i="20"/>
  <c r="B81" i="20"/>
  <c r="B80" i="20"/>
  <c r="B293" i="4"/>
  <c r="B294" i="4" s="1"/>
  <c r="B292" i="4"/>
  <c r="B291" i="4"/>
  <c r="B266" i="4"/>
  <c r="B267" i="4" s="1"/>
  <c r="B264" i="4"/>
  <c r="B235" i="4"/>
  <c r="B213" i="4"/>
  <c r="B135" i="4"/>
  <c r="B111" i="4"/>
  <c r="B88" i="4"/>
  <c r="B67" i="4"/>
  <c r="B217" i="4" l="1"/>
  <c r="B218" i="4" s="1"/>
  <c r="B219" i="4" s="1"/>
  <c r="AC27" i="24"/>
  <c r="AD25" i="24" s="1"/>
  <c r="B211" i="20"/>
  <c r="B213" i="20"/>
  <c r="B214" i="20" s="1"/>
  <c r="B104" i="20"/>
  <c r="B82" i="20"/>
  <c r="B127" i="20"/>
  <c r="B265" i="4"/>
  <c r="B239" i="4"/>
  <c r="B240" i="4" s="1"/>
  <c r="B241" i="4" s="1"/>
  <c r="B260" i="5"/>
  <c r="B261" i="5" s="1"/>
  <c r="D243" i="5"/>
  <c r="D244" i="5" s="1"/>
  <c r="E243" i="5"/>
  <c r="E244" i="5" s="1"/>
  <c r="F243" i="5"/>
  <c r="F244" i="5" s="1"/>
  <c r="G243" i="5"/>
  <c r="G244" i="5" s="1"/>
  <c r="C243" i="5"/>
  <c r="C244" i="5" s="1"/>
  <c r="B224" i="5"/>
  <c r="B226" i="5" s="1"/>
  <c r="B202" i="5"/>
  <c r="B204" i="5" s="1"/>
  <c r="B152" i="5"/>
  <c r="B153" i="5" s="1"/>
  <c r="B134" i="5"/>
  <c r="B248" i="31"/>
  <c r="B247" i="31"/>
  <c r="B157" i="31"/>
  <c r="B158" i="31" s="1"/>
  <c r="B56" i="31"/>
  <c r="B60" i="31" s="1"/>
  <c r="B58" i="31"/>
  <c r="B19" i="31"/>
  <c r="B39" i="31"/>
  <c r="B40" i="31"/>
  <c r="B38" i="31"/>
  <c r="B317" i="7"/>
  <c r="A307" i="7"/>
  <c r="B285" i="7"/>
  <c r="B287" i="7" s="1"/>
  <c r="B288" i="7" s="1"/>
  <c r="B289" i="7" s="1"/>
  <c r="B267" i="7"/>
  <c r="B269" i="7" s="1"/>
  <c r="B236" i="7"/>
  <c r="A226" i="7"/>
  <c r="C224" i="7" s="1"/>
  <c r="A192" i="7"/>
  <c r="C194" i="7" s="1"/>
  <c r="E196" i="7" s="1"/>
  <c r="E197" i="7" s="1"/>
  <c r="B202" i="7"/>
  <c r="B207" i="7" s="1"/>
  <c r="B109" i="7"/>
  <c r="B108" i="7"/>
  <c r="B87" i="7"/>
  <c r="B86" i="7"/>
  <c r="B65" i="7"/>
  <c r="B64" i="7"/>
  <c r="B42" i="7"/>
  <c r="B41" i="7"/>
  <c r="C224" i="8"/>
  <c r="B224" i="8"/>
  <c r="C227" i="8" s="1"/>
  <c r="D226" i="8"/>
  <c r="C226" i="8"/>
  <c r="B226" i="8"/>
  <c r="C202" i="8"/>
  <c r="D202" i="8"/>
  <c r="B202" i="8"/>
  <c r="B200" i="8"/>
  <c r="C203" i="8" s="1"/>
  <c r="B179" i="8"/>
  <c r="B245" i="5" l="1"/>
  <c r="B246" i="5" s="1"/>
  <c r="B68" i="7"/>
  <c r="B69" i="7" s="1"/>
  <c r="E226" i="8"/>
  <c r="D227" i="8"/>
  <c r="B321" i="7"/>
  <c r="B322" i="7" s="1"/>
  <c r="C309" i="7" s="1"/>
  <c r="E311" i="7" s="1"/>
  <c r="E312" i="7" s="1"/>
  <c r="B205" i="5"/>
  <c r="B206" i="5" s="1"/>
  <c r="B112" i="7"/>
  <c r="B113" i="7" s="1"/>
  <c r="B227" i="5"/>
  <c r="B228" i="5" s="1"/>
  <c r="B227" i="8"/>
  <c r="E202" i="8"/>
  <c r="D203" i="8"/>
  <c r="B203" i="8"/>
  <c r="AD26" i="24"/>
  <c r="AD23" i="24"/>
  <c r="AD24" i="24"/>
  <c r="B128" i="20"/>
  <c r="B249" i="31"/>
  <c r="B59" i="31"/>
  <c r="E226" i="7"/>
  <c r="E227" i="7" s="1"/>
  <c r="E222" i="7"/>
  <c r="E223" i="7" s="1"/>
  <c r="C228" i="7"/>
  <c r="E230" i="7" s="1"/>
  <c r="E231" i="7" s="1"/>
  <c r="B241" i="7"/>
  <c r="B89" i="7"/>
  <c r="C190" i="7"/>
  <c r="B45" i="7"/>
  <c r="B238" i="9"/>
  <c r="B237" i="9"/>
  <c r="B218" i="9"/>
  <c r="B201" i="9"/>
  <c r="B323" i="7" l="1"/>
  <c r="C305" i="7"/>
  <c r="E307" i="7" s="1"/>
  <c r="E308" i="7" s="1"/>
  <c r="E227" i="8"/>
  <c r="B228" i="8" s="1"/>
  <c r="E203" i="8"/>
  <c r="B204" i="8" s="1"/>
  <c r="C229" i="7"/>
  <c r="AD27" i="24"/>
  <c r="C225" i="7"/>
  <c r="E192" i="7"/>
  <c r="E193" i="7" s="1"/>
  <c r="C195" i="7" s="1"/>
  <c r="E188" i="7"/>
  <c r="E189" i="7" s="1"/>
  <c r="B82" i="9"/>
  <c r="B100" i="9"/>
  <c r="B217" i="10"/>
  <c r="B189" i="10"/>
  <c r="B58" i="10"/>
  <c r="A58" i="10"/>
  <c r="D258" i="22"/>
  <c r="C258" i="22"/>
  <c r="F258" i="22" s="1"/>
  <c r="B258" i="22"/>
  <c r="C254" i="22"/>
  <c r="C253" i="22"/>
  <c r="C252" i="22"/>
  <c r="C255" i="22" s="1"/>
  <c r="D228" i="22"/>
  <c r="C228" i="22"/>
  <c r="E228" i="22" s="1"/>
  <c r="B228" i="22"/>
  <c r="C224" i="22"/>
  <c r="C223" i="22"/>
  <c r="C222" i="22"/>
  <c r="C225" i="22" s="1"/>
  <c r="D115" i="22"/>
  <c r="C115" i="22"/>
  <c r="F115" i="22" s="1"/>
  <c r="B115" i="22"/>
  <c r="C111" i="22"/>
  <c r="C110" i="22"/>
  <c r="C109" i="22"/>
  <c r="C112" i="22" s="1"/>
  <c r="G56" i="22"/>
  <c r="E56" i="22"/>
  <c r="D86" i="22"/>
  <c r="C86" i="22"/>
  <c r="G86" i="22" s="1"/>
  <c r="B86" i="22"/>
  <c r="C82" i="22"/>
  <c r="C81" i="22"/>
  <c r="C80" i="22"/>
  <c r="C83" i="22" s="1"/>
  <c r="C208" i="11"/>
  <c r="B208" i="11"/>
  <c r="D179" i="11"/>
  <c r="D182" i="11" s="1"/>
  <c r="C179" i="11"/>
  <c r="C182" i="11" s="1"/>
  <c r="B179" i="11"/>
  <c r="B182" i="11" s="1"/>
  <c r="E195" i="19"/>
  <c r="C195" i="19"/>
  <c r="D195" i="19"/>
  <c r="B195" i="19"/>
  <c r="E194" i="19"/>
  <c r="D194" i="19"/>
  <c r="C194" i="19"/>
  <c r="B194" i="19"/>
  <c r="B134" i="19"/>
  <c r="B54" i="19"/>
  <c r="C191" i="7" l="1"/>
  <c r="A193" i="7" s="1"/>
  <c r="B208" i="7" s="1"/>
  <c r="C310" i="7"/>
  <c r="E303" i="7"/>
  <c r="E304" i="7" s="1"/>
  <c r="C306" i="7" s="1"/>
  <c r="A308" i="7" s="1"/>
  <c r="B324" i="7" s="1"/>
  <c r="E196" i="19"/>
  <c r="E197" i="19" s="1"/>
  <c r="C196" i="19"/>
  <c r="C197" i="19" s="1"/>
  <c r="B196" i="19"/>
  <c r="D196" i="19"/>
  <c r="D197" i="19" s="1"/>
  <c r="B210" i="11"/>
  <c r="B212" i="11" s="1"/>
  <c r="B213" i="11" s="1"/>
  <c r="A227" i="7"/>
  <c r="B242" i="7" s="1"/>
  <c r="E182" i="11"/>
  <c r="B183" i="11" s="1"/>
  <c r="C210" i="11"/>
  <c r="G258" i="22"/>
  <c r="E258" i="22"/>
  <c r="F228" i="22"/>
  <c r="G228" i="22"/>
  <c r="F86" i="22"/>
  <c r="G115" i="22"/>
  <c r="E115" i="22"/>
  <c r="E86" i="22"/>
  <c r="B72" i="12"/>
  <c r="B73" i="12" s="1"/>
  <c r="B273" i="14"/>
  <c r="B274" i="14"/>
  <c r="F196" i="19" l="1"/>
  <c r="C212" i="11"/>
  <c r="C213" i="11" s="1"/>
  <c r="D213" i="11" s="1"/>
  <c r="B275" i="14"/>
  <c r="B197" i="19"/>
  <c r="F197" i="19" s="1"/>
  <c r="A180" i="14"/>
  <c r="B159" i="14"/>
  <c r="B161" i="14" s="1"/>
  <c r="C273" i="13"/>
  <c r="B275" i="13" s="1"/>
  <c r="B274" i="13"/>
  <c r="C64" i="13"/>
  <c r="C42" i="13"/>
  <c r="B126" i="13"/>
  <c r="B219" i="15"/>
  <c r="B263" i="16"/>
  <c r="B211" i="16"/>
  <c r="B192" i="16"/>
  <c r="B173" i="16"/>
  <c r="B154" i="16"/>
  <c r="B104" i="16"/>
  <c r="B56" i="16"/>
  <c r="E18" i="30"/>
  <c r="H17" i="30"/>
  <c r="B177" i="4"/>
  <c r="B156" i="4"/>
  <c r="B46" i="5"/>
  <c r="B48" i="5" s="1"/>
  <c r="C13" i="11"/>
  <c r="B17" i="11" s="1"/>
  <c r="B137" i="19"/>
  <c r="B68" i="19"/>
  <c r="B69" i="19"/>
  <c r="B70" i="19"/>
  <c r="B71" i="19"/>
  <c r="B33" i="19"/>
  <c r="B119" i="12"/>
  <c r="B122" i="12" s="1"/>
  <c r="B74" i="12"/>
  <c r="B104" i="13"/>
  <c r="B82" i="13"/>
  <c r="A144" i="15"/>
  <c r="A132" i="15"/>
  <c r="B112" i="15"/>
  <c r="H18" i="30"/>
  <c r="E17" i="30"/>
  <c r="H16" i="30"/>
  <c r="E16" i="30"/>
  <c r="H15" i="30"/>
  <c r="K15" i="30"/>
  <c r="E15" i="30"/>
  <c r="B20" i="31"/>
  <c r="B134" i="31"/>
  <c r="B226" i="31"/>
  <c r="B20" i="7"/>
  <c r="B46" i="26"/>
  <c r="B101" i="1"/>
  <c r="B103" i="18"/>
  <c r="B17" i="3"/>
  <c r="B53" i="15"/>
  <c r="B74" i="15"/>
  <c r="B43" i="13"/>
  <c r="B65" i="13"/>
  <c r="B32" i="12"/>
  <c r="B49" i="12"/>
  <c r="B92" i="12"/>
  <c r="B97" i="19"/>
  <c r="B19" i="7"/>
  <c r="B83" i="3"/>
  <c r="C56" i="22"/>
  <c r="B39" i="16"/>
  <c r="B74" i="14"/>
  <c r="B95" i="14"/>
  <c r="B115" i="14"/>
  <c r="B57" i="14"/>
  <c r="B41" i="14"/>
  <c r="B26" i="14"/>
  <c r="B40" i="10"/>
  <c r="A40" i="10"/>
  <c r="B180" i="9"/>
  <c r="B198" i="19" l="1"/>
  <c r="K17" i="30"/>
  <c r="K16" i="30"/>
  <c r="B103" i="1"/>
  <c r="B23" i="7"/>
  <c r="B105" i="20"/>
  <c r="K18" i="30"/>
</calcChain>
</file>

<file path=xl/sharedStrings.xml><?xml version="1.0" encoding="utf-8"?>
<sst xmlns="http://schemas.openxmlformats.org/spreadsheetml/2006/main" count="5419" uniqueCount="4027">
  <si>
    <t>Ogni contratto è scritto su 100 once d’oro e il margine iniziale è di $2.000 per contratto. Il margine di mantenimento è di $1.500 per contratto.</t>
  </si>
  <si>
    <t>Nel corso del giorno successivo il prezzo futures passa a $1.012 per oncia. Qual è il saldo del vostro deposito di garanzia dopo 1 giorno?</t>
  </si>
  <si>
    <t>Margine di man.</t>
  </si>
  <si>
    <t>Saldo</t>
  </si>
  <si>
    <t>ρ</t>
  </si>
  <si>
    <t>(d) Nessuna delle precedenti risposte è corretta.</t>
  </si>
  <si>
    <t>Size</t>
  </si>
  <si>
    <t>Capitolo 3 Strategie di Copertura mediante Futures</t>
  </si>
  <si>
    <t>Capitolo 1 Introduzione</t>
  </si>
  <si>
    <t>Capitolo 4 Tassi d’Interesse</t>
  </si>
  <si>
    <t>Capitolo 5 Determinazione dei Prezzi Forward e dei Prezzi Futures</t>
  </si>
  <si>
    <t>Capitolo 6 Futures su Tassi d’Interesse</t>
  </si>
  <si>
    <t>Capitolo 7 Swaps</t>
  </si>
  <si>
    <t>x</t>
  </si>
  <si>
    <t>lambda</t>
  </si>
  <si>
    <t>(d) È meno probabile che la banca subisca perdite sul mutuo.</t>
  </si>
  <si>
    <t xml:space="preserve">Il tasso d’interesse privo di rischio in dollari è del 5 per cento annuo e il tasso privo di rischio estero è del 3 per cento annuo. </t>
  </si>
  <si>
    <t>(c) Le opzioni asiatiche sono opzioni negoziate in Estremo Oriente.</t>
  </si>
  <si>
    <t>(a) Il valore aumenta.</t>
  </si>
  <si>
    <t>(b) Il valore diminuisce.</t>
  </si>
  <si>
    <t>(c) Il valore resta inalterato.</t>
  </si>
  <si>
    <t>(d) Il valore può aumentare o diminuire.</t>
  </si>
  <si>
    <t>(a) $0.</t>
  </si>
  <si>
    <t>(b) $5.</t>
  </si>
  <si>
    <t>(c) $10.</t>
  </si>
  <si>
    <t>(d) $15.</t>
  </si>
  <si>
    <t>23.2</t>
  </si>
  <si>
    <t>24.2</t>
  </si>
  <si>
    <t>(a) 50</t>
  </si>
  <si>
    <t>(b) 75</t>
  </si>
  <si>
    <t>(c) 100</t>
  </si>
  <si>
    <t>(d) 125</t>
  </si>
  <si>
    <t>(a) A o migliore.</t>
  </si>
  <si>
    <t>(b) BBB o migliore.</t>
  </si>
  <si>
    <t>(c) BB o inferiore.</t>
  </si>
  <si>
    <t>(d) BBB o inferiore.</t>
  </si>
  <si>
    <t>Payoff</t>
  </si>
  <si>
    <t>(a) $100 milioni.</t>
  </si>
  <si>
    <t>(b) $30 milioni.</t>
  </si>
  <si>
    <t>(c) $130 milioni.</t>
  </si>
  <si>
    <t>(d) $70 milioni.</t>
  </si>
  <si>
    <t>6.9. Un portafoglio ha un valore corrente di $24.000.000 e una duration di 5,5 anni. Il prezzo corrente del futures su T-Notes è di $110 ed ogni contratto è scritto su titoli con un valore nominale di $100.000.</t>
  </si>
  <si>
    <t>2.4. Una società entra in un contratto futures corto per vendere 50.000 libbre di cotone a ¢70 per libbra. Il margine iniziale è di $4.000 ed il margine di mantenimento è di $3.000.</t>
  </si>
  <si>
    <t>Quale prezzo futures del petrolio consentirà di prelevare $2.000 dal conto di deposito?</t>
  </si>
  <si>
    <t>2.6. Sul floor di una borsa viene negoziato un contratto che serve ad entrambe le controparti per chiudere le posizioni in essere. Come si modifica l’open interest?</t>
  </si>
  <si>
    <t>AA o migliore.</t>
  </si>
  <si>
    <t>A o migliore.</t>
  </si>
  <si>
    <t>BBB o migliore.</t>
  </si>
  <si>
    <t>BB o migliore.</t>
  </si>
  <si>
    <t>(a) Il valore del titolo immediatamente dopo l’insolvenza, espresso in rapporto al valore nominale.</t>
  </si>
  <si>
    <t>(b) Il valore del titolo immediatamente dopo l’insolvenza, espresso in rapporto alla somma del valore nominale e del rateo d’interessi maturato.</t>
  </si>
  <si>
    <t>(c) Il valore del titolo realizzato alla fine dall’investitore, espresso in rapporto al valore nominale.</t>
  </si>
  <si>
    <t>(d) Il valore del titolo realizzato alla fine dall’investitore, espresso in rapporto alla somma del valore nominale e del rateo d’interessi maturato.</t>
  </si>
  <si>
    <t>put</t>
  </si>
  <si>
    <t>call</t>
  </si>
  <si>
    <t>u</t>
  </si>
  <si>
    <t>q</t>
  </si>
  <si>
    <t>b</t>
  </si>
  <si>
    <t>a</t>
  </si>
  <si>
    <t>(c) Il modello della copula Gaussiana assume che il numero delle insolvenze si distribuisca in modo normale.</t>
  </si>
  <si>
    <t>(a) 200 punti base.</t>
  </si>
  <si>
    <t>(b) 150 punti base.</t>
  </si>
  <si>
    <t>(c) 100 punti base.</t>
  </si>
  <si>
    <t>(d) 50 punti base.</t>
  </si>
  <si>
    <t>(a) Effettivi / 360.</t>
  </si>
  <si>
    <t>(b) Effettivi / effettivi.</t>
  </si>
  <si>
    <t>(c) 30 /360.</t>
  </si>
  <si>
    <t>(d) Effettivi /365.</t>
  </si>
  <si>
    <t>Prezzo effettivo</t>
  </si>
  <si>
    <t>(c) La possibilità di effettuare la consegna in un qualsiasi giorno del mese di consegna.</t>
  </si>
  <si>
    <t>(d) La possibilità di modificare il tasso d’interesse utilizzato per il calcolo dei fattori di conversione.</t>
  </si>
  <si>
    <t>Variazione</t>
  </si>
  <si>
    <t>Delta</t>
  </si>
  <si>
    <t>Gamma</t>
  </si>
  <si>
    <t>opz_delta</t>
  </si>
  <si>
    <t>opz_gamma</t>
  </si>
  <si>
    <t>D</t>
  </si>
  <si>
    <t>(d) gamma</t>
  </si>
  <si>
    <t>(a) Quando alla CBOE viene esercitata un’opzione sull’IBM, l’IBM emette nuove azioni.</t>
  </si>
  <si>
    <t>(b) Le opzioni americane possono essere esercitate in qualsiasi momento della loro vita.</t>
  </si>
  <si>
    <t>(a)</t>
  </si>
  <si>
    <t>Posizione</t>
  </si>
  <si>
    <t>K</t>
  </si>
  <si>
    <t>T</t>
  </si>
  <si>
    <t>Profitto</t>
  </si>
  <si>
    <t>n</t>
  </si>
  <si>
    <t>c</t>
  </si>
  <si>
    <t>p</t>
  </si>
  <si>
    <t>(b)</t>
  </si>
  <si>
    <t>Quale prezzo del cotone farà scattare una richiesta di integrazione dei margini?</t>
  </si>
  <si>
    <t>Dimensione</t>
  </si>
  <si>
    <t>Margine iniziale</t>
  </si>
  <si>
    <t>Margine di mantenimento</t>
  </si>
  <si>
    <t>Prelievo</t>
  </si>
  <si>
    <t>(a) La parte con la posizione lunga.</t>
  </si>
  <si>
    <t>(b) La parte con la posizione corta.</t>
  </si>
  <si>
    <t>(c) Ognuna delle due parti può specificare la data di consegna.</t>
  </si>
  <si>
    <t>(d) L’esatta data di consegna viene specificata dalla borsa.</t>
  </si>
  <si>
    <t>(c)</t>
  </si>
  <si>
    <t>r</t>
  </si>
  <si>
    <t>R</t>
  </si>
  <si>
    <t>m</t>
  </si>
  <si>
    <t>d</t>
  </si>
  <si>
    <t>h</t>
  </si>
  <si>
    <t>P</t>
  </si>
  <si>
    <t>beta</t>
  </si>
  <si>
    <t>Size futures</t>
  </si>
  <si>
    <t>B</t>
  </si>
  <si>
    <t>L</t>
  </si>
  <si>
    <t>y</t>
  </si>
  <si>
    <t>(d)</t>
  </si>
  <si>
    <t>Qual è il prezzo effettivo?</t>
  </si>
  <si>
    <t>Last coupon</t>
  </si>
  <si>
    <t>Next coupon</t>
  </si>
  <si>
    <t>Clean price</t>
  </si>
  <si>
    <t>coupon rate</t>
  </si>
  <si>
    <t>fattore di conversione:</t>
  </si>
  <si>
    <t>Gross basis</t>
  </si>
  <si>
    <t xml:space="preserve">(b) </t>
  </si>
  <si>
    <t>Prezzo quotato:</t>
  </si>
  <si>
    <t xml:space="preserve">(d) </t>
  </si>
  <si>
    <t>Thick value</t>
  </si>
  <si>
    <t>punti base</t>
  </si>
  <si>
    <t>Posiz. 1</t>
  </si>
  <si>
    <t>Posiz. 2</t>
  </si>
  <si>
    <t>anni</t>
  </si>
  <si>
    <t>lim. inf.</t>
  </si>
  <si>
    <t>α</t>
  </si>
  <si>
    <t>t</t>
  </si>
  <si>
    <t>(a) Di solito, le probabilità neutrali verso il rischio sono molto più basse delle probabilità effettive.</t>
  </si>
  <si>
    <t>(b) Di solito, le probabilità neutrali verso il rischio sono molto più alte delle probabilità effettive.</t>
  </si>
  <si>
    <t>(c) Affinché non vi siano opportunità d’arbitraggio, le probabilità neutrali verso il rischio devono essere molto vicine alle probabilità effettive.</t>
  </si>
  <si>
    <t xml:space="preserve">2.5. Una società entra in un contratto futures lungo per acquistare 1.000 barili di petrolio a $60 per barile. Il margine iniziale è di $6.000 ed il margine di mantenimento è di $4.000. </t>
  </si>
  <si>
    <t>(a) Non c’è nessuna variazione.</t>
  </si>
  <si>
    <t>(b) Scende di 1 unità.</t>
  </si>
  <si>
    <t>(c) Scende di due unità.</t>
  </si>
  <si>
    <t>(d) Aumenta di 1 unità.</t>
  </si>
  <si>
    <t>(a) L’indice S&amp;P 500.</t>
  </si>
  <si>
    <t>(b) Il dollaro canadese.</t>
  </si>
  <si>
    <t>(c) Il rame.</t>
  </si>
  <si>
    <t>(d) Le azioni IBM.</t>
  </si>
  <si>
    <t>(a) Comprare una put e vendere una call scritte sulla valuta estera. Il prezzo d’esercizio del-la put deve essere più elevato di quello della call.</t>
  </si>
  <si>
    <t>(d) nessuna delle precedenti risposte è corretta.</t>
  </si>
  <si>
    <t xml:space="preserve">6.2. È il 1° maggio. Il prezzo quotato di un Treasury bond, con valore nominale di $100 e tasso cedolare del 12 per cento pagabile due volte l’anno (il 1° aprile e il 1° ottobre), è di $105. </t>
  </si>
  <si>
    <t>6.4. Il prezzo quotato dei futures su Treasury bonds è di $103,5. Quale dei seguenti titoli è il cheapest to deliver?</t>
  </si>
  <si>
    <t>Lim. inf.</t>
  </si>
  <si>
    <t>(a) Il tasso di rendimento dell’azione nel prossimo istante di tempo si distribuisce in modo log-normale.</t>
  </si>
  <si>
    <t>(b) Il prezzo dell’azione in un futuro istante di tempo si distribuisce in modo log-normale.</t>
  </si>
  <si>
    <t>(c) Il prezzo dell’azione in un futuro istante di tempo si distribuisce in modo normale.</t>
  </si>
  <si>
    <t>(a) 1983</t>
  </si>
  <si>
    <t>(b) 1984</t>
  </si>
  <si>
    <t>(c) 1974</t>
  </si>
  <si>
    <t>(d) 1973</t>
  </si>
  <si>
    <t>(a) La deviazione standard del tasso di rendimento a 1 anno, composto continuamente.</t>
  </si>
  <si>
    <t>(b) La varianza del tasso di rendimento a 1 anno, composto continuamente.</t>
  </si>
  <si>
    <t>(c) La deviazione standard del prezzo dell’azione tra 1 anno.</t>
  </si>
  <si>
    <t>(d) La varianza del prezzo dell’azione tra 1 anno.</t>
  </si>
  <si>
    <t>(a) $0,38.</t>
  </si>
  <si>
    <t>(b) $2,77.</t>
  </si>
  <si>
    <t>(c) $3,02.</t>
  </si>
  <si>
    <t>(d) $0,76.</t>
  </si>
  <si>
    <t>(a) 365</t>
  </si>
  <si>
    <t>(b) 252</t>
  </si>
  <si>
    <t>(c) 262</t>
  </si>
  <si>
    <t>(d) 272</t>
  </si>
  <si>
    <t>(d) le volatilità storiche delle opzioni sullo S&amp;P 500.</t>
  </si>
  <si>
    <t>25.2</t>
  </si>
  <si>
    <t>Solo una delle seguenti affermazioni è corretta. Quale?</t>
  </si>
  <si>
    <t>Perdite
sul portafoglio di mutui subprime</t>
  </si>
  <si>
    <t>Perdite
sulla mezzanine tranche dell’ABS</t>
  </si>
  <si>
    <t>Perdite sull'ABS CDO</t>
  </si>
  <si>
    <t>equity tranche</t>
  </si>
  <si>
    <t xml:space="preserve">mezzanine tranche </t>
  </si>
  <si>
    <t>senior tranche</t>
  </si>
  <si>
    <t>Perdite
sull'equity tranche dell’ABS</t>
  </si>
  <si>
    <t>Perdite
sulla senior tranche dell’ABS</t>
  </si>
  <si>
    <t>(d) L’aumento dei pignoramenti immobiliari.</t>
  </si>
  <si>
    <t>(a) In caso d’insolvenza, la banca può disporre della casa e rifarsi sugli altri beni del debitore.</t>
  </si>
  <si>
    <t>N</t>
  </si>
  <si>
    <t>(a) Il theta è la derivata del delta rispetto al prezzo del sottostante.</t>
  </si>
  <si>
    <t>(b) Il theta è la derivata del valore del portafoglio rispetto al tempo.</t>
  </si>
  <si>
    <t>(c) Il theta è la derivata del valore del portafoglio rispetto al tasso d’interesse.</t>
  </si>
  <si>
    <t>(a) Il gamma è la derivata del delta rispetto al prezzo del sottostante.</t>
  </si>
  <si>
    <t>(b) Il gamma è la derivata del valore del portafoglio rispetto al tempo.</t>
  </si>
  <si>
    <t>(c) Il gamma è la derivata del valore del portafoglio rispetto al tasso d’interesse.</t>
  </si>
  <si>
    <t>(a) Il vega è la derivata del delta rispetto al prezzo del sottostante.</t>
  </si>
  <si>
    <t>(b) Il vega è la derivata del valore del portafoglio rispetto al tempo.</t>
  </si>
  <si>
    <t>(c) Il vega è la derivata del valore del portafoglio rispetto al tasso d’interesse.</t>
  </si>
  <si>
    <t xml:space="preserve">lunga su </t>
  </si>
  <si>
    <t xml:space="preserve"> opzioni</t>
  </si>
  <si>
    <t>σ</t>
  </si>
  <si>
    <t>Secondo la tecnica della variabile di controllo, qual è il valore dell’opzione americana?</t>
  </si>
  <si>
    <t>(b) Il mutuatario ha un opzione put di tipo americano scritta sulla casa.</t>
  </si>
  <si>
    <t>(c) Il mutuatario ha un opzione put di tipo europeo scritta sulla casa.</t>
  </si>
  <si>
    <t>1.1. I forwards a 1 anno sono contratti in cui una parte ha</t>
  </si>
  <si>
    <t>(a) il diritto di comprare il sottostante, tra un anno, a un prezzo prefissato;</t>
  </si>
  <si>
    <t>(b)  l’obbligo di comprare il sottostante, tra un anno, a un prezzo prefissato;</t>
  </si>
  <si>
    <t>(c) l’obbligo di comprare il sottostante, entro un anno, a un prezzo prefissato;</t>
  </si>
  <si>
    <t>(d) l’obbligo di comprare il sottostante, tra un anno, al prezzo di mercato.</t>
  </si>
  <si>
    <t>I forwards a 1 anno sono contratti in cui una parte si impegna a comprare e l’altra a vendere il sottostante, tra 1 anno, a un prezzo prefissato.</t>
  </si>
  <si>
    <t xml:space="preserve"> Invece, le opzioni sono contratti in cui una delle due parti acquista il diritto di comprare o vendere il sottostante.</t>
  </si>
  <si>
    <t>1.2. Solo una delle seguenti affermazioni non è corretta. Quale?</t>
  </si>
  <si>
    <t xml:space="preserve">Quando le calls su IBM vengono esercitate, chi le ha vendute acquista sul mercato le azioni da consegnare a chi detiene le calls. </t>
  </si>
  <si>
    <t>IBM non è coinvolta in alcun modo. Le affermazioni sub (b), (c) e (d) sono tutte corrette.</t>
  </si>
  <si>
    <t>1.3. Una call ad 1 anno, con prezzo d’esercizio di $30, costa $3. Una put ad 1 anno, con prezzo d’esercizio di $30, scritta sulla stessa azione costa $4. Supponete che un trader acquisti 2 calls e 1 put.</t>
  </si>
  <si>
    <t>1.4. Una call ad 1 anno, con prezzo d’esercizio di $30, costa $3. Una put ad 1 anno, con prezzo d’esercizio di $30, scritta sulla stessa azione costa $4. Supponete che un trader acquisti 2 calls e 1 put.</t>
  </si>
  <si>
    <t>(a) $35</t>
  </si>
  <si>
    <t>(b) $40</t>
  </si>
  <si>
    <t>(c) $30</t>
  </si>
  <si>
    <t>(d) $36</t>
  </si>
  <si>
    <t>(a) $25</t>
  </si>
  <si>
    <t>(b) $28</t>
  </si>
  <si>
    <t>(c) $26</t>
  </si>
  <si>
    <t>(d) $20</t>
  </si>
  <si>
    <t>(a) Il mercato di borsa è pari al doppio di quello OTC.</t>
  </si>
  <si>
    <t>(b) Il mercato OTC è pari al doppio di quello di borsa.</t>
  </si>
  <si>
    <t>1.6. Quale delle seguenti frasi descrive meglio il «prezzo a pronti» (spot price)?</t>
  </si>
  <si>
    <t>(a) Il prezzo per consegna immediata.</t>
  </si>
  <si>
    <t>(b) Il prezzo per consegna in una data futura.</t>
  </si>
  <si>
    <t>(c) Il prezzo di un’attività deteriorata.</t>
  </si>
  <si>
    <t>(d) Il prezzo per l’affitto di una certa attività.</t>
  </si>
  <si>
    <t>Il prezzo a pronti è il prezzo per consegna immediata. Il prezzo forward / futures è il prezzo per consegna in una data futura.</t>
  </si>
  <si>
    <t xml:space="preserve"> 1.7. Considerate un forward lungo. Solo una delle seguenti affermazioni è corretta. Quale?</t>
  </si>
  <si>
    <t>(a) Il valore del contratto aumenta quando il prezzo del sottostante diminuisce.</t>
  </si>
  <si>
    <t>(b) Il valore del contratto aumenta quando il prezzo del sottostante aumenta.</t>
  </si>
  <si>
    <t>(c) Il valore del contratto è nullo se il prezzo del sottostante diminuisce dopo che il contratto è stato negoziato.</t>
  </si>
  <si>
    <t>(d) Il valore del contratto è nullo se il prezzo del sottostante aumenta dopo che il contratto è stato negoziato.</t>
  </si>
  <si>
    <t xml:space="preserve">Il forward lungo è un contratto per l’acquisto del sottostante a un prezzo prefissato, in una data futura. aumenta. </t>
  </si>
  <si>
    <t>Il valore è nullo solo quando il prezzo prefissato nel contratto è uguale al prezzo forward corrente (uguaglianza che si osserva, di solito, nel momento in cui il contratto viene negoziato).</t>
  </si>
  <si>
    <t xml:space="preserve">1.8. Un investitore vende un futures quando il prezzo futures è pari a $1.500. Ogni contratto è scritto su 100 unità dell’attività sottostante. Il contratto viene chiuso quando il prezzo futures è pari a $1.540. </t>
  </si>
  <si>
    <t>(a) L’investitore guadagna $4.000.</t>
  </si>
  <si>
    <t>(b) L’investitore perde $4.000.</t>
  </si>
  <si>
    <t>(c) L’investitore guadagna $2.000.</t>
  </si>
  <si>
    <t>(d) L’investitore perde $2.000.</t>
  </si>
  <si>
    <t>Chi vende il futures guadagna quando il prezzo scende e perde quando il prezzo sale. Nell’esempio in questione, il prezzo sale da $1.500 a $1.540 e la perdita dell’investitore è pari a –$4.000 [ = ($1.500 – $1.540) × 100].</t>
  </si>
  <si>
    <t>Π</t>
  </si>
  <si>
    <t>1.9. Solo una delle seguenti frasi caratterizza le opzioni europee. Quale?</t>
  </si>
  <si>
    <t>(a) Vendute in Europa.</t>
  </si>
  <si>
    <t>(b) Valutate in euro.</t>
  </si>
  <si>
    <t>(c) Esercitabili solo a scadenza.</t>
  </si>
  <si>
    <t>(d) Solo di tipo call (non di tipo put).</t>
  </si>
  <si>
    <t xml:space="preserve">Le opzioni europee possono essere esercitate solo a scadenza, diversamente dalle opzioni americane che possono invece essere esercitate in un qualsiasi momento della loro vita. </t>
  </si>
  <si>
    <t xml:space="preserve">Il termine “europee” non ha nulla a che fare con la collocazione geografica, la valuta di denominazione o la tipologia di opzione (call o put). </t>
  </si>
  <si>
    <t>1.10. Solo una delle seguenti affermazioni non è corretta. Quale?</t>
  </si>
  <si>
    <t>(a) La call dà al possessore il diritto di comprare il sottostante a un certo prezzo, entro una certa data.</t>
  </si>
  <si>
    <t>(b) La put dà al possessore il diritto di vendere il sottostante a un certo prezzo, entro una certa data.</t>
  </si>
  <si>
    <t>(c) Chi detiene una call o una put deve esercitare il diritto d’acquisto o di vendita previsto dal contratto.</t>
  </si>
  <si>
    <t>(d) Chi detiene un forward è obbligato a comprare o a vendere il sottostante.</t>
  </si>
  <si>
    <t>Chi detiene una call o una put ha il diritto di esercitare l’opzione, non l’obbligo. Pertanto la risposta sub (c) non è corretta, mentre le risposte sub (a), (b) e (d) lo sono.</t>
  </si>
  <si>
    <t>1.11. Solo una delle seguenti affermazioni sulle opzioni call e put non è corretta. Quale?</t>
  </si>
  <si>
    <t>(a) Le opzioni americane possono essere esercitate in una qualsiasi momento della loro vita.</t>
  </si>
  <si>
    <t>(b) Le opzioni europee possono essere esercitate solo a scadenza.</t>
  </si>
  <si>
    <t>(c) Chi compra un’opzione deve pagare alla controparte un corrispettivo (il c.d. “premio”).</t>
  </si>
  <si>
    <t>(d) Il prezzo delle opzioni call cresce col crescere del prezzo d’esercizio.</t>
  </si>
  <si>
    <t>Le calls danno al possessore il diritto di comprare il sottostante al prezzo d’esercizio. Se il prezzo d’esercizio aumenta, l’opzione diventa meno interessante e il suo valore si riduce. Le affermazioni sub (a), (b) e (c) sono tutte corrette.</t>
  </si>
  <si>
    <t xml:space="preserve">1.12. Il 1° luglio, il prezzo corrente di un’azione è pari a $57. Un trader compra 100 opzioni call, con strike $60, scritte sull’azione quando il prezzo unitario delle calls è pari a $2. </t>
  </si>
  <si>
    <t>Le opzioni vengono esercitate quando il prezzo dell’azione sottostante è pari a $65. Qual è il profitto netto del trader?</t>
  </si>
  <si>
    <t>(a) $700</t>
  </si>
  <si>
    <t>(b) $500</t>
  </si>
  <si>
    <t>(c) $300</t>
  </si>
  <si>
    <t>(d) $600</t>
  </si>
  <si>
    <t>Il payoff delle calls è pari a $500 [= 100 × ($65 − $60)]. Il costo delle opzioni è pari a $200 (= $2 × 100). Pertanto, il profitto netto è pari a $300 (= $500 − $200).</t>
  </si>
  <si>
    <t xml:space="preserve">1.13. Il 1° febbraio, il prezzo corrente di un’azione è pari a $124. Un trader vende 200 opzioni put, con strike $120, scritte sull’azione quando il prezzo unitario delle puts è pari a $5. </t>
  </si>
  <si>
    <t>Le opzioni vengono esercitate quando il prezzo dell’azione sottostante è pari a $110. Qual è il profitto netto (o la perdita netta) del trader?</t>
  </si>
  <si>
    <t>(a) +$1.000</t>
  </si>
  <si>
    <t>(b) −$2.000</t>
  </si>
  <si>
    <t>(c) −$2.800</t>
  </si>
  <si>
    <t>(d) −$1.000</t>
  </si>
  <si>
    <t>Il payoff delle opzioni è pari a $2.000 [= 200 × ($120 − $110)]. Il premio originariamente incassato è pari a $1.000 (= $5 × 200). Pertanto, la perdita netta è pari a −$1.000 (= $1.000 − $2.000).</t>
  </si>
  <si>
    <t xml:space="preserve">1.14. Il 1° febbraio, il prezzo corrente di un’azione è pari a $84. Un trader compra 200 opzioni put, con strike $90, scritte sull’azione quando il prezzo unitario delle puts è pari a $10. </t>
  </si>
  <si>
    <t>Le opzioni vengono esercitate quando il prezzo dell’azione sottostante è pari a $85. Qual è il profitto netto (o la perdita netta) del trader?</t>
  </si>
  <si>
    <t>(a) −$1.000</t>
  </si>
  <si>
    <t>(c) +$200</t>
  </si>
  <si>
    <t>(d) +$1.000</t>
  </si>
  <si>
    <t>Il payoff delle puts è pari a $1.000 [= 200 × ($90 − $85)]. Il costo delle opzioni è pari a $2.000 (= $10 × 200). Pertanto, la perdita netta è pari a −$1.000 (= $1.000 − $2.000).</t>
  </si>
  <si>
    <t xml:space="preserve">1.15. Il 1° febbraio, il prezzo corrente di un’azione è pari a $48. Un trader vende 200 opzioni put, con strike $40, scritte sull’azione quando il prezzo unitario delle puts è pari a $2. </t>
  </si>
  <si>
    <t>Le opzioni vengono esercitate quando il prezzo dell’azione sottostante è pari a $39. Qual è il profitto netto (o la perdita netta) del trader?</t>
  </si>
  <si>
    <t>(a) −$800</t>
  </si>
  <si>
    <t>(b) −$200</t>
  </si>
  <si>
    <t>(d) −$900</t>
  </si>
  <si>
    <t>Il payoff delle opzioni è pari a $200 [= 200 × ($40 − $39)]. Il premio originariamente incassato è pari a $400 (= $2 × 200). Pertanto, il profitto netto è pari a +$200 (= $400 − $200).</t>
  </si>
  <si>
    <t xml:space="preserve">1.16. Uno speculatore deve decidere se acquistare 100 azioni al prezzo unitario di $40 o comprare 1.000 calls europee, con strike $45, scritte sull’azione quando il prezzo unitario delle opzioni è pari a $4. </t>
  </si>
  <si>
    <t>Alla data di scadenza delle calls, qual è il prezzo «soglia» dell’azione al di sopra del quale la seconda operazione risulta più conveniente?</t>
  </si>
  <si>
    <t>(a) $45</t>
  </si>
  <si>
    <t>(b) $46</t>
  </si>
  <si>
    <t>(c) $55</t>
  </si>
  <si>
    <t>(d) $50</t>
  </si>
  <si>
    <t xml:space="preserve">Se il prezzo dell’azione è pari a $50 {= [1.000 × ($45 + $4) − 100 × $40]/ (1.000 – 100)}, il payoff della prima operazione è pari a $5.000 (= 100 × $50). Anche il payoff della seconda operazione risulta pari a $5.000 [= 1.000 × ($50 − $45)]. </t>
  </si>
  <si>
    <t>Il costo di entrambe le operazioni è pari a $4.000 (= 100 × $40 = 1.000 × $4). Pertanto, le due operazioni sono ugualmente convenienti quando il prezzo finale dell’azione è pari a $50. Per prezzi dell’azione maggiori di $50, la seconda operazione risulta più conveniente.</t>
  </si>
  <si>
    <t>1.17. Una società sa che, in futuro, dovrà pagare un certo importo in valuta estera a uno dei suoi fornitori. Solo una delle seguenti affermazioni è corretta. Quale?</t>
  </si>
  <si>
    <t>(a) Per bloccare il tasso di cambio, la società può utilizzare un forward.</t>
  </si>
  <si>
    <t>(b) La performance di un forward sarà sempre migliore di quella di un’opzione.</t>
  </si>
  <si>
    <t>(c) La performance di un’opzione sarà sempre migliore di quella di un forward.</t>
  </si>
  <si>
    <t>(d) Per bloccare il tasso di cambio, la società può utilizzare un’opzione.</t>
  </si>
  <si>
    <t>I risultati che si ottengono con le opzioni sono a volte migliori e a volte peggiori di quelli che si ottengono con i forwards.</t>
  </si>
  <si>
    <t>1.18. Un forward corto più una call europea lunga, con strike pari al prezzo forward, equivale a</t>
  </si>
  <si>
    <t>(a) una call corta;</t>
  </si>
  <si>
    <t>(b) una put corta;</t>
  </si>
  <si>
    <t>(c) una put lunga;</t>
  </si>
  <si>
    <t>(d) nessuna delle precedenti.</t>
  </si>
  <si>
    <t xml:space="preserve">Il contratto forward assicura che il tasso di cambio effettivo sarà pari al tasso di cambio forward corrente. L’opzione assicura che il tasso di cambio non sarà peggiore di un certo livello, ma richiede il pagamento di un premio all’origine. </t>
  </si>
  <si>
    <t xml:space="preserve"> che equivale al payoff di una put lunga. La risposta corretta, sub (c), può anche essere ottenuta graficamente tracciando i payoffs del forward corto e della call europea lunga in funzione del prezzo finale del sottostante.</t>
  </si>
  <si>
    <t xml:space="preserve">1.19. Un trader gestisce un portafoglio che riflette la performance di un indice azionario. Il valore corrente del portafoglio è pari a $5 milioni e il prezzo spot dell’indice è pari a $1.250. </t>
  </si>
  <si>
    <t>Ogni index futures è scritto sul prodotto tra 250 e il prezzo spot dell’indice. Per rimuovere il rischio sistematico del portafoglio il trader dovrebbe</t>
  </si>
  <si>
    <t>(a) comprare 16 futures;</t>
  </si>
  <si>
    <t>(b) vendere 16 futures;</t>
  </si>
  <si>
    <t>(c) comprare 20 futures;</t>
  </si>
  <si>
    <t>(d) vendere 20 futures.</t>
  </si>
  <si>
    <t xml:space="preserve">Ogni futures consente di proteggere un portafoglio del valore di $312.500 (= 250 × $1.250). Pertanto, il numero di futures è pari a 16 (= $5.000.000 / $ 312.500). Per rimuovere il rischio sistematico si deve guadagnare quando il mercato scende. </t>
  </si>
  <si>
    <t>Pertanto, il trader deve vendere i futures. La risposta corretta è quindi quella sub (b).</t>
  </si>
  <si>
    <t>1.20. Quale delle seguenti frasi descrive meglio una central clearing party?</t>
  </si>
  <si>
    <t>(a) un trader che lavora per una borsa;</t>
  </si>
  <si>
    <t>(b) un organismo che si interpone tra due traders nel mercato OTC;</t>
  </si>
  <si>
    <t>(c) un trader che lavora per una banca;</t>
  </si>
  <si>
    <t>(d) un organismo che facilita la negoziazione di contratti futures.</t>
  </si>
  <si>
    <t xml:space="preserve">La «controparte per la compensazione centralizzata delle posizioni» (central clearing party - CCP) è una «stanza di compensazione» (clearinghouse) che si interpone tra due traders nel mercato OTC. </t>
  </si>
  <si>
    <t>Svolge le stesse funzioni delle clearinghouses di borsa. La risposta corretta è quindi quella sub (b).</t>
  </si>
  <si>
    <t>2.1. Solo una delle seguenti affermazioni è corretta. Quale?</t>
  </si>
  <si>
    <t>I futures vengono trattati solo in borsa. I forwards vengono trattati solo nei mercati OTC.</t>
  </si>
  <si>
    <t>2.2. Solo una delle seguenti affermazioni non è corretta. Quale?</t>
  </si>
  <si>
    <t>Spesso i contratti forward durano più a lungo dei contratti futures. Le affermazioni sub (b), (c) e (d) sono corrette.</t>
  </si>
  <si>
    <t>2.3. Nel contratto futures sul grano si possono consegnare diverse qualità di grano, in località diverse (con aggiustamenti di prezzo specificati dalla borsa). Solo una delle seguenti affermazioni è corretta. Quale?</t>
  </si>
  <si>
    <t xml:space="preserve">È la parte corta che sceglie tra le varie possibilità. La parte corta ha quindi un vantaggio rispetto alla controparte. Più basso è il prezzo futures, minore è l’interesse per il contratto da parte del venditore. </t>
  </si>
  <si>
    <t>Pertanto, il beneficio derivante dalla quality option viene compensato da un prezzo futures più basso rispetto a quello che si sarebbe altrimenti osservato.</t>
  </si>
  <si>
    <t xml:space="preserve">Ci sarà una richiesta di integrazione dei margini se si perdono più di $1.000 (= $4.000 − $3.000), ossia se il saldo del deposito di garanzia scende al di sotto del margine di mantenimento. </t>
  </si>
  <si>
    <t xml:space="preserve">Dato che la società è corta sul futures, l’aumento di ¢1 del prezzo futures comporta una perdita di $500 (= 50.000 × $0,01). Pertanto, l’aumento di ¢2 fa scattare una margin call. </t>
  </si>
  <si>
    <t>Il prezzo futures corrente è pari a ¢70. Ci sarà quindi una richiesta di integrazione dei margini se il prezzo futures supera i ¢72.</t>
  </si>
  <si>
    <t>(a) $58</t>
  </si>
  <si>
    <t>(b) $62</t>
  </si>
  <si>
    <t>(c) $64</t>
  </si>
  <si>
    <t>(d) $66</t>
  </si>
  <si>
    <t xml:space="preserve">Dal deposito di garanzia può essere prelevato il denaro in eccesso rispetto al margine iniziale. L’aumento di $1 del prezzo futures comporta un guadagno di $1.000 (= 1.000 × $1). Pertanto, l’aumento di $2 comporta un guadagno di $2.000 che può essere prelevato dal conto. </t>
  </si>
  <si>
    <t>L’open interest misura il numero delle posizioni in essere, lunghe o corte. Se entrambe le controparti chiudono un contratto, ci sarà una posizione lunga in meno e una posizione corta in meno. L’open interest scende quindi di 1 unità.</t>
  </si>
  <si>
    <t>2.7. Chi decide, in un contratto futures sul grano, quando effettuare la consegna? Solo una delle seguenti affermazioni è corretta. Quale?</t>
  </si>
  <si>
    <t>È la parte corta che dà inizio alla procedura per la consegna del grano inviando alla borsa un «avviso dell’intenzione di effettuare la consegna» (notice of intention to deliver). Sarà poi la borsa che sceglierà la parte lunga che dovrà accettare la consegna del grano.</t>
  </si>
  <si>
    <t>(a) $1.800</t>
  </si>
  <si>
    <t>(b) $3.300</t>
  </si>
  <si>
    <t>(c) $2.200</t>
  </si>
  <si>
    <t>(d) $3.700</t>
  </si>
  <si>
    <t>Il prezzo futures è aumentato di $2 (= $1.012 − $1.010). Dato che avete una posizione corta, perdete $200 (= 100 × $2). Pertanto, il saldo del deposito di garanzia scende da $2.000 a $1.800.</t>
  </si>
  <si>
    <t>(a) $0</t>
  </si>
  <si>
    <t>(b) $1.000</t>
  </si>
  <si>
    <t>(c) $3.000</t>
  </si>
  <si>
    <t>(d) $4.000</t>
  </si>
  <si>
    <t>2.11. La frequenza con cui viene aggiornato il saldo dei depositi di garanzia dei futures è</t>
  </si>
  <si>
    <t>(a) giornaliera;</t>
  </si>
  <si>
    <t>(b) settimanale;</t>
  </si>
  <si>
    <t>(c) mensile;</t>
  </si>
  <si>
    <t>(d) trimestrale.</t>
  </si>
  <si>
    <t>I guadagni e le perdite sui contratti futures vengono accreditati e addebitati giornalmente.</t>
  </si>
  <si>
    <t>2.12. Quali effetti comportano i depositi di garanzia previsti per i contratti futures?</t>
  </si>
  <si>
    <t>(a) Ridurre il rischio che una parte non onori gli impegni presi.</t>
  </si>
  <si>
    <t>(b) Assicurare la disponibilità dei fondi da versare ai traders che fanno profitti.</t>
  </si>
  <si>
    <t>(c) Ridurre il rischio sistemico di collasso dei mercati futures.</t>
  </si>
  <si>
    <t>(d) Tutte le precedenti affermazioni sono corrette.</t>
  </si>
  <si>
    <t xml:space="preserve">I depositi di garanzia riducono enormemente i rischi che una parte decida di «scappare» (walk away), non onorando gli impegni presi. Di conseguenza, i depositi di garanzia riducono il rischio che la clearinghouse non abbia fondi sufficienti da versare ai traders che fanno profitti. </t>
  </si>
  <si>
    <t>Inoltre, la minore probabilità di perdite causate dall’insolvenza delle controparti riduce il rischio sistemico.</t>
  </si>
  <si>
    <t>2.13. Negli Stati Uniti, qual è l’organismo che ha le principali responsabilità per la regolamentazione del mercato dei futures?</t>
  </si>
  <si>
    <t>(a) Federal Reserve Board</t>
  </si>
  <si>
    <t>(b) Commodities Futures Trading Commission (CFTC)</t>
  </si>
  <si>
    <t>(c) Security and Exchange Commission (SEC)</t>
  </si>
  <si>
    <t>(d) US Treasury</t>
  </si>
  <si>
    <t>Le principali responsabilità per la regolamentazione del mercato dei futures spettano alla CFTC.</t>
  </si>
  <si>
    <t>(a) maggiore;</t>
  </si>
  <si>
    <t>(b) minore;</t>
  </si>
  <si>
    <t>(c) uguale;</t>
  </si>
  <si>
    <t>(d) maggiore o minore, con uguale probabilità.</t>
  </si>
  <si>
    <t>I contratti prossimi alla scadenza sono quelli per i quali l’open interest è di solito più elevato. Tuttavia, nel corso del mese di scadenza l’open interest tende a ridursi.</t>
  </si>
  <si>
    <t>2.15. Solo una delle seguenti affermazioni riguardanti le clearinghouses è corretta. Quale?</t>
  </si>
  <si>
    <t>(a) Vengono a volte utilizzate nei mercati OTC, ma non sono mai utilizzate in borsa.</t>
  </si>
  <si>
    <t>(b) Vengono sempre utilizzate nei mercati OTC, ma mai in borsa.</t>
  </si>
  <si>
    <t>(c) Vengono a volte utilizzate nei mercati OTC, ma sono sempre utilizzate in borsa.</t>
  </si>
  <si>
    <t>(d) Vengono sempre utilizzate sia nei mercati OTC sia in borsa.</t>
  </si>
  <si>
    <t>Le clearinghouses sono sempre utilizzate in borsa. Nei mercati OTC è sempre più frequente l’utilizzo delle CCPs, che sono un tipo di clearinghouse.</t>
  </si>
  <si>
    <t>2.16. Un haircut del 20% vuol dire che</t>
  </si>
  <si>
    <t>(a) un’obbligazione con valore di mercato pari a $100 viene valutata $80 quando occorre far fronte a una richiesta di garanzie;</t>
  </si>
  <si>
    <t>(b) un’obbligazione con valore nominale pari a $100 viene valutata $80 quando occorre far fronte a una richiesta di garanzie;</t>
  </si>
  <si>
    <t>(c) un’obbligazione con valore di mercato pari a $100 viene valutata $83,3 quando occorre far fronte a una richiesta di garanzie;</t>
  </si>
  <si>
    <t>(d) un’obbligazione con valore nominale pari a $100 viene valutata $83,3 quando occorre far fronte a una richiesta di garanzie.</t>
  </si>
  <si>
    <t xml:space="preserve">L’haircut è la quota che viene detratta dal valore di mercato di un’attività finanziaria quando se ne determina il valore per fini di garanzia. Pertanto, la risposta corretta è quella sub (a). </t>
  </si>
  <si>
    <t>2.17. In caso di «compensazione bilaterale» (bilateral clearing) tra 4 dealers che negoziano l’uno con l’altro, il numero dei contratti da compensare è pari a</t>
  </si>
  <si>
    <t>(a) 12</t>
  </si>
  <si>
    <t>(b) 1</t>
  </si>
  <si>
    <t>(c) 6</t>
  </si>
  <si>
    <t>(d) 2</t>
  </si>
  <si>
    <t>Siano W, X, Y e Z i 4 dealers (n = 4). I contratti conclusi sono quelli tra W e X, W e Y, W e Z, X e Y, X e Z, Y e Z. Pertanto, il numero dei contratti da compensare è pari a 6.</t>
  </si>
  <si>
    <t>Contratti</t>
  </si>
  <si>
    <t>2.18. Quale delle seguenti frasi descrive meglio le central clearing parties?</t>
  </si>
  <si>
    <t>(a) Aiutano gli operatori a valutare i derivati;</t>
  </si>
  <si>
    <t>(b) Devono essere utilizzate per tutti i contratti OTC;</t>
  </si>
  <si>
    <t>(c) Vengono utilizzate per i regolare i contratti futures;</t>
  </si>
  <si>
    <t>(d) Svolgono un ruolo simile a quello delle clearinghouses di borsa.</t>
  </si>
  <si>
    <t xml:space="preserve">Le «controparti per la compensazione centralizzata delle posizioni» (central clearing parties - CCPs) svolgono – per il mercato OTC – un ruolo simile a quello delle clearinghouses di borsa. Pertanto, la risposta corretta è quella sub (d). </t>
  </si>
  <si>
    <t>Le CCPs devono essere utilizzate per regolare la maggior parte dei derivati standard negoziati sui mercati OTC, ma non tutti i derivati OTC.</t>
  </si>
  <si>
    <t>2.19. Quali contratti vengono liquidati per contanti?</t>
  </si>
  <si>
    <t>(a) Tutti i contratti futures.</t>
  </si>
  <si>
    <t>(b) Tutte le opzioni.</t>
  </si>
  <si>
    <t>(c) I futures su merci.</t>
  </si>
  <si>
    <t>(d) I futures su indici azionari.</t>
  </si>
  <si>
    <t>Di solito, i futures su indici azionari vengono liquidati per contanti. In genere, gli altri contratti vengono invece liquidati con la consegna fisica del sottostante.</t>
  </si>
  <si>
    <t>2.20. Il limit order</t>
  </si>
  <si>
    <t>(a) è un ordine per comprare o vendere futures, a un dato prezzo, fino a un certo numero massimo di contratti;</t>
  </si>
  <si>
    <t>(b) è un ordine che va eseguito a un certo prezzo o a uno più favorevole per l’inve¬stitore;</t>
  </si>
  <si>
    <t>(c) è un ordine che va eseguito entro un certo limite di tempo.</t>
  </si>
  <si>
    <t>(d) Nessuna delle precedenti affermazioni è corretta.</t>
  </si>
  <si>
    <t>Dando un «ordine con limite di prezzo» (limit order), l’investitore specifica il prezzo peggiore (dal suo punto di vista) al quale effettuare l’acquisto o la vendita.</t>
  </si>
  <si>
    <t>3.1. La base è definita come differenza tra prezzo spot e prezzo futures. Considerate uno short hedger. La base si rafforza inaspettatamente. Quale delle seguenti affermazioni è corretta?</t>
  </si>
  <si>
    <t>(a) La posizione dell’hedger migliora.</t>
  </si>
  <si>
    <t>(b) La posizione dell’hedger peggiora.</t>
  </si>
  <si>
    <t>(c) La posizione dell’hedger a volte peggiora e a volte migliora.</t>
  </si>
  <si>
    <t>(d) La posizione dell’hedger né peggiora né migliora.</t>
  </si>
  <si>
    <t>Il prezzo incassato dal trader dopo la copertura è pari al prezzo futures originario più la base. Ne segue che la posizione del trader migliora quando la base si rafforza.</t>
  </si>
  <si>
    <t>3.2.Una società dovrà acquistare una certa attività il 15 giugno e desidera coprirsi. Su quale futures deve assumere una posizione lunga? Solo una delle seguenti risposte è corretta. Quale?</t>
  </si>
  <si>
    <t>Come regola generale, il futures da utilizzare è quello che scade nel mese immediatamente successivo a quello in cui l’attività in questione verrà acquistata. In questo caso l’attività verrà acquistata in giugno, per cui il miglior contratto è quello per scadenza luglio.</t>
  </si>
  <si>
    <t>3.3. Il 1° marzo, una società entra in un futures per luglio al fine di coprire l’acquisto di una merce che effettuerà il 1° giugno. Il 1° giugno, la società chiude la posizione.</t>
  </si>
  <si>
    <t>Il 1° marzo, il prezzo spot della merce è di $60 e il prezzo futures per luglio è di $59. Il 1° giugno, il prezzo spot della merce è di $64 e il prezzo futures per luglio è di $63,50.</t>
  </si>
  <si>
    <t>Tenendo conto della copertura, qual è il costo effettivo per la società?</t>
  </si>
  <si>
    <t>(a) $59,50</t>
  </si>
  <si>
    <t>(b) $60,50</t>
  </si>
  <si>
    <t>(c) $61,50</t>
  </si>
  <si>
    <t>(d) $63,50</t>
  </si>
  <si>
    <t>Per coprirsi, la società acquista il futures a $59. Il guadagno sul futures è pari a $4,50 (= $63,50 − $59). Pertanto, il costo effettivo (tenendo conto della copertura) è pari a $59,50.</t>
  </si>
  <si>
    <t>3.4. Il 1° marzo, una società che produce una certa merce entra in un contratto futures per dicembre, al fine di coprire una vendita che intende effettuare il 1° novembre. Il 1° novembre, la società chiude la posizione.</t>
  </si>
  <si>
    <t>Il 1° marzo, il prezzo spot della merce è di $1.000 e il prezzo futures per dicembre è di $1.015. Il 1° novembre, il prezzo spot della merce è di $980 e il prezzo futures per dicembre è di $981.</t>
  </si>
  <si>
    <t>Tenendo conto della copertura, qual è il ricavo effettivo per la società?</t>
  </si>
  <si>
    <t>(a) $1.016</t>
  </si>
  <si>
    <t>(b) $1.001</t>
  </si>
  <si>
    <t>(c) $981</t>
  </si>
  <si>
    <t>(d) $1.014</t>
  </si>
  <si>
    <t>Per coprirsi, la società vende il futures a $1.015. Il guadagno sul futures è pari a $34 (= $1.015 − $981). Pertanto, il ricavo effettivo (tenendo conto della copertura) è pari a $1.014.</t>
  </si>
  <si>
    <t>Il ricavo post-copertura può anche essere calcolato come somma tra il prezzo futures del 1° marzo ($1.015) e la base del 1° novembre (−$1).</t>
  </si>
  <si>
    <t>3.5. La deviazione standard delle variazioni mensili del prezzo spot della merce A è pari a $2. La deviazione standard delle variazioni mensili del prezzo futures della merce B (simile alla merce A) è pari a $3.</t>
  </si>
  <si>
    <t>La correlazione tra il prezzo futures di B e il prezzo spot di A è pari a 0,9. Quale rapporto di copertura si dovrebbe utilizzare per coprire un’esposizione di un mese verso il prezzo spot della merce A?</t>
  </si>
  <si>
    <t>(a) 0,60</t>
  </si>
  <si>
    <t>(b) 0,67</t>
  </si>
  <si>
    <t>(c) 1,45</t>
  </si>
  <si>
    <t>(d) 0,90</t>
  </si>
  <si>
    <t>Il rapporto di copertura ottimale è pari a 0,6.</t>
  </si>
  <si>
    <t>Che posizione la società dovrà assumere sui futures per ridurre il beta a 0,9?</t>
  </si>
  <si>
    <t>(a) Lunga su 192 contratti.</t>
  </si>
  <si>
    <t>(b) Corta su 192 contratti.</t>
  </si>
  <si>
    <t>(c) Lunga su 48 contratti.</t>
  </si>
  <si>
    <t>(d) Corta su 48 contratti.</t>
  </si>
  <si>
    <t>Per ridurre il beta di 0,3 (= 1,2 − 0,9), la società dovrà vendere 48 contratti.</t>
  </si>
  <si>
    <t>Che posizione la società dovrà assumere sui futures per aumentare il beta a 1,8?</t>
  </si>
  <si>
    <t>(c) Lunga su 96 contratti.</t>
  </si>
  <si>
    <t>(d) Corta su 96 contratti.</t>
  </si>
  <si>
    <t>Per aumentare il beta di 0,6 (= 1,8 − 1,2), la società dovrà acquistare 96 contratti:</t>
  </si>
  <si>
    <t>3.8. Solo una delle seguenti affermazioni è corretta. Quale?</t>
  </si>
  <si>
    <t>Il rapporto di copertura ottimale è il coefficiente angolare della retta che misura le variazioni del prezzo spot in funzione delle variazioni del prezzo futures.</t>
  </si>
  <si>
    <t>3.9. Cosa s’intende per tailing the hedge? Solo una delle seguenti risposte è corretta. Quale?</t>
  </si>
  <si>
    <t>(a) Una strategia che prevede di aumentare la dimensione dell’hedge in prossimità della scadenza della copertura.</t>
  </si>
  <si>
    <t>(b) Una strategia che prevede di aumentare la dimensione dell’hedge in prossimità della scadenza del futures utilizzato per la copertura.</t>
  </si>
  <si>
    <t>(c) Una strategia che utilizza un calcolo più preciso dell’hedge ratio quando la copertura viene attuata mediante contratti forward.</t>
  </si>
  <si>
    <t>Il tailing the hedge è una strategia che utilizza un calcolo più preciso dell’hedge ratio quando la copertura viene attuata mediante contratti futures. Tiene conto della liquidazione giornaliera dei profitti e delle perdite propria dei contratti futures.</t>
  </si>
  <si>
    <t>3.10. Una società che dovrà pagare un certo importo in valuta estera decide di coprirsi utilizzando i futures. Quale delle seguenti affermazioni descrive meglio i vantaggi della copertura?</t>
  </si>
  <si>
    <t>(a) La copertura abbassa il costo della valuta estera.</t>
  </si>
  <si>
    <t>(b) La copertura rende più prevedibile il costo della valuta estera.</t>
  </si>
  <si>
    <t>(c) La copertura consente di mettere un tetto al costo della valuta estera.</t>
  </si>
  <si>
    <t>(d) La copertura fa sì che il costo della valuta estera non sarà inferiore a un certo livello.</t>
  </si>
  <si>
    <t>Le coperture mirano a ridurre i rischi, non ad accrescere i profitti attesi. Quando si vuole fis-sare il costo minimo o massimo della valuta estera, si devono utilizzare le opzioni. Quando si vuole bloccare il costo della valuta estera si devono utilizzare i futures.</t>
  </si>
  <si>
    <t>3.11. Quale delle seguenti frasi descrive meglio il capital asset pricing model?</t>
  </si>
  <si>
    <t>(a) Consente di determinare la quantità di capitale necessaria in certe situazioni.</t>
  </si>
  <si>
    <t>(b) Viene utilizzato per determinare il prezzo dei contratti futures.</t>
  </si>
  <si>
    <t>(c) Collega il rendimento di un’attività finanziaria al rendimento di un indice azionario.</t>
  </si>
  <si>
    <t>(d) Viene utilizzato per determinare la volatilità di un indice azionario.</t>
  </si>
  <si>
    <t xml:space="preserve">Il «modello di valutazione delle attività finanziarie» (capital asset pricing model - CAPM) fa dipendere il tasso di rendimento di un’attività finanziaria dal suo beta, ossia dalla sua sensitività al tasso di rendimento dell’indice di mercato. </t>
  </si>
  <si>
    <t>Di solito, si assume che l’indice di mercato sia ben approssimato da un indice azionario rappresentativo, come lo S&amp;P 500.</t>
  </si>
  <si>
    <t>3.12. Quale delle seguenti frasi descrive meglio lo stack and roll?</t>
  </si>
  <si>
    <t>(a) Crea una copertura a lungo termine basata su contratti futures a breve termine.</t>
  </si>
  <si>
    <t>(b) Consente di evitare perdite su futures mediante la negoziazione di ulteriori futures.</t>
  </si>
  <si>
    <t>(c) Comporta l’acquisto di un futures con una certa scadenza e la vendita di un futures con un’altra scadenza.</t>
  </si>
  <si>
    <t>(d) Genera simultaneamente due diverse esposizioni.</t>
  </si>
  <si>
    <t xml:space="preserve">La strategia «accumula e rinnova» (stack and roll) si basa su contratti futures a breve termine. Quando la scadenza si avvicina i futures vengono via via sostituiti da altri futures a breve termine. </t>
  </si>
  <si>
    <t>Viene così realizzata una copertura a lungo termine sulla base di contratti futures a breve termine.</t>
  </si>
  <si>
    <t>3.13. In quale delle seguenti circostanze il rischio base aumenta?</t>
  </si>
  <si>
    <t>(b) Quando aumenta la differenza tra il sottostante del futures e l’attività da proteggere.</t>
  </si>
  <si>
    <t>(c) Quando si riduce la distanza tra il tempo in cui il futures viene chiuso e la sua scadenza.</t>
  </si>
  <si>
    <t>3.14. Quale delle seguenti affermazioni giustifica l’utilizzo di un index futures per coprire un certo portafoglio?</t>
  </si>
  <si>
    <t>(a) L’investitore ritiene che la performance del suo portafoglio sarà migliore di quella del mercato, ma è incerto sulla performance del mercato.</t>
  </si>
  <si>
    <t>(b) L’investitore ritiene che la performance del mercato sarà positiva, ma che la performance del suo portafoglio sarà migliore di quella del mercato.</t>
  </si>
  <si>
    <t>(c) L’investitore è incerto sulla performance del suo portafoglio, dato che il portafoglio non è ben diversificato.</t>
  </si>
  <si>
    <t>(d) Tutte le affermazioni precedenti sono corrette.</t>
  </si>
  <si>
    <t>Gli index futures possono essere utilizzati per immunizzare il portafoglio dalla performance del portafoglio di mercato. Se ci si aspetta che la performance del mercato sarà positiva, non è opportuno coprirsi dal rischio di mercato.</t>
  </si>
  <si>
    <t>Le coperture non possono correggere un portafoglio che non è ben diversificato.</t>
  </si>
  <si>
    <t>3.15. Quale delle seguenti frasi non descrive il beta?</t>
  </si>
  <si>
    <t>(a) Una misura della sensitività del tasso di rendimento di un’attività finanziaria rispetto al tasso di rendimento di un indice.</t>
  </si>
  <si>
    <t>(b) La pendenza della retta di regressione del tasso di rendimento di un’attività finanziaria sul tasso di rendimento di mercato.</t>
  </si>
  <si>
    <t>(c) Il rapporto di copertura necessario per immunizzare un portafoglio dal rischio di mercato.</t>
  </si>
  <si>
    <t>(d) Il coefficiente di correlazione tra i prezzi futures e i prezzi spot di una merce.</t>
  </si>
  <si>
    <t>Le risposte sub (a), (b) e (c) descrivono il beta, ma il beta non ha nulla a che fare con il coef-ficiente di correlazione tra i prezzi futures e i prezzi spot di una merce.</t>
  </si>
  <si>
    <t>3.16. Una sola delle seguenti affermazioni è corretta. Quale?</t>
  </si>
  <si>
    <t>(a) Le coperture possono essere effettuate più facilmente dagli azionisti che dalla società.</t>
  </si>
  <si>
    <t>(b) Se tutte le società presenti in una certa industria si coprono, una delle società può a volte ridurre il rischio decidendo di non coprirsi.</t>
  </si>
  <si>
    <t>(c) Se tutte le società presenti in una certa industria non si coprono, una delle società può ri-durre il rischio decidendo di coprirsi.</t>
  </si>
  <si>
    <t>(d) Se tutte le società presenti in una certa industria non si coprono, è probabile che le co-perture facciano aumentare il rischio della società che si copre.</t>
  </si>
  <si>
    <t>3.17. Cosa richiede il metodo noto col nome di tailing the hedge?</t>
  </si>
  <si>
    <t>(a) Il confronto tra la dimensione della posizione da proteggere, espressa in unità, e la di-mensione del contratto futures, espressa in unità del sottostante;</t>
  </si>
  <si>
    <t>(b) Il confronto tra il valore della posizione da proteggere e il valore dell’attività sottostante il contratto futures;</t>
  </si>
  <si>
    <t>(c)  Il confronto tra il prezzo futures e il prezzo forward dell’attività da proteggere;</t>
  </si>
  <si>
    <t>Nel tailing the hedge, il rapporto di copertura ottimale va moltiplicato per il rapporto tra il valore della posizione da proteggere e il valore dell’attività sottostante il contratto futures.</t>
  </si>
  <si>
    <t>3.18. Solo una delle seguenti affermazioni è corretta. Quale?</t>
  </si>
  <si>
    <t>(a) Le società minerarie aurifere dovrebbero sempre coprirsi bloccando il prezzo di vendita dell’oro per i prossimi 3 anni.</t>
  </si>
  <si>
    <t>(b) Le società minerarie aurifere dovrebbero sempre coprirsi bloccando il prezzo di vendita dell’oro per il prossimo anno.</t>
  </si>
  <si>
    <t>(c) Le società minerarie aurifere dovrebbero coprirsi solo se gli azionisti desiderano che le loro azioni non siano esposte alle variazioni del prezzo dell’oro.</t>
  </si>
  <si>
    <t>(d) Le società minerarie aurifere possono coprirsi mediante acquisti di oro sul mercato for-ward.</t>
  </si>
  <si>
    <t xml:space="preserve">Alcuni investitori comprano le azioni delle società minerarie aurifere perché vogliono esporsi alle variazioni del prezzo dell’oro. Pertanto, non desiderano che le società in cui investono si coprano. </t>
  </si>
  <si>
    <t>In pratica, le società minerarie aurifere comunicano agli azionisti le strategie di copertura che intendono adottare.</t>
  </si>
  <si>
    <t>3.19. Una società mineraria che estrae argento utilizza i futures per bloccare il prezzo di vendita dell’argento per i prossimi 5 anni. Solo una delle seguenti affermazioni è corretta. Quale?</t>
  </si>
  <si>
    <t>(a) La società potrà avere problemi di liquidità nel caso di forte ribasso del prezzo futures;</t>
  </si>
  <si>
    <t>(b) La società potrà avere problemi di liquidità nel caso di forte rialzo del prezzo futures;</t>
  </si>
  <si>
    <t>(c) La società potrà avere problemi di liquidità nel caso di forte rialzo o di forte ribasso del prezzo futures;</t>
  </si>
  <si>
    <t>(d) Le modalità con cui è organizzato il mercato futures proteggono la società dal rischio di andare incontro a problemi di liquidità.</t>
  </si>
  <si>
    <t xml:space="preserve">La società mineraria si copre vendendo futures. Pertanto, guadagna quando il prezzo scende e perde quando il prezzo sale. Riceverà una richiesta d’integrazione dei margini nel caso di forte rialzo del prezzo futures. </t>
  </si>
  <si>
    <t>Potrà quindi andare incontro a problemi di liquidità anche se il l’argento presente nelle sue miniere aumenterà di valore.</t>
  </si>
  <si>
    <t xml:space="preserve">3.20. Tra 1 anno, una società comprerà 1.000 unità di una certa merce. La società decide di coprire l’80% della sua esposizione mediante futures. Il prezzo spot e il prezzo futures correnti sono pari a $100 e a $90, rispettivamente. </t>
  </si>
  <si>
    <t>Dopo 1 anno, il prezzo spot e il prezzo futures risultano pari a $112 e $110, rispettivamente. Tenendo conto della copertura, qual è il prezzo medio effettivamente pagato per la merce?</t>
  </si>
  <si>
    <t>(a) $92</t>
  </si>
  <si>
    <t>(b) $96</t>
  </si>
  <si>
    <t>(c) $102</t>
  </si>
  <si>
    <t>(d) $106</t>
  </si>
  <si>
    <t xml:space="preserve">Il costo post-copertura della merce è pari a $92 [= $90 + ($112 − $110)]. Questo è il costo relativo alla quota dell’esposizione che viene coperta, pari all’80%. La quota rimanente, pari al 20% (= 1 − 0,8), comporta un costo di $112. </t>
  </si>
  <si>
    <t xml:space="preserve">Pertanto, il prezzo medio effettivamente pagato per la merce è pari a $96 (= 0,8 × $92 + 0,2 × $112). </t>
  </si>
  <si>
    <t>C</t>
  </si>
  <si>
    <t>4.8. Secondo la teoria della preferenza per la liquidità una sola delle seguenti affermazioni è esatta. Quale?</t>
  </si>
  <si>
    <t>4.1. La frequenza con cui un tasso d’interesse viene composto definisce</t>
  </si>
  <si>
    <t>(a) la frequenza con cui si pagano gli interessi;</t>
  </si>
  <si>
    <t>(b) l’unità di misura del tasso d’interesse;</t>
  </si>
  <si>
    <t>(c) la relazione tra il tasso d’interesse annuo e quello mensile;</t>
  </si>
  <si>
    <t>La frequenza con cui un tasso d’interesse viene composto è la sua unità di misura. La fre-quenza con cui si pagano gli interessi può essere diversa da quella con cui il tasso d’interes¬se viene composto.</t>
  </si>
  <si>
    <t>4.2. Un tasso d’interesse composto annualmente è pari al 6 per cento annuo. Qual è il tasso equivalente composto continuamente?</t>
  </si>
  <si>
    <t>(a) 5,79%</t>
  </si>
  <si>
    <t>(b) 6,21%</t>
  </si>
  <si>
    <t>(c) 5,83%</t>
  </si>
  <si>
    <t>(d) 6,18%</t>
  </si>
  <si>
    <t>4.3. Un tasso d’interesse composto continuamente è pari al 5 per cento annuo. Qual è il tasso equivalente composto semestralmente?</t>
  </si>
  <si>
    <t>(a) 5,06%</t>
  </si>
  <si>
    <t>(b) 5,03%</t>
  </si>
  <si>
    <t>(c) 4,97%</t>
  </si>
  <si>
    <t>(d) 4,94%</t>
  </si>
  <si>
    <t>4.4. Un tasso d’interesse composto semestralmente è pari al 12% annuo. Qual è il tasso equivalente composto trimestralmente?</t>
  </si>
  <si>
    <t>(a) 11,83%</t>
  </si>
  <si>
    <t>(b) 11,66%</t>
  </si>
  <si>
    <t>(c) 11,77%</t>
  </si>
  <si>
    <t>(d) 11,92%</t>
  </si>
  <si>
    <t>4.5. Lo zero rate a 2 anni è pari al 6% annuo e lo zero rate a 3 anni è pari al 6,5% annuo. Qual è il tasso forward per il 3° anno? Tutti i tassi sono composti continuamente.</t>
  </si>
  <si>
    <t>(a) 6,75%</t>
  </si>
  <si>
    <t>(b) 7,0%</t>
  </si>
  <si>
    <t>(c) 7,25%</t>
  </si>
  <si>
    <t>(d) 7,5%</t>
  </si>
  <si>
    <t>Il tasso equivalente composto semestralmente è pari al 5,06%.</t>
  </si>
  <si>
    <t>Il tasso equivalente composto continuamente è pari al 5,83%.</t>
  </si>
  <si>
    <t>Il tasso forward per il 3° anno è pari al 7,5%.</t>
  </si>
  <si>
    <t>Il tasso equivalente composto trimestralmente è pari all’11,83%.</t>
  </si>
  <si>
    <t>(a) 8,02%</t>
  </si>
  <si>
    <t>(b) 8,52%</t>
  </si>
  <si>
    <t>(c) 9,02%</t>
  </si>
  <si>
    <t>(d) 9,52%</t>
  </si>
  <si>
    <t>Se R è lo zero rate a 1 anno, deve essere soddisfatta la seguente equazione:</t>
  </si>
  <si>
    <t>Pertanto, lo zero rate a 1 anno è pari al 9,02%:</t>
  </si>
  <si>
    <t>(a) $9,12</t>
  </si>
  <si>
    <t>(b) $9,02</t>
  </si>
  <si>
    <t>(c) $8,88</t>
  </si>
  <si>
    <t>(d) $8,63</t>
  </si>
  <si>
    <t>La teoria della preferenza per la liquidità sostiene che le imprese preferiscono indebitarsi a lungo termine, mente le famiglie preferiscono investire a breve termine. Per indurre le famiglie a spostarsi verso orizzonti d’investimento più lunghi, i tassi forward sono più alti dei livelli attesi dei futuri tassi a breve.</t>
  </si>
  <si>
    <t>4.9. La zero curve è inclinata verso l’alto. Siano X, Y e Z, rispettivamente, il par yield a 1 anno, lo zero rate a 1 anno e il tasso forward a 6 mesi tra 1 anno. Solo una delle seguenti affermazioni è corretta. Quale?</t>
  </si>
  <si>
    <t>(a) X è minore di Y che è minore di Z.</t>
  </si>
  <si>
    <t>(b) Y è minore di X che è minore di Z.</t>
  </si>
  <si>
    <t>(c) X è minore di Z che è minore di Y.</t>
  </si>
  <si>
    <t>(d) Z è minore di Y che è minore di X.</t>
  </si>
  <si>
    <t>Quando la zero curve è inclinata verso l’alto, lo zero rate a 1 anno è più elevato del par yield a 1 anno e il tasso forward a 6 mesi tra 1 anno è più elevato dello zero rate a 1 anno. Pertanto, la risposta corretta è quella sub (a).</t>
  </si>
  <si>
    <t>4.10. Solo una delle seguenti affermazioni relative al fed funds rate è corretta. Quale?</t>
  </si>
  <si>
    <t>(a) È uguale al tasso sui Treasuries.</t>
  </si>
  <si>
    <t>(b) È un tasso interbancario overnight.</t>
  </si>
  <si>
    <t>(c) È un tasso garantito.</t>
  </si>
  <si>
    <t>(d) È un tipo di repo rate.</t>
  </si>
  <si>
    <t>A fine giornata, alcune banche hanno riserve in eccesso presso la Federal Reserve, mentre altre hanno le hanno in deficit. Per ribilanciare la situazione, le banche utilizzano il mercato overnight per dare e prendere in prestito denaro al cosiddetto fed funds rate.</t>
  </si>
  <si>
    <t>(a) Aumenta di $2.500.</t>
  </si>
  <si>
    <t>(b) Diminuisce di $2.500.</t>
  </si>
  <si>
    <t>(c) Aumenta di $25.000.</t>
  </si>
  <si>
    <t>(d) Diminuisce di $25.000.</t>
  </si>
  <si>
    <t>(a) 6 anni</t>
  </si>
  <si>
    <t>(b) 7 anni</t>
  </si>
  <si>
    <t>(c) 8 anni</t>
  </si>
  <si>
    <t>(d) 9 anni</t>
  </si>
  <si>
    <t>La duration del primo zero-coupon bond è pari a 5 anni, mentre la duration del secondo zero-coupon bond è pari a 10. La duration del portafoglio è pari alla media ponderata delle du-rations dei due titoli, con pesi pari ai loro valori di mercato. È quindi pari a 9 anni</t>
  </si>
  <si>
    <t>4.14. Quale delle seguenti affermazioni descrive meglio i tassi forward?</t>
  </si>
  <si>
    <t>(a) I tassi forward sono i tassi d’interesse relativi a periodi di tempo futuri che sono impliciti negli spot zero rates correnti.</t>
  </si>
  <si>
    <t>(b)  I tassi forward sono i tassi d’interesse su investimenti in zero-coupon bonds che vengono emessi oggi e scadono tra n anni.</t>
  </si>
  <si>
    <t>(c)  I tassi forward sono i tassi cedolari che rendono il valore di mercato delle obbligazioni pari al loro valore nominale.</t>
  </si>
  <si>
    <t>(d) Il tasso forward è quel tasso che, applicato ai futuri cash flows, rende il valore teorico di un’obbligazione pari al suo valore di mercato.</t>
  </si>
  <si>
    <t xml:space="preserve">Il tasso forward è il tasso d’interesse relativo a un certo periodo futuro che è implicito nella zero curve corrente. </t>
  </si>
  <si>
    <t>Ad esempio, il montante che si ottiene applicando a un certo capitale lo spot zero rate a 1 anno e reinvestendo il ricavato in base al tasso forward a 1 anno tra 1 anno è uguale al montante che si ottiene applicando allo stesso capitale lo spot zero rate a 2 anni.</t>
  </si>
  <si>
    <t>4.15. Quale delle seguenti non è una teoria della term structure dei tassi d’interessi?</t>
  </si>
  <si>
    <t>(a) La teoria delle aspettative.</t>
  </si>
  <si>
    <t>(b) La teoria della segmentazione dei mercati.</t>
  </si>
  <si>
    <t>(c) La teoria della preferenza per la liquidità.</t>
  </si>
  <si>
    <t>(d) La teoria della preferenza per la scadenza.</t>
  </si>
  <si>
    <t>La teoria della preferenza per la scadenza non è una teoria della term structure dei tassi d’interessi. Le altre lo sono.</t>
  </si>
  <si>
    <t>4.16. Solo una delle seguenti affermazioni sui tassi repo è corretta. Quale?</t>
  </si>
  <si>
    <t>(a) I tassi repo riguardano finanziamenti privi di garanzie.</t>
  </si>
  <si>
    <t>(b) I tassi repo riguardano finanziamenti con rischio di credito relativamente elevato.</t>
  </si>
  <si>
    <t>(c) I tassi repo riguardano transazioni in cui i titoli vengono venduti a pronti e riacquistati a termine.</t>
  </si>
  <si>
    <t>Il repurchase agreement (repo) è un contratto con cui una società vende i titoli a pronti e si impegna a riacquistarli a termine. Il repo è un finanziamento garantito da titoli. Il rischio di credito è molto basso.</t>
  </si>
  <si>
    <t>4.17. Solo una delle seguenti affermazioni sul metodo bootstrap è corretta. Quale?</t>
  </si>
  <si>
    <t>(a) Il metodo bootstrap viene utilizzato per calcolare il tasso di rendimento di un titolo.</t>
  </si>
  <si>
    <t>(b) Il metodo bootstrap è una procedura iterativa che consente di determinare gli zero rates iniziando dalle obbligazioni a breve termine e finendo con quelle a lungo termine.</t>
  </si>
  <si>
    <t>(c) Il metodo bootstrap è una procedura iterativa che consente di determinare gli zero rates iniziando dalle obbligazioni a lungo termine e finendo con quelle a breve termine.</t>
  </si>
  <si>
    <t>(d) Il metodo bootstrap viene utilizzato per calcolare i par yields.</t>
  </si>
  <si>
    <t xml:space="preserve">Il metodo bootstrap è una procedura iterativa che consente di costruire la zero curve in base ai prezzi dei coupon bonds. Nel primo stadio della procedura si determina lo zero rate del titolo a più breve termine per poi esaminare i titoli via via più lunghi. </t>
  </si>
  <si>
    <t>Negli stadi successivi si determina lo zero rate relativo alla scadenza del titolo in esame in modo tale che, congiuntamente agli zero rates determinati in precedenza, venga assicurata l’uguaglianza tra il valore teorico e il valore di mercato del titolo.</t>
  </si>
  <si>
    <t>4.18. La zero curve è inclinata verso il basso. Sia X il par yield a 1 anno, Y lo spot zero rate a 1 anno e Z il forward zero rate a 6 mesi tra 1 anno. Solo una delle seguenti affermazioni è corretta. Quale?</t>
  </si>
  <si>
    <t>4.19. Solo una delle seguenti affermazioni è corretta. Quale?</t>
  </si>
  <si>
    <t>(a) Quando i tassi d’interesse aumentano, i prezzi delle obbligazioni aumentano.</t>
  </si>
  <si>
    <t>(b) Il prezzo di un’obbligazione diminuisce col crescere del suo tasso cedolare.</t>
  </si>
  <si>
    <t>(c) A parità di tassi cedolari, le obbligazioni a lungo termine valgono più delle corrispondenti obbligazioni a breve termine.</t>
  </si>
  <si>
    <t xml:space="preserve">Quando i tassi d’interesse aumentano, l’attualizzazione fa diminuire il valore corrente dei futuri cash flows. Di conseguenza, i prezzi delle obbligazioni diminuiscono. Pertanto, la risposta sub (a) è sbagliata. </t>
  </si>
  <si>
    <t xml:space="preserve">Col crescere del tasso cedolare l’obbligazione acquista valore perché dà origine a pagamenti più elevati. Pertanto, la risposta sub (b) è sbagliata. </t>
  </si>
  <si>
    <t xml:space="preserve">Quando i tassi cedolari sono più elevati dei tassi di mercato le obbligazioni a lungo termine valgono più delle corrispondenti obbligazioni a breve termine. </t>
  </si>
  <si>
    <t>Quando i tassi cedolari sono più bassi dei tassi di mercato le obbligazioni a lungo termine valgono meno delle corrispondenti obbligazioni a breve termine. Pertanto, la risposta sub (c) è sbagliata. Di conseguenza, la risposta corretta è quella sub (d).</t>
  </si>
  <si>
    <t>4.20. Gli zero rates a 6 mesi e a 1 anno (composti semestralmente) sono pari al 3% e al 4%, rispettivamente. Quale dei seguenti tassi è più vicino al par yield a 1 anno (composto semestralmente)?</t>
  </si>
  <si>
    <t>(a) 3,99%</t>
  </si>
  <si>
    <t>(b) 3,98%</t>
  </si>
  <si>
    <t>(c) 3,97%</t>
  </si>
  <si>
    <t>(d) 3,96%</t>
  </si>
  <si>
    <t>Lo zero rate a 6 mesi è pari all’1,5% (= 3% / 2) su base semestrale. Lo zero rate a 12 mesi è pari al 2% (= 4% / 2) su base semestrale. Il par yield a 1 anno è quel tasso cedolare che rende il valore di mercato di un coupon bond a 1 anno uguale al suo valore nominale.</t>
  </si>
  <si>
    <t>In questo caso il par yield è pari al 3,99%.</t>
  </si>
  <si>
    <t>A</t>
  </si>
  <si>
    <t>Quando i tassi d’interesse aumentano i prezzi delle obbligazioni diminuiscono. La riduzione è pari alla duration modificata per l’incremento dei tassi d’interesse, ossia a $2,500</t>
  </si>
  <si>
    <t>5.6. Una sola delle seguenti affermazioni è esatta. Quale?</t>
  </si>
  <si>
    <t xml:space="preserve">5.7. Un contratto forward corto, che è stato negoziato qualche tempo fa e scadrà tra 3 mesi, ha un prezzo di consegna di $40. Il prezzo forward corrente a 3 mesi è di $42. </t>
  </si>
  <si>
    <t>5.8. Il prezzo spot di un’attività è correlato positivamente con il mercato. Una sola delle seguenti affermazioni è esatta. Quale?</t>
  </si>
  <si>
    <t>5.1. Solo una delle seguenti attività rappresenta un bene di consumo. Quale?</t>
  </si>
  <si>
    <t>Le attività menzionate sub (a), (b) e (d) sono beni d’investimento, detenuti da alcuni soggetti solo per fini d’investimento. Invece, il rame, menzionato sub (c), è un bene di consumo.</t>
  </si>
  <si>
    <t xml:space="preserve">5.2. Un investitore vende allo scoperto 100 azioni quando il prezzo è di $50 e chiude la posizione 6 mesi dopo quando il prezzo è di $43. </t>
  </si>
  <si>
    <t>Nel corso del semestre, le azioni pagano un dividendo unitario di $3. Qual è il profitto dell’investitore?</t>
  </si>
  <si>
    <t>(a) $1.000</t>
  </si>
  <si>
    <t>(b) $400</t>
  </si>
  <si>
    <t>(c) $700</t>
  </si>
  <si>
    <t>(d) $300</t>
  </si>
  <si>
    <t xml:space="preserve">L’investitore guadagna $7 per ogni azione, dato che vende a $50 e compra a $43. Tuttavia, l’investitore deve pagare $3 per ogni azione a chi gli dato le azioni in prestito. </t>
  </si>
  <si>
    <t>Pertanto, il profitto netto è pari a $4 (= $7 − $3) per azione. Dato che le azioni vendute allo scoperto sono 100, il profitto complessivo è pari a $400 (= $4 × 100)</t>
  </si>
  <si>
    <t>5.3. Il prezzo spot di un bene d’investimento che non offre redditi è di $30 e il tasso d’interesse privo di rischio per tutte le scadenze è del 10% (composto continuamente).</t>
  </si>
  <si>
    <t>Qual è il prezzo forward a 3 anni?</t>
  </si>
  <si>
    <t>(a) $40,50</t>
  </si>
  <si>
    <t>(b) $22,22</t>
  </si>
  <si>
    <t>(c) $33,00</t>
  </si>
  <si>
    <t>(d) $33,16</t>
  </si>
  <si>
    <t>Il prezzo forward a 3 anni, che si ottiene capitalizzando il prezzo spot per tre anni al tasso d’interesse privo di rischio, è pari a $40,50</t>
  </si>
  <si>
    <t>I</t>
  </si>
  <si>
    <t xml:space="preserve">5.4. Il prezzo spot di un bene d’investimento è di $30 e il tasso d’interesse privo di rischio per tutte le scadenze è del 10% (composto continuamente). </t>
  </si>
  <si>
    <t>Il bene d’investimento offre un reddito di $2 alla fine del primo e del secondo anno. Qual è il prezzo forward a 3 anni?</t>
  </si>
  <si>
    <t>(a) $19,67</t>
  </si>
  <si>
    <t>(b) $35,84</t>
  </si>
  <si>
    <t>(c) $45,15</t>
  </si>
  <si>
    <t>(d) $40,50</t>
  </si>
  <si>
    <t xml:space="preserve">Il prezzo spot teorico del bene d’investimento che verrà consegnato tra 3 anni è pari alla differenza tra il livello corrente del prezzo spot di mercato e il valore attuale del reddito offerto durante la vita del contratto forward. È pari a $26,55 (= $30 − $3,45). </t>
  </si>
  <si>
    <t>Il prezzo forward a 3 anni si ottiene capitalizzando il prezzo spot teorico per tre anni al tasso d’interesse privo di rischio. È pari a $35,84.</t>
  </si>
  <si>
    <t>(a) $0,7070</t>
  </si>
  <si>
    <t>(b) $0,7177</t>
  </si>
  <si>
    <t>(c) $0,7249</t>
  </si>
  <si>
    <t>(d) $0,6930</t>
  </si>
  <si>
    <t>Il tasso di cambio forward a 6 mesi è pari a $0,6930.</t>
  </si>
  <si>
    <t xml:space="preserve">Il convenience yield misura il beneficio derivante dalla disponibilità immediata di una certa attività, invece della disponibilità futura conseguente a una posizione lunga su un forward / futures scritto sull’attività. </t>
  </si>
  <si>
    <t>Il convenience yield di un bene d’investimento è sempre nullo. Può essere invece positivo nel caso dei beni di consumo.</t>
  </si>
  <si>
    <t>(a) +$2,00</t>
  </si>
  <si>
    <t>(b) −$2,00</t>
  </si>
  <si>
    <t>(c) +$1,96</t>
  </si>
  <si>
    <t>(d) −$1,96</t>
  </si>
  <si>
    <t xml:space="preserve">Dato che l’attività è correlata positivamente con il mercato, il capital asset pricing model richiede che il tasso di rendimento atteso sia maggiore del tasso d’interesse privo di rischio. </t>
  </si>
  <si>
    <t>Pertanto, il prezzo forward − che è pari al prezzo spot capitalizzato al tasso d’interesse privo di rischio − è minore del valore atteso del futuro prezzo spot.</t>
  </si>
  <si>
    <t>5.9. Quale delle seguenti frasi descrive meglio il modo in cui i prezzi futures delle valute estere vengono quotati al CME Group?</t>
  </si>
  <si>
    <t>(a) Numero di dollari statunitensi per un’unità di valuta estera.</t>
  </si>
  <si>
    <t>(b) Numero di unità di valuta estera per un dollaro statunitense.</t>
  </si>
  <si>
    <t>(c) Alcuni prezzi futures sono quotati come numero di dollari statunitensi per un’unità di valuta estera e altri sono quotati come numero di unità di valuta estera per un dollaro sta-tunitense.</t>
  </si>
  <si>
    <t>(d) Non ci sono convenzioni che regolano le modalità di quotazione dei prezzi futures.</t>
  </si>
  <si>
    <t xml:space="preserve">I prezzi futures delle valute estere vengono quotati come numero di dollari statunitensi per un’unità di valuta estera. </t>
  </si>
  <si>
    <t>Nei mercati spot e nei mercati forward, le valute estere non sono sempre quotate nello stesso modo in uso nei mercati futures. A volte, vengono quotate come numero di unità di valuta estera per un dollaro statunitense.</t>
  </si>
  <si>
    <t>5.10. Quale delle seguenti frasi descrive meglio il modo in cui vengono quotati i prezzi forward delle valute estere?</t>
  </si>
  <si>
    <t>(c) Alcuni prezzi forward sono quotati come numero di dollari statunitensi per un’unità di valuta estera e altri sono quotati come numero di unità di valuta estera per un dollaro statunitense.</t>
  </si>
  <si>
    <t>(d) Non ci sono convenzioni che regolano le modalità di quotazione dei prezzi forward.</t>
  </si>
  <si>
    <t>5.11. Solo una delle seguenti frasi non spiega il motivo per cui una posizione corta su azioni viene chiusa. Quale?</t>
  </si>
  <si>
    <t>(a) L’investitore con la posizione corta decide di chiudere la posizione.</t>
  </si>
  <si>
    <t>(b) Chi ha prestato le azioni all’investitore con la posizione corta dà istruzioni alla borsa affinché la posizione corta venga chiusa.</t>
  </si>
  <si>
    <t>(c) Il broker che ha intermediato il prestito di azioni non è più in grado di prendere in prestito azioni dai suoi clienti.</t>
  </si>
  <si>
    <t>(d) L’investitore con la posizione corta non soddisfa la richiesta di integrazione dei margini.</t>
  </si>
  <si>
    <t>Le frasi sub (a), (c) e (d) spiegano i motivi che portano alla chiusura di una posizione corta. Quella sub (b) no. Chi ha prestato le azioni all’investitore con la posizione corta non può dare istruzioni alla borsa affinché la posizione corta venga chiusa.</t>
  </si>
  <si>
    <t>5.12. Solo una delle seguenti affermazioni non è corretta. Quale?</t>
  </si>
  <si>
    <t>(a) L’oro e l’argento sono beni d’investimento.</t>
  </si>
  <si>
    <t>(b) I beni d’investimento sono detenuti per fini d’investimento da un numero significativo di investitori.</t>
  </si>
  <si>
    <t>(c) I beni d’investimento non sono mai detenuti per fini di consumo.</t>
  </si>
  <si>
    <t>(d) Il prezzo forward di un bene d’investimento può essere ottenuto in base al prezzo spot, al tasso d’interesse appropriato per la scadenza del contratto e al reddito che viene corrisposto a chi detiene il bene.</t>
  </si>
  <si>
    <t>A volte, i beni d’investimento sono detenuti per fini di consumo. L’argento ne è un esempio. Per essere un bene d’investimento, l’attività deve essere detenuta per fini d’investimento da un numero significativo di investitori.</t>
  </si>
  <si>
    <t xml:space="preserve"> 5.13. Cosa dovrebbe fare un trader quando il prezzo forward a 1 anno di una certa attività è troppo basso?</t>
  </si>
  <si>
    <t>(a) Il trader dovrebbe finanziarsi in dollari, comprare l’attività sul mercato spot e venderla sul mercato dei forwards a 1 anno.</t>
  </si>
  <si>
    <t>(b) Il trader dovrebbe finanziarsi in dollari, comprare l’attività sul mercato spot e assumere una posizione lunga sul mercato dei forwards a 1 anno.</t>
  </si>
  <si>
    <t>(c)  Il trader dovrebbe vendere allo scoperto l’attività, investire il ricavato al tasso d’interes¬se privo di rischio e assumere una posizione corta sul mercato dei forwards a 1 anno.</t>
  </si>
  <si>
    <t>(d) Il trader dovrebbe vendere allo scoperto l’attività, investire il ricavato al tasso d’interes¬se privo di rischio e assumere una posizione lunga sul mercato dei forwards a 1 anno.</t>
  </si>
  <si>
    <t>Se il prezzo forward è troppo basso rispetto al prezzo spot, il trader dovrebbe vendere allo scoperto sul mercato spot e comprare sul mercato forward.</t>
  </si>
  <si>
    <t>5.14. Solo una delle seguenti affermazioni su forwards e futures non è corretta. Quale?</t>
  </si>
  <si>
    <t>(a) I forwards sono più liquidi dei futures.</t>
  </si>
  <si>
    <t>(b) I futures sono negoziati in borsa mentre i forwards sono negoziati nel mercato OTC.</t>
  </si>
  <si>
    <t>(c) In teoria, i prezzi forwards e i prezzi futures sono uguali quando non c’è incertezza circa i futuri tassi d’interesse.</t>
  </si>
  <si>
    <t>(d) Le tasse e i costi di transazione possono far sì che i prezzi forward e i prezzi futures siano diversi tra loro.</t>
  </si>
  <si>
    <t>I futures sono più liquidi dei forwards. Per chiudere una posizione su futures è sufficiente assumere una posizione di segno opposto. Le affermazioni sub (b), (c) e (d) sono corrette.</t>
  </si>
  <si>
    <t>5.15. Cosa succede quando il convenience yield aumenta?</t>
  </si>
  <si>
    <t>(a) Il rapporto tra il prezzo futures a 1 anno e il prezzo spot aumenta.</t>
  </si>
  <si>
    <t>(b) Il rapporto tra il prezzo futures a 1 anno e il prezzo spot diminuisce.</t>
  </si>
  <si>
    <t>(c) Il rapporto tra il prezzo futures a 1 anno e il prezzo spot resta inalterato.</t>
  </si>
  <si>
    <t>(d) Può succedere uno qualsiasi dei fatti sopra elencati.</t>
  </si>
  <si>
    <t>Quando il convenience yield aumenta, il prezzo futures diminuisce rispetto al prezzo spot. Il motivo è che diventa più importante la disponibilità immediata dell’attività (rispetto ad avere una posizione lunga sul futures scritto sull’attività).</t>
  </si>
  <si>
    <t>5.16. Cosa succede quando diminuiscono le scorte di una certa merce?</t>
  </si>
  <si>
    <t xml:space="preserve">Quando diminuiscono le scorte, il convenience yield aumenta e il prezzo futures diminuisce rispetto al prezzo spot. </t>
  </si>
  <si>
    <t>5.17. Quale delle seguenti frasi descrive meglio l’offerta di un dividend yield noto su un’azione?</t>
  </si>
  <si>
    <t>(a) L’importo del dividendo annuale è noto.</t>
  </si>
  <si>
    <t>(b) Il rapporto tra il dividendo annuale e il prezzo corrente dell’azione è noto.</t>
  </si>
  <si>
    <t>(c) Il rapporto tra il dividendo annuale e il prezzo dell’azione nel momento in cui il dividendo viene pagato.</t>
  </si>
  <si>
    <t>(d) Il dividendo assicura un tasso di rendimento noto a chi compra l’azione oggi.</t>
  </si>
  <si>
    <t>Il dividend yield è il rapporto tra il dividendo annuale e il prezzo dell’azione nel momento in cui il dividendo viene pagato.</t>
  </si>
  <si>
    <t>5.18. Quale delle seguenti è un’argomentazione utilizzata da Keynes e Hicks?</t>
  </si>
  <si>
    <t>(a) Se gli hedgers hanno posizioni lunghe e gli speculatori posizioni corte, il prezzo futures tenderà a essere più elevato del valore atteso del futuro prezzo spot.</t>
  </si>
  <si>
    <t>(b) Se gli hedgers hanno posizioni lunghe e gli speculatori posizioni corte, il prezzo futures tenderà a essere più basso del valore atteso del futuro prezzo spot.</t>
  </si>
  <si>
    <t>(c) Se gli hedgers hanno posizioni lunghe e gli speculatori posizioni corte, il prezzo futures tenderà a essere più basso del prezzo spot corrente.</t>
  </si>
  <si>
    <t>(d) Se gli hedgers hanno posizioni lunghe e gli speculatori posizioni corte, il prezzo futures tenderà a essere più elevato del prezzo spot corrente.</t>
  </si>
  <si>
    <t>Keynes and Hicks hanno sostenuto che gli hedgers sono pronti ad accettare un tasso di ren-dimento atteso negativo pur di avere i benefici connessi con le coperture, mentre gli speculatori richiedono un tasso di rendimento atteso positivo.</t>
  </si>
  <si>
    <t>Pertanto, la risposta corretta è quella sub (a).</t>
  </si>
  <si>
    <t>5.19. Quale delle seguenti frasi descrive meglio il contango?</t>
  </si>
  <si>
    <t>(a) Il prezzo futures è minore del valore atteso del futuro prezzo spot.</t>
  </si>
  <si>
    <t>(b) Il prezzo futures è minore del prezzo spot corrente.</t>
  </si>
  <si>
    <t xml:space="preserve">(c) Il prezzo futures è diminuisce col crescere della scadenza del contratto. </t>
  </si>
  <si>
    <t>(d) Il prezzo futures è maggiore del valore atteso del futuro prezzo spot.</t>
  </si>
  <si>
    <t>Si ha una situazione di «riporto» (contango) quando il prezzo futures è maggiore del valore atteso del futuro prezzo spot. A volte, si parla di contango anche quando il prezzo futures è maggiore del prezzo spot corrente.</t>
  </si>
  <si>
    <t>(b) C’è un limite inferiore per i prezzi futures, ma non c’è un limite superiore.</t>
  </si>
  <si>
    <t>(d) I prezzi futures possono essere determinati con ragionevole accuratezza sulla base dei prezzi spot e dei tassi d’interesse per i prestiti di denaro.</t>
  </si>
  <si>
    <t>Negli Stati Uniti, i corporate bonds vengono in genere quotati in base alla regola di calcolo giorni 30/360. In altri termini, quando si calcolano gli interessi maturati, si assume che ogni mese sia composto da 30 giorni e che ci siano quindi 360 giorni in un anno.</t>
  </si>
  <si>
    <t>(a) $106,00</t>
  </si>
  <si>
    <t>(b) $106,02</t>
  </si>
  <si>
    <t>(c) $105,98</t>
  </si>
  <si>
    <t>(d) $106,04</t>
  </si>
  <si>
    <t xml:space="preserve">Il prezzo effettivo è pari al prezzo quotato più gli interessi maturati. I giorni effettivi tra il 1° aprile e il 1° maggio sono 30 e quelli tra il 1° aprile e il 1° ottobre sono 183. </t>
  </si>
  <si>
    <t>In questo caso, il prezzo quotato è $105 e l’interesse maturato è pari a $0,98 (= 30 / 183 × 0,12 / 2 × $100). Pertanto, la risposta corretta è $105,98.</t>
  </si>
  <si>
    <t>6.3. È il 1° maggio. Il prezzo quotato di un corporate bond, con valore nominale di $100 e tasso cedolare del 12% pagabile due volte l’anno (il 1° aprile e il 1° ottobre), è di $105. Qual è il prezzo effettivo?</t>
  </si>
  <si>
    <t xml:space="preserve">Il prezzo effettivo è pari al prezzo quotato più gli interessi maturati. Si assume che i giorni tra il 1° aprile e il 1° maggio siano 30 e quelli tra il 1° aprile e il 1° ottobre siano 180. </t>
  </si>
  <si>
    <t>In questo caso, il prezzo quotato è $105 e l’interesse maturato è pari a $1,00 (= 30 / 180 × 0,12 / 2 × $100). Pertanto, la risposta corretta è $106,00.</t>
  </si>
  <si>
    <t xml:space="preserve">Il costo di consegna del Treasury bond è pari al prezzo quotato del titolo meno il prodotto tra il prezzo quotato del futures e il fattore di conversione. </t>
  </si>
  <si>
    <t>I valori in questione sono $2,36; $2,68; $1,625 e $3,275 per i titoli sub (a), (b), (c) e (d), rispettivamente. Pertanto, il titolo sub (c) è il cheapest to deliver</t>
  </si>
  <si>
    <t>Le opzioni sub (a), (b) e (c) sono tutte opzioni effettivamente previste per la parte corta. L’opzione (d) no.</t>
  </si>
  <si>
    <t>(a) $6</t>
  </si>
  <si>
    <t>(b) $150</t>
  </si>
  <si>
    <t>(c) $60</t>
  </si>
  <si>
    <t>Il trader guadagna $25 per ogni punto base. Pertanto, il guadagno complessivo è pari a $150</t>
  </si>
  <si>
    <t>6.7. Nei futures su T-bonds, i titoli consegnabili sono:</t>
  </si>
  <si>
    <t>(a) attività che non offrono redditi;</t>
  </si>
  <si>
    <t>(b) attività che offrono un reddito noto;</t>
  </si>
  <si>
    <t>(c) attività che offrono un tasso di rendimento noto.</t>
  </si>
  <si>
    <t>I T-bonds sono attività che offrono un reddito noto (le cedole).</t>
  </si>
  <si>
    <t>6.8. Un ultra T-bond futures è un contratto in cui si possono consegnare</t>
  </si>
  <si>
    <t>(a) T-bonds con vita residua minore di 3 anni;</t>
  </si>
  <si>
    <t>(b) T-bonds con vita residua minore di 10 anni;</t>
  </si>
  <si>
    <t>(c) T-bonds con vita residua maggiore di 15 anni;</t>
  </si>
  <si>
    <t>(d) T-bonds con vita residua maggiore di 25 anni.</t>
  </si>
  <si>
    <t>Negli ultra T-bond futures si possono consegnare T-bonds con vita residua maggiore di 25 anni.</t>
  </si>
  <si>
    <t>(a) 100</t>
  </si>
  <si>
    <t>(b) 200</t>
  </si>
  <si>
    <t>(c) 300</t>
  </si>
  <si>
    <t>(d) 400</t>
  </si>
  <si>
    <t>Il valore del titolo sottostante il futures su T-Notes è pari a $110.000. Pertanto, per proteggere il portafoglio, il numero dei contratti futures da vendere è pari a 200</t>
  </si>
  <si>
    <t>6.11. A quanto equivale un punto base?</t>
  </si>
  <si>
    <t>(a) 1,0%</t>
  </si>
  <si>
    <t>(b) 0,1%</t>
  </si>
  <si>
    <t>(c) 0,01%</t>
  </si>
  <si>
    <t>(d) 0,001%</t>
  </si>
  <si>
    <t>Un punto base è pari a 0,01%.</t>
  </si>
  <si>
    <t>6.1. Negli Stati Uniti, quale regola di calcolo giorni si applica ai corporate bonds?</t>
  </si>
  <si>
    <t>6.12. Negli Stati Uniti, quale regola di calcolo giorni si applica ai Treasury bonds?</t>
  </si>
  <si>
    <t>In altri termini, gli interessi maturati vengono calcolati moltiplicando la cedola per il rapporto tra il numero dei giorni effettivi trascorsi dall’ultima data di pagamento e il numero di giorni da cui è composto il periodo di godimento della cedola.</t>
  </si>
  <si>
    <t xml:space="preserve">Negli Stati Uniti, i Treasury bonds vengono quotati in base alla regola di calcolo giorni effettivi / effettivi. </t>
  </si>
  <si>
    <t>6.13. Com’è definito il tasso di sconto di uno strumento di mercato monetario?</t>
  </si>
  <si>
    <t>(a) È pari al rapporto tra gli interessi e il valore nominale del titolo.</t>
  </si>
  <si>
    <t>(b) È pari al rapporto tra gli interessi e il valore corrente del titolo.</t>
  </si>
  <si>
    <t>(c) È pari al rapporto tra gli interessi e il valore medio del titolo.</t>
  </si>
  <si>
    <t>(d) È pari al tasso privo di rischio utilizzato per attualizzare i futuri pagamenti del titolo.</t>
  </si>
  <si>
    <t>Il tasso di sconto è pari al rapporto tra gli interessi e il valore nominale del titolo.</t>
  </si>
  <si>
    <t>6.14. Considerate un’obbligazione con vita residua di 2 anni e cedole semestrali calcolate in base a un tasso dell’8% annuo. Il tasso di rendimento effettivo del titolo è pari al 10% (composto continuamente). Qual è la sua duration?</t>
  </si>
  <si>
    <t>(a) 1,82</t>
  </si>
  <si>
    <t>(b) 1,85</t>
  </si>
  <si>
    <t>(c) 1,88</t>
  </si>
  <si>
    <t>(d) 1,92</t>
  </si>
  <si>
    <t>Pagamenti</t>
  </si>
  <si>
    <t>Tempo mancante</t>
  </si>
  <si>
    <t>Pagamento</t>
  </si>
  <si>
    <t>Peso</t>
  </si>
  <si>
    <t>Tempo × peso</t>
  </si>
  <si>
    <t>Duration</t>
  </si>
  <si>
    <t>La duration del titolo è pari alla media ponderata del tempo mancante ai futuri pagamenti, con pesi pari al valore attuale dei pagamenti. In questo caso, la duration è pari a 1,88 anni.</t>
  </si>
  <si>
    <t>6.15. Solo una delle seguenti affermazioni sulla duration non è corretta. Quale?</t>
  </si>
  <si>
    <t>(a) Nel caso degli zero-coupon bonds, è pari alla vita residua.</t>
  </si>
  <si>
    <t>(b) Nel caso dei coupon bonds, è pari alla media ponderata del tempo mancante ai futuri pa-gamenti, con pesi pari al valore attuale dei pagamenti.</t>
  </si>
  <si>
    <t>(c) Nel caso dei portafogli, è pari alla media ponderata delle durations dei singoli titoli, con pesi pari al valore corrente dei titoli.</t>
  </si>
  <si>
    <t>(d) Quando i tassi d’interesse aumentano di 100 punti base, il tasso di variazione dei prezzi di due obbligazioni con uguale duration è anch’esso uguale.</t>
  </si>
  <si>
    <t>La risposta sub (d) vale solo in prima approssimazione. Invece, tutte le altre affermazioni sono esattamente valide.</t>
  </si>
  <si>
    <t>6.16. Solo una delle seguenti affermazioni circa il fattore di conversione utilizzato nei futures su T-bonds è corretta. Quale?</t>
  </si>
  <si>
    <t>(a) È pari al prezzo che il titolo avrebbe se i pagamenti venissero attualizzati al 6% annuo.</t>
  </si>
  <si>
    <t>(b) È pari al prezzo che il titolo avrebbe se il suo tasso cedolare fosse pari al 6% annuo.</t>
  </si>
  <si>
    <t>(c) È pari al prezzo che il titolo avrebbe se i pagamenti venissero attualizzati all’8% annuo.</t>
  </si>
  <si>
    <t>(d) È pari al prezzo che il titolo avrebbe se il suo tasso cedolare fosse pari all’8% annuo.</t>
  </si>
  <si>
    <t>Il fattore di conversione viene determinato attualizzando i pagamenti al 6% annuo.</t>
  </si>
  <si>
    <t>(a) 0,105%</t>
  </si>
  <si>
    <t>(b) 0,103%</t>
  </si>
  <si>
    <t>(c) 0,098%</t>
  </si>
  <si>
    <t>(d) 0,093%</t>
  </si>
  <si>
    <t>(a) 5</t>
  </si>
  <si>
    <t>(b) 10</t>
  </si>
  <si>
    <t>(c) 15</t>
  </si>
  <si>
    <t>(d) 20</t>
  </si>
  <si>
    <t>(a) 2 anni</t>
  </si>
  <si>
    <t>(b) 5 anni</t>
  </si>
  <si>
    <t>(c) 10 anni</t>
  </si>
  <si>
    <t>(d) 20 anni</t>
  </si>
  <si>
    <t>6.20. Il duration matching immunizza un portafoglio:</t>
  </si>
  <si>
    <t>(a) dagli spostamenti paralleli della yield curve;</t>
  </si>
  <si>
    <t>(b) dagli spostamenti della yield curve;</t>
  </si>
  <si>
    <t>(c) dalle variazioni di pendenza della yield curve;</t>
  </si>
  <si>
    <t>(d) dai piccoli spostamenti paralleli della yield curve.</t>
  </si>
  <si>
    <t>Il duration matching immunizza il portafoglio dai piccoli spostamenti paralleli della yield curve. Non offre protezione contro il rischio di grandi spostamenti paralleli della yield curve o di spostamenti non-paralleli.</t>
  </si>
  <si>
    <t>(a) 2,4%</t>
  </si>
  <si>
    <t>(b) 2,7%</t>
  </si>
  <si>
    <t>(c) 3,0%</t>
  </si>
  <si>
    <t>(d) 3,3%</t>
  </si>
  <si>
    <t>7.2. Solo una delle seguenti affermazioni è corretta Quale?</t>
  </si>
  <si>
    <t>La risposta corretta è quella sub (b). Nei currency swaps sono presenti due capitali, uno per ogni valuta. I capitali viaggiano nella direzione opposta degli interessi all’inizio dello swap e nella stessa direzione degli interessi alla fine dello swap.</t>
  </si>
  <si>
    <t>7.4. Quale delle seguenti frasi descrive meglio il tasso swap a 5 anni?</t>
  </si>
  <si>
    <t>(c) La media di (a) e (b).</t>
  </si>
  <si>
    <t>(d) Il più alto di (a) e (b).</t>
  </si>
  <si>
    <t>Il tasso swap è la media del tasso bid, sub (a), e del tasso ask, sub (b).</t>
  </si>
  <si>
    <t>7.5. Per quale scopo vengono utilizzati i currency swaps?</t>
  </si>
  <si>
    <t>(a) Per scambiare un’attività denominata in una certa valuta con un’attività denominata in un’altra valuta.</t>
  </si>
  <si>
    <t>(b) Per scambiare una passività denominata in una certa valuta con una passività denominata in un’altra valuta.</t>
  </si>
  <si>
    <t>(c) Per trarre vantaggio dai casi in cui le aliquote fiscali di due paesi siano diverse.</t>
  </si>
  <si>
    <t>(d) Tutte le precedenti risposte sono corrette.</t>
  </si>
  <si>
    <t xml:space="preserve">I currency swaps possono essere utilizzati per uno qualsiasi degli scopi elencati sub (a), (b) e (c). </t>
  </si>
  <si>
    <t>La risposta sub (d) è quella giusta perché tutte le precedenti affermazioni sono corrette.</t>
  </si>
  <si>
    <t>(b) L'interest rate swap è un portafoglio di forward rate agreements.</t>
  </si>
  <si>
    <t xml:space="preserve">(c) L’interest rate swap è un contratto per scambiare il fisso con il variabile. </t>
  </si>
  <si>
    <t>7.8. Quale delle seguenti affermazioni sugli interest rate swaps è corretta?</t>
  </si>
  <si>
    <t>(a) Di solito, il valore di un interest rate swap è prossimo a zero nel momento in cui il contratto viene negoziato.</t>
  </si>
  <si>
    <t>(b) Il valore di ogni forward rate agreement sottostante lo swap è prossimo a zero nel momento in cui il contratto viene negoziato.</t>
  </si>
  <si>
    <t>(c) L’argomentazione del vantaggio comparato rappresenta un valido motivo per entrare in un interest rate swap.</t>
  </si>
  <si>
    <t>Il valore dello swap è prossimo a zero nel momento in cui il contratto viene negoziato (può essere non esattamente nullo a causa del bid-ask spread del market maker).</t>
  </si>
  <si>
    <t xml:space="preserve">Non è vero che il valore di ogni forward rate agreement sottostante lo swap è prossimo a zero nel momento in cui il contratto viene negoziato (la somma algebrica del valore dei singoli FRAs è nulla, ma questo non vuol dire che lo sia anche ogni singolo FRA). </t>
  </si>
  <si>
    <t>Subito dopo il pagamento del valore finale di un FRA, la somma dei valori attuali dei restanti pagamenti a tasso variabile è pari al valore nozionale dello swap, ma questo non è necessariamente vero per i restanti pagamenti a tasso fisso.</t>
  </si>
  <si>
    <t xml:space="preserve">Dato che l’ottica è quella di chi paga il fisso, i forward rate agreements sottostanti lo swap sono contratti in cui si paga il fisso e si riceve il variabile. Il loro valore può essere determinato assumendo che i tassi forward si realizzino. </t>
  </si>
  <si>
    <t xml:space="preserve">Per ipotesi, i tassi forward crescono con la scadenza. Questo vuol dire che il valore dei forward rate agreements cresce con la scadenza. </t>
  </si>
  <si>
    <t>Dato che la somma algebrica dei valori correnti dei forward rate agreements deve essere nulla, il valore corrente dei primi forward rate agreements deve essere necessariamente negativo, mentre quello dei successivi deve essere positivo.</t>
  </si>
  <si>
    <t>(a) Il valore dello swap per la società aumenta.</t>
  </si>
  <si>
    <t>(b) Il valore dello swap per la società diminuisce.</t>
  </si>
  <si>
    <t>(c) Il valore dello swap per la società può aumentare o diminuire.</t>
  </si>
  <si>
    <t>(d) Il valore dello swap per la società non cambia purché il tasso swap resti invariato.</t>
  </si>
  <si>
    <t>(a) due interest rate swaps, uno per ciascuna valuta;</t>
  </si>
  <si>
    <t>(b) un fixed-for-fixed currency swap e un interest rate swap;</t>
  </si>
  <si>
    <t>(c) un fixed-for-fixed currency swap e due interest rate swaps, uno per ciascuna valuta.</t>
  </si>
  <si>
    <t xml:space="preserve">(i) un fixed-for-fixed currency swap dove si paga, ad esempio, il 5% nella valuta X e si riceve, ad esempio, il 4% nella valuta Y; </t>
  </si>
  <si>
    <t>(ii) un interest rate swap dove si riceve il 5% nella valuta X e si paga il variabile nella valuta X; e</t>
  </si>
  <si>
    <t xml:space="preserve"> (iii) un interest rate swap in cui si paga il 4% nella valuta Y e si riceve il variabile nella valuta Y.</t>
  </si>
  <si>
    <t>7.13. Un floating-for-floating currency swap equivale a:</t>
  </si>
  <si>
    <t xml:space="preserve">Un floating-for-floating currency swap in cui si paga nella valuta X e si riceve nella valuta Y equivale a: </t>
  </si>
  <si>
    <t>7.14. Un floating-for-fixed currency swap equivale a:</t>
  </si>
  <si>
    <t xml:space="preserve">Un floating-for-fixed currency swap in cui si paga il variabile nella valuta X e si riceve il fisso nella valuta Y equivale a: </t>
  </si>
  <si>
    <t xml:space="preserve">(i) un fixed-for-fixed currency swap dove si paga, ad esempio, il 5% nella valuta X e si riceve il fisso nella valuta Y; e </t>
  </si>
  <si>
    <t>(ii) un interest rate swap dove si riceve il 5% nella valuta X e si paga il variabile nella valuta X.</t>
  </si>
  <si>
    <t>(a) 0,00%</t>
  </si>
  <si>
    <t>(b) 2,66%</t>
  </si>
  <si>
    <t>(c) 2,06%</t>
  </si>
  <si>
    <t>(d) 1,06%</t>
  </si>
  <si>
    <t>Sia $100 il valore nozionale dello swap. Il valore del titolo a tasso variabile sottostante lo swap è pari a $100. Il valore del titolo a tasso fisso è pari a $97,34:</t>
  </si>
  <si>
    <t>Pertanto, il valore dello swap è pari a $2,66 (= $100 − $97,34), ossia al 2,66% del nozionale.</t>
  </si>
  <si>
    <t>Date</t>
  </si>
  <si>
    <t>Zero rates</t>
  </si>
  <si>
    <t>Val. attuale</t>
  </si>
  <si>
    <t>(a) $74.250</t>
  </si>
  <si>
    <t>(c) −$11.250</t>
  </si>
  <si>
    <t>(d) $103.790.</t>
  </si>
  <si>
    <t>Forward rate</t>
  </si>
  <si>
    <t>(a) 3 punti base</t>
  </si>
  <si>
    <t>(b) 8 punti base</t>
  </si>
  <si>
    <t>(c) 13 punti base</t>
  </si>
  <si>
    <t>(d) 18 punti base</t>
  </si>
  <si>
    <t>(a) Il tasso su un prestito a 5 anni a favore di una società con rating AA.</t>
  </si>
  <si>
    <t>(b) Il tasso su un prestito a 5 anni a favore di una società con rating A.</t>
  </si>
  <si>
    <t>(c) Il tasso che si può ottenere in 5 anni concedendo una serie di prestiti a breve termine a società con rating AA.</t>
  </si>
  <si>
    <t>(d) Il tasso che si può ottenere in 5 anni concedendo una serie di prestiti a breve termine a società con rating A.</t>
  </si>
  <si>
    <t xml:space="preserve">8.4. Supponete che venga creato un ABS sulla base di un portafoglio di mutui subprime. </t>
  </si>
  <si>
    <t>8.1. Solo uno dei seguenti eventi tende a far aumentare il prezzo delle case. Quale?</t>
  </si>
  <si>
    <t>(a) L’aumento dei tassi d’interesse.</t>
  </si>
  <si>
    <t xml:space="preserve">L’aumento dei tassi d’interesse tende a far diminuire i prezzi delle case perché i compratori devono sostenere costi di finanziamento più elevati. </t>
  </si>
  <si>
    <t xml:space="preserve">La fissazione di un tetto al «rapporto tra l’importo del mutuo e il valore di mercato della casa» (loan to value ratio) fa sì che alcuni possibili acquirenti non riescano a ottenere i mutui che desiderano. Di conseguenza, la minore domanda di case ha un effetto depressivo sui prezzi. </t>
  </si>
  <si>
    <t xml:space="preserve">L’aumento dei «pignoramenti immobiliari» (foreclosures) fa aumentare l’offerta di case e anche questo si traduce in una riduzione dei prezzi degli immobili. </t>
  </si>
  <si>
    <t>Invece, se le banche allentano i propri standard nella concessione dei mutui (ad es. riducendo livello minimo del FICO score) la domanda di case aumenta perché più gente può ottenere un mutuo. Di conseguenza, i prezzi aumentano.</t>
  </si>
  <si>
    <t xml:space="preserve">Nei mutui «senza rivalsa» (non-recourse, i creditori non possono rifarsi sui beni del debitore diversi dalla casa. </t>
  </si>
  <si>
    <t xml:space="preserve">Questo vuol dire che, se il prezzo della casa scende al di sotto del debito residuo, al debitore conviene cedere la casa al creditore ed estinguere il mutuo. </t>
  </si>
  <si>
    <t>Pertanto, il debitore ha una put americana che gli consente di vendere la casa a un prezzo d’esercizio pari al debito residuo del mutuo.</t>
  </si>
  <si>
    <t>(b) Le cartolarizzazioni consentono di trasferire i rischi.</t>
  </si>
  <si>
    <t>(c) I «costi d’agenzia» (agency costs) sono costi che emergono quando gli interessi delle parti coinvolte in una relazione d’affari non sono perfettamente allineati tra loro.</t>
  </si>
  <si>
    <t>(d) Le correlazioni tendono a diminuire quando le condizioni di mercato diventano critiche.</t>
  </si>
  <si>
    <t>Le affermazioni sub (a), (b) e (c) sono corrette. Quella sub (d) non è corretta perché le corre-lazioni tendono ad aumentare quando le condizioni di mercato diventano critiche.</t>
  </si>
  <si>
    <t>Le quote di capitale allocate alle singole tranches sono: senior 80%, mezzanine 10%, equity 10%.</t>
  </si>
  <si>
    <t>In percentuale del capitale della tranche, quali sono le perdite per la mezzanine tranche dell’ABS?</t>
  </si>
  <si>
    <t>(a) 50%</t>
  </si>
  <si>
    <t>(b) 60%</t>
  </si>
  <si>
    <t>(c) 80%</t>
  </si>
  <si>
    <t>(d) 100%</t>
  </si>
  <si>
    <t>L’equity tranche assorbe il 10% delle perdite. Il restante 6% (= 16% − 10%) viene assorbito dalla mezzanine tranche. La dimensione della mezzanine tranche è pari al 10%. Pertanto, le perdite per la mezzanine tranche dell’ABS sono pari al 60% (= 6% / 10%) del capitale.</t>
  </si>
  <si>
    <t>Perdite
sulla mezz. tranche dell’ABS</t>
  </si>
  <si>
    <t>Come mostra la risposta alla precedente domanda, la mezzanine tranche dell’ABS viene «cancellata» (wiped out) per il 60%. Il primo 10% di questo 60% viene assorbito dall’equity tranche dell’ABS CDO.</t>
  </si>
  <si>
    <t>Il successivo 10% viene assorbito dalla mezzanine tranche dell’ABS CDO. Il restante 40% (= 60% − 10% − 10%) viene assorbito dalla senior tranche dell’ABS CDO. Pertanto, la mezzanine tranche dell’ABS CDO viene cancellata per il 100%:</t>
  </si>
  <si>
    <t>Come mostra la risposta alla precedente domanda, la senior tranche dell’ABS CDO assorbe il 40% delle perdite. Pertanto, la senior tranche dell’ABS CDO viene cancellata per il 50%.</t>
  </si>
  <si>
    <t>8.7. Cos’è che ha determinato le perdite di AIG?</t>
  </si>
  <si>
    <t>(a) L’acquisto di tranches basate su mutui subprime.</t>
  </si>
  <si>
    <t>(b) I forti investimenti in immobili.</t>
  </si>
  <si>
    <t>(c) I forti investimenti sul mercato azionario.</t>
  </si>
  <si>
    <t>(d) L’assicurazione delle tranches AAA delle ABS CDOs.</t>
  </si>
  <si>
    <t>AIG assicurava le tranches AAA delle ABS CDOs.</t>
  </si>
  <si>
    <t>8.8. Quale delle seguenti banche è sopravvissuta alla crisi senza dichiarare fallimento e senza essere acquistata da un’altra istituzione finanziaria?</t>
  </si>
  <si>
    <t>(a) Bear Stearns</t>
  </si>
  <si>
    <t>(b) Morgan Stanley</t>
  </si>
  <si>
    <t>(c) Lehman Brothers</t>
  </si>
  <si>
    <t>(d) Merrill Lynch</t>
  </si>
  <si>
    <t>Morgan Stanley è sopravvissuta alla crisi senza dichiarare fallimento e senza essere acquistata da un’altra istituzione finanziaria. Bear Stearns è stata acquistata da JP Morgan e Merrill Lynch è stata acquistata da Bank of America. Lehman Brothers è fallita.</t>
  </si>
  <si>
    <t>8.9. Cosa sono i teaser rates?</t>
  </si>
  <si>
    <t>(a) Tassi d’interesse che sembrano più bassi di quel che sono effettivamente.</t>
  </si>
  <si>
    <t>(b) Tassi d’interesse che dipendono dal Libor.</t>
  </si>
  <si>
    <t>(c) Tassi d’interesse su mutui con un periodo di ammortamento molto lungo.</t>
  </si>
  <si>
    <t>(d) Tassi d’interesse che valgono solo per i primi 2-3 anni.</t>
  </si>
  <si>
    <t xml:space="preserve">I «tassi d’interesse “civetta”» (teaser interest rates) sono tassi d’interesse bassi che valgono solo per i primi 2-3 anni di un mutuo. </t>
  </si>
  <si>
    <t>Chi ha finanziato l’acquisto di una casa con questi mutui riteneva di poter sostenere l’onere dei teaser rates e sperava poi di poter trasformare il mutuo, dopo 2-3 anni, in un altro con condizioni più favorevoli.</t>
  </si>
  <si>
    <t>8.10. Solo una delle seguenti frasi descrive le finalità delle waterfalls utilizzate prima della crisi. Quale?</t>
  </si>
  <si>
    <t>(a) L’attribuzione dei cash flows alle tranches con un criterio di priorità volto a privilegiare la tranche con il migliore rating.</t>
  </si>
  <si>
    <t>(b) L’attribuzione dei cash flows alle tranches in proporzione ai rispettivi capitali.</t>
  </si>
  <si>
    <t>(c) L’attribuzione delle perdite alle tranches in proporzione ai rispettivi capitali.</t>
  </si>
  <si>
    <t>L’effetto della «cascata» (waterfall) era quello di incanalare i cash flows verso la tranche più senior (con rating migliore), poi verso la tranche con seniority immediatamente successiva, e così via.</t>
  </si>
  <si>
    <t>8.12. Quale dei seguenti provvedimenti è stato adottato prima della crisi creditizia che ha avuto origine nel 2007?</t>
  </si>
  <si>
    <t>(a) Basilea II</t>
  </si>
  <si>
    <t>(b) Dodd-Frank</t>
  </si>
  <si>
    <t>(c) Basilea III</t>
  </si>
  <si>
    <t>(d) La normativa sui «testamenti biologici» (living wills)</t>
  </si>
  <si>
    <t>Basilea II è stata proposta per la prima volta nel 1999 ed è stata attuata nella maggior parte del mondo nel 2007. Gli altri provvedimenti sono stati adottati dopo l’inizio della crisi.</t>
  </si>
  <si>
    <t>8.13. Considerate gli effetti di un aumento della correlazione tra le insolvenze sui mutui. Solo una delle seguenti affermazioni è corretta. Quale?</t>
  </si>
  <si>
    <t>(a) È quasi certo che le equity tranches subiscano perdite.</t>
  </si>
  <si>
    <t>(b) Diventa più probabile che le senior tranches subiscano perdite.</t>
  </si>
  <si>
    <t>(c) Aumenta il numero atteso delle insolvenze.</t>
  </si>
  <si>
    <t>(d) Le equity tranches non subiscono conseguenze.</t>
  </si>
  <si>
    <t>Se la correlazione tra le insolvenze sui mutui è molto bassa la senior tranche è sicura, ma − col crescere della correlazione − diventa più probabile che subisca perdite.</t>
  </si>
  <si>
    <t xml:space="preserve"> Supponiamo che la probabilità d’insolvenza sia pari al 2%. Se la correlazione è nulla, ci si aspetta che − ogni anno − il tasso d’insolvenza sui mutui sia pari a circa il 2%. </t>
  </si>
  <si>
    <t>Di fatto è molto improbabile che la senior tranche subisca perdite. Al limite, quando la correlazione tra le insolvenze sui mutui è perfetta e positiva, la probabilità che la senior tranche subisca perdite in un certo anno è pari al 2%.</t>
  </si>
  <si>
    <t>8.14. Solo una delle seguenti affermazioni sull’indice S&amp;P/Case-Shiller è corretta. Quale?</t>
  </si>
  <si>
    <t>(a) Un indice del mercato azionario.</t>
  </si>
  <si>
    <t>(b) Un indice dei tassi d’interesse sui mutui.</t>
  </si>
  <si>
    <t>(c) Un indice dei prezzi delle case.</t>
  </si>
  <si>
    <t>(d) Un indice che mostra il valore nominale dei mutui erogati ogni mese.</t>
  </si>
  <si>
    <t>L’indice S&amp;P/Case-Shiller è un indice dei prezzi delle case.</t>
  </si>
  <si>
    <t xml:space="preserve">8.5. Supponete che vengano creati più ABSs sulla base di portafogli di mutui subprime. </t>
  </si>
  <si>
    <t>Le quote di capitale allocate alle singole tranches sono: senior 80%, mezzanine 10%, equity 10% (i portafogli di mutui subprime hanno gli stessi tassi d’insolvenza).</t>
  </si>
  <si>
    <t>Ognuno dei portafogli di mutui subprime subisce perdite pari al 16% del capitale.</t>
  </si>
  <si>
    <t xml:space="preserve">8.6. Supponete che vengano creati più ABSs sulla base di portafogli di mutui subprime. </t>
  </si>
  <si>
    <t xml:space="preserve">8.15. Supponete che vengano creati più ABSs sulla base di portafogli di mutui subprime. </t>
  </si>
  <si>
    <t>In percentuale del capitale, a quanto devono ammontare le perdite sui mutui prima che la mezzanine tranche dell’ABS CDO subisca perdite?</t>
  </si>
  <si>
    <t>(a) 5,0%</t>
  </si>
  <si>
    <t>(b) 5,5%</t>
  </si>
  <si>
    <t>(c) 6,0%</t>
  </si>
  <si>
    <t>(d) 6,5%</t>
  </si>
  <si>
    <t xml:space="preserve">L’equity tranche dell’ABS CDO viene interamente wiped out quando le perdite sulle mezzanine tranches degli ABSs sono pari al 5%. </t>
  </si>
  <si>
    <t>Le perdite sulle mezzanine tranches degli ABSs sono pari al 5% quando le perdite sui portafogli di mutui subprime sono pari al 5,5% (= 5% + 5% × 10%).</t>
  </si>
  <si>
    <t xml:space="preserve">8.16. Supponete che vengano creati più ABSs sulla base di portafogli di mutui subprime. </t>
  </si>
  <si>
    <t>In percentuale del capitale, a quanto devono ammontare le perdite sui mutui prima che la senior tranche dell’ABS CDO subisca perdite?</t>
  </si>
  <si>
    <t>(a) 5,5%</t>
  </si>
  <si>
    <t>(b) 6,0%</t>
  </si>
  <si>
    <t>(c) 6,5%</t>
  </si>
  <si>
    <t>(d) 7,0%</t>
  </si>
  <si>
    <t>La senior tranche dell’ABS CDO inizia a subire perdite quando la mezzanine tranche dell’ABS CDO viene interamente «cancellata» (wiped out).</t>
  </si>
  <si>
    <t>La mezzanine tranche dell’ABS CDO inizia a subire perdite quando l’equity tranche dell’ABS CDO viene interamente «cancellata» (wiped out).</t>
  </si>
  <si>
    <t>La mezzanine tranche dell’ABS CDO viene interamente wiped out quando le perdite sulle mezzanine tranches degli ABSs sono pari al 15% (5% + 10%).</t>
  </si>
  <si>
    <t>Le perdite sulle mezzanine tranches degli ABSs sono pari al 15% quando le perdite sui portafogli di mutui subprime sono pari al 6,5% (= 5% + 15% × 10%).</t>
  </si>
  <si>
    <t xml:space="preserve">8.17. Supponete che vengano creati più ABSs sulla base di portafogli di mutui subprime. </t>
  </si>
  <si>
    <t>Viene poi creata una ABS CDO sulla base delle mezzanine tranches. Solo una delle seguenti affermazioni è corretta. Quale?</t>
  </si>
  <si>
    <t>(a) Le tranches dell’ABS CDO dovrebbero avere ratings compresi tra AAA e C.</t>
  </si>
  <si>
    <t>(b) Le tranches dell’ABS CDO dovrebbero avere tutte un rating BBB.</t>
  </si>
  <si>
    <t>(c) Le tranches dell’ABS CDO dovrebbero avere tutte un rating C.</t>
  </si>
  <si>
    <t>(d) Le tranches dell’ABS CDO sono quasi prive di valore perché le mezzanine tranches degli ABSs sono molto sottili.</t>
  </si>
  <si>
    <t xml:space="preserve">Dato che sono così sottili, le mezzanine tranches degli ABSs o restano tutte integre o vengono tutte cancellate. </t>
  </si>
  <si>
    <t>Pertanto, le tranches dell’ABS CDO hanno essenzialmente il loro stesso grado di rischio e dovrebbero quindi ricevere lo stesso rating (BBB).</t>
  </si>
  <si>
    <t>8.18. Solo una delle seguenti affermazioni sul regulatory arbitrage è corretta. Quale?</t>
  </si>
  <si>
    <t>(a) Trovare un modo per ridurre i requisiti patrimoniali senza modificare i rischi assunti.</t>
  </si>
  <si>
    <t>(b) Acquistare prodotti che non sono soggetti a regolamentazione.</t>
  </si>
  <si>
    <t>(c) Vendere prodotti che non sono soggetti a regolamentazione.</t>
  </si>
  <si>
    <t>(d) Fare operazioni su titoli di Stato.</t>
  </si>
  <si>
    <t>L’«arbitraggio regolamentare» (regulatory arbitrage) consiste nell’organizzare le attività di trading e i sistemi contabili in modo da ridurre i requisiti patrimoniali senza modificare i rischi assunti.</t>
  </si>
  <si>
    <t>8.19. Solo una delle seguenti frase descrive i mutui subprime. Quale?</t>
  </si>
  <si>
    <t>(a) Il tasso d’interesse è minore del prime rate.</t>
  </si>
  <si>
    <t>(b) Il loan-to-value ratio è sotto la media.</t>
  </si>
  <si>
    <t>(c) La vita dei mutui è minore di 25 anni.</t>
  </si>
  <si>
    <t>(d) Il rischio di credito è elevato.</t>
  </si>
  <si>
    <t>Non esiste una definizione precisa di mutuo subprime. Tuttavia, una cosa certa è che il rischio di credito dei mutui subprime è maggiore di quello dei mutui ordinari.</t>
  </si>
  <si>
    <t>8.20. Solo una delle seguenti frasi descrive i liar loans. Quale?</t>
  </si>
  <si>
    <t>(a) Prestiti in cui la banca ha nascosto informazioni al cliente.</t>
  </si>
  <si>
    <t>(b) Prestiti in cui la banca ha mentito al cliente circa il tasso d’interesse applicato.</t>
  </si>
  <si>
    <t>(c) Prestiti in cui il mutuatario ha mentito alla banca in merito al suo reddito.</t>
  </si>
  <si>
    <t>I «prestiti bugiardi» (liar loans) sono prestiti in cui i mutuatari, sapendo che le loro dichiara-zioni non sarebbero state verificate, non sono stati sinceri nel compilare gli appositi modelli.</t>
  </si>
  <si>
    <t>Capitolo 10 Funzionamento dei Mercati delle Opzioni</t>
  </si>
  <si>
    <t>Capitolo 11 Proprietà Fondamentali delle Opzioni su Azioni</t>
  </si>
  <si>
    <t>Capitolo 12 Strategie Operative mediante Opzioni</t>
  </si>
  <si>
    <t>Capitolo 14 Processi di Wiener e Lemma di Itô</t>
  </si>
  <si>
    <t>Capitolo 15 Modello Black-Scholes-Merton</t>
  </si>
  <si>
    <t>Capitolo 16 Stock Options per Impiegati e Dirigenti</t>
  </si>
  <si>
    <t>Capitolo 17 Opzioni su Indici Azionari e Valute</t>
  </si>
  <si>
    <t>Capitolo 19 Lettere Greche</t>
  </si>
  <si>
    <t>Capitolo 21 Procedure Numeriche</t>
  </si>
  <si>
    <t>Capitolo 23 Stima di Volatilità e Correlazioni</t>
  </si>
  <si>
    <t>Capitolo 24 Rischio di Credito</t>
  </si>
  <si>
    <t>Capitolo 25 Derivati Creditizi</t>
  </si>
  <si>
    <t>10.1. Solo una delle seguenti frasi descrive un’opzione call. Quale?</t>
  </si>
  <si>
    <t>(a) Il diritto di comprare una certa attività a un certo prezzo.</t>
  </si>
  <si>
    <t>(b) L’obbligo di comprare una certa attività a un certo prezzo.</t>
  </si>
  <si>
    <t>(c) Il diritto di vendere una certa attività a un certo prezzo.</t>
  </si>
  <si>
    <t>(d) L’obbligo di vendere una certa attività a un certo prezzo.</t>
  </si>
  <si>
    <t>Le opzioni call danno al compratore il diritto, non l’obbligo, di comprare una certa attività a un certo prezzo.</t>
  </si>
  <si>
    <t>10.2. Solo una delle seguenti affermazioni è corretta. Quale?</t>
  </si>
  <si>
    <t>(a) La long call equivale a una short put.</t>
  </si>
  <si>
    <t>(b) La short call equivale a una long put.</t>
  </si>
  <si>
    <t>(c) La call su un’azione più l’azione stessa equivale a una put.</t>
  </si>
  <si>
    <t xml:space="preserve">Nessuna affermazione è corretta. I payoffs di long calls, short calls, long puts e short puts sono tutti diversi (Figura 10.5). </t>
  </si>
  <si>
    <t>Come viene spiegato nel Capitolo 11 e nel Capitolo 12, il payoff del portafoglio composto da una put su un’azione più l’azione stessa è simile a quello di una call, ma la call su un’azione più l’azione stessa non equivale a una put.</t>
  </si>
  <si>
    <t>(a)  Ha una put che gli dà il diritto di vendere 100 azioni a $20 l’una.</t>
  </si>
  <si>
    <t>(b) Ha una put che gli dà il diritto di vendere 100 azioni a $10 l’una.</t>
  </si>
  <si>
    <t>(c) Ha una put che gli dà il diritto di vendere 200 azioni a $10 l’una.</t>
  </si>
  <si>
    <t>(d) Ha una put che gli dà il diritto di vendere 200 azioni a $20 l’una.</t>
  </si>
  <si>
    <t>Dopo un «frazionamento» (stock split), il numero delle azioni cresce e il prezzo d’esercizio diminuisce. In questo caso, dopo un frazionamento 2 × 1, il numero delle azioni raddoppia e il prezzo d’esercizio si dimezza.</t>
  </si>
  <si>
    <t>10.3. Considerate una put, negoziata in borsa, che dà a un investitore il diritto di vendere 100 azioni a $20 l’una. Qual è la posizione dell’investitore dopo uno stock split 2 × 1?</t>
  </si>
  <si>
    <t>10.4. Considerate una put, negoziata in borsa, che dà a un investitore il diritto di vendere 100 azioni a $20 l’una. Qual è la posizione dell’investitore dopo uno stock dividend del 25%?</t>
  </si>
  <si>
    <t>(b) Ha una put che gli dà il diritto di vendere 75 azioni a $25 l’una.</t>
  </si>
  <si>
    <t>(c) Ha una put che gli dà il diritto di vendere 125 azioni a $15 l’una.</t>
  </si>
  <si>
    <t>(d) Ha una put che gli dà il diritto di vendere 125 azioni a $16 l’una.</t>
  </si>
  <si>
    <t>L’«assegnazione gratuita» (stock dividend) in misura pari al 25% delle azioni detenute equivale a un frazionamento 5 × 4. Il numero delle azioni cresce del 25% (125 = 100 × 5/4) e il prezzo d’esercizio si riduce a 4/5 del precedente valore ($16 = 4/5 × $20).</t>
  </si>
  <si>
    <t>10.5. Considerate una put, negoziata in borsa, che dà a un investitore il diritto di vendere 100 azioni a $20 l’una. Qual è la posizione dell’investitore dopo un dividendo di $1?</t>
  </si>
  <si>
    <t>(b) Ha una put che gli dà il diritto di vendere 100 azioni a $19 l’una.</t>
  </si>
  <si>
    <t>(c) Ha una put che gli dà il diritto di vendere 105 azioni a $19 l’una.</t>
  </si>
  <si>
    <t>(d) Ha una put che gli dà il diritto di vendere 105 azioni a $19,05 l’una.</t>
  </si>
  <si>
    <t>Le opzioni non sono protette contro lo stacco dei dividendi, a meno che i dividendi non siano di importo insolitamente elevato.</t>
  </si>
  <si>
    <t xml:space="preserve">10.6. Solo una delle seguenti frasi descrive le posizioni corte su opzioni. Quale? </t>
  </si>
  <si>
    <t>(d) Posizioni in cui le opzioni vengono vendute.</t>
  </si>
  <si>
    <t>Le posizioni corte sono quelle in cui le opzioni vengono vendute (l’opposto delle posizioni lunghe).</t>
  </si>
  <si>
    <t>10.7. Solo una delle seguenti frasi mette in evidenza le differenze tra i warrants e le opzioni trattate in borsa. Quale?</t>
  </si>
  <si>
    <t>(a) In caso d’esercizio del warrant, un terzo garantisce che il venditore onori gli impegni.</t>
  </si>
  <si>
    <t>(b) Il numero dei warrants è fisso, mentre il numero delle opzioni in circolazione dipende dai quantitativi scambiati in borsa.</t>
  </si>
  <si>
    <t>(c) Le opzioni trattate in borsa hanno un prezzo d’esercizio.</t>
  </si>
  <si>
    <t>(d) Dopo l’acquisto, i warrants non possono più essere negoziati.</t>
  </si>
  <si>
    <t>I warrants vengono emessi dalle società in quantitativi prefissati. Dopo l’emissione, vengono spesso quotati in borsa.</t>
  </si>
  <si>
    <t>10.8. Solo una delle seguenti frasi descrive i LEAPS. Quale?</t>
  </si>
  <si>
    <t>(a) Opzioni che sono in parte europee e in parte americane.</t>
  </si>
  <si>
    <t>(b) Opzioni il cui strike si modifica nel tempo.</t>
  </si>
  <si>
    <t>(c) Opzioni trattate in borsa che hanno una scadenza più lunga di quella ordinaria.</t>
  </si>
  <si>
    <t>(d) Opzioni scritte sul prezzo medio del sottostante in un certo periodo di tempo.</t>
  </si>
  <si>
    <t>LEAPS è l’acronimo di long-term equity anticipation securities. Con questo termine si identificano le opzioni trattate in borsa che hanno una scadenza più lunga di quella ordinaria.</t>
  </si>
  <si>
    <t>10.9. Solo una delle seguenti frasi definisce un’option class. Quale?</t>
  </si>
  <si>
    <t>(a) Tutte le calls scritte su una certa azione.</t>
  </si>
  <si>
    <t>(b) Tutte le calls, con un certo strike, scritte su una certa azione.</t>
  </si>
  <si>
    <t>(c) Tutte le calls, con una certa scadenza, scritte su una certa azione.</t>
  </si>
  <si>
    <t>(d) Tutte le calls, con un certo strike e una certa scadenza, scritte su una certa azione.</t>
  </si>
  <si>
    <t>Tutte le opzioni dello stesso tipo (calls o puts), scritte su un certo titolo, costituiscono una «classe di opzioni» (option class).</t>
  </si>
  <si>
    <t>10.10. Solo una delle seguenti frasi definisce un’option series. Quale?</t>
  </si>
  <si>
    <t>Una «serie di opzioni» (option series) è formata da tutte le opzioni di una data classe con uguale scadenza e uguale prezzo d’esercizio.</t>
  </si>
  <si>
    <t>10.11. Chi deve effettuare un deposito di garanzia? Solo una delle seguenti risposte è corretta. Quale?</t>
  </si>
  <si>
    <t>(a) Il venditore di un’opzione.</t>
  </si>
  <si>
    <t>(b) Il compratore di un’opzione.</t>
  </si>
  <si>
    <t>(c) Il compratore e il venditore di un’opzione.</t>
  </si>
  <si>
    <t>(d) Né il compratore né il venditore di un’opzione.</t>
  </si>
  <si>
    <t>Il venditore di un’opzione deve versare i margini per garantire il compratore che, in caso d’esercizio, il valore finale dell’opzione verrà pagato.</t>
  </si>
  <si>
    <t>(a) Posizioni su opzioni con vita residua inferiore a 1 mese.</t>
  </si>
  <si>
    <t>(b) Posizioni su opzioni con vita residua inferiore a 3 mesi.</t>
  </si>
  <si>
    <t>(c) Posizioni su opzioni  con vita residua inferiore a 6 mesi.</t>
  </si>
  <si>
    <t>10.12. Solo una delle seguenti frasi descrive le posizioni lunghe su opzioni. Quale?</t>
  </si>
  <si>
    <t>(a) Posizioni su opzioni con vita residua superiore a 1 anno.</t>
  </si>
  <si>
    <t>(b) Posizioni su opzioni con vita residua superiore a 5 anni.</t>
  </si>
  <si>
    <t>(c) Posizioni in cui le opzioni vengono acquistate.</t>
  </si>
  <si>
    <t>(d) Posizioni che sono state detenute per un lungo periodo di tempo.</t>
  </si>
  <si>
    <t>Le posizioni lunghe sono quelle in cui le opzioni vengono acquistate (l’opposto delle posizioni corte).</t>
  </si>
  <si>
    <t>10.14. Quando un’opzione a 6 mesi viene acquistata</t>
  </si>
  <si>
    <t>(a) il premio deve essere integralmente pagato;</t>
  </si>
  <si>
    <t>(b) fino al 25% del premio può essere preso in prestito dal broker;</t>
  </si>
  <si>
    <t>(c) fino al 50% del premio può essere preso in prestito dal broker;</t>
  </si>
  <si>
    <t>(d) fino al 75% del premio può essere preso in prestito dal broker.</t>
  </si>
  <si>
    <t>L’«acquisto a credito» (buying on margin) è consentito solo per le opzioni con vita residua superiore a 9 mesi.</t>
  </si>
  <si>
    <t>10.15. Solo una delle seguenti affermazioni sulle opzioni trattate alla CBOE è corretta. Quale?</t>
  </si>
  <si>
    <t>(a) Non richiedono depositi di garanzia.</t>
  </si>
  <si>
    <t>(b) Il margine iniziale e il margine di mantenimento sono determinati da formule e sono uguali tra loro.</t>
  </si>
  <si>
    <t>(c) Il margine iniziale e il margine di mantenimento sono determinati da formule e sono diversi tra loro.</t>
  </si>
  <si>
    <t>(d) Di solito, il margine di mantenimento è pari al 75% del margine iniziale.</t>
  </si>
  <si>
    <t>Il saldo dei depositi di garanzia deve essere quotidianamente riportato al livello del margine iniziale / di mantenimento.</t>
  </si>
  <si>
    <t xml:space="preserve">10.16. Il prezzo corrente di un’azione è pari a $67. Un trader vende 5 contratti put, con strike $70, scritti sull’azione quando il prezzo unitario delle put è pari a $4. </t>
  </si>
  <si>
    <t>Le opzioni vengono esercitate quando il prezzo dell’azione sottostante è pari a $69. Qual è il profitto netto o la perdita netta del trader?</t>
  </si>
  <si>
    <t>(a) −$1.500</t>
  </si>
  <si>
    <t>(b) −$500</t>
  </si>
  <si>
    <t>(c) +$1.500</t>
  </si>
  <si>
    <t>Il payoff unitario è di $1 (= $70 − $69). Il premio unitario incassato inizialmente è di $4. Pertanto, il profitto netto unitario è pari a $3 (= $4 − $1). In totale, le opzioni vendute sono 500 (= 5 × 100). Pertanto il profitto netto complessivo è pari a $1.500.</t>
  </si>
  <si>
    <t>10.17. Un trader compra una call e vende una put con lo stesso prezzo d’esercizio e la stessa scadenza. A cosa equivale la sua posizione?</t>
  </si>
  <si>
    <t>(a) Un forward lungo.</t>
  </si>
  <si>
    <t>(b) Un forward corto.</t>
  </si>
  <si>
    <t>(c) L’acquisto a pronti del sottostante.</t>
  </si>
  <si>
    <t>10.18. Il prezzo corrente di un’azione è pari a $64. Un trader compra 1 contratto put, con strike $60, scritto sull’azione quando il prezzo unitario della put è pari a $10. Per quale livello del prezzo dell’azione sottostante il trader consegue un profitto netto?</t>
  </si>
  <si>
    <t>(a) Quando il prezzo dell’azione è minore di $60.</t>
  </si>
  <si>
    <t>(b) Quando il prezzo dell’azione è minore di $64.</t>
  </si>
  <si>
    <t>(c) Quando il prezzo dell’azione è minore di $54.</t>
  </si>
  <si>
    <t>(d) Quando il prezzo dell’azione è minore di $50.</t>
  </si>
  <si>
    <t>Il payoff unitario della put deve essere maggiore del premio pagato, che è pari a $10. Pertanto, il prezzo dell’azione deve essere minore di $50 ( = $60 − $10).</t>
  </si>
  <si>
    <t>10.19. Considerate una call e una put con lo stesso prezzo d’esercizio e la stessa scadenza. Solo una delle seguenti affermazioni è corretta. Quale?</t>
  </si>
  <si>
    <t>(a) Entrambe le opzioni possono essere in the money.</t>
  </si>
  <si>
    <t>(b) Entrambe le opzioni possono essere out of the money.</t>
  </si>
  <si>
    <t>(c) Una delle due opzioni deve essere in the money.</t>
  </si>
  <si>
    <t>(d) Una delle due opzioni deve essere at the money o in the money.</t>
  </si>
  <si>
    <t xml:space="preserve">Se il prezzo dell’azione è maggiore del prezzo d’esercizio, la call è in the money e la put è out of the money. </t>
  </si>
  <si>
    <t xml:space="preserve">Se il prezzo dell’azione è minore del prezzo d’esercizio, la call è out of the money e la put è in the money. </t>
  </si>
  <si>
    <t>Se il prezzo dell’azione è uguale al prezzo d’esercizio, entrambe le opzioni sono at the money.</t>
  </si>
  <si>
    <t>10.20. In quali dei seguenti casi non si configura una constructive sale?</t>
  </si>
  <si>
    <t>(a) Il proprietario vende l’attività a pronti.</t>
  </si>
  <si>
    <t>(b) Il proprietario compra una in-the-money put scritta sull’attività.</t>
  </si>
  <si>
    <t>(c) Il proprietario vende un forward scritto sull’attività.</t>
  </si>
  <si>
    <t>(d) Il proprietario vende un futures scritto sull’attività.</t>
  </si>
  <si>
    <t>Nel caso sub (b), non si ha una «vendita presunta» (constructive sale). Pertanto, l’acquisto di una deep-in-the-money put rappresenta un modo per bloccare quasi certamente un profitto senza innescare un’immediata passività fiscale.</t>
  </si>
  <si>
    <t>11.1. Quando il prezzo dell’azione sottostante aumenta, mentre tutto il resto rimane invariato, solo una delle seguenti affermazioni è corretta. Quale?</t>
  </si>
  <si>
    <t>(a) Il valore delle calls e delle puts aumenta.</t>
  </si>
  <si>
    <t>(b) Il valore delle calls e delle puts diminuisce.</t>
  </si>
  <si>
    <t>(c) Il valore delle calls aumenta, mentre il valore delle puts diminuisce.</t>
  </si>
  <si>
    <t>(d) Il valore delle calls diminuisce, mentre il valore delle puts aumenta.</t>
  </si>
  <si>
    <t>Quando il prezzo dell’azione sottostante aumenta, il valore delle calls aumenta, mentre il valore delle puts diminuisce.</t>
  </si>
  <si>
    <t>11.2. Quando il prezzo d’esercizio aumenta, mentre tutto il resto rimane invariato, solo una delle seguenti affermazioni è corretta. Quale?</t>
  </si>
  <si>
    <t>Quando il prezzo d’esercizio aumenta, il valore delle calls diminuisce, mentre il valore delle puts aumenta.</t>
  </si>
  <si>
    <t>Quando la volatilità aumenta, aumenta la probabilità di elevati payoffs sia per le calls sia per le puts. Il payoff di entrambe le opzioni non può mai essere negativo. Pertanto, se la volatilità aumenta, anche il valore di entrambe le opzioni aumenta.</t>
  </si>
  <si>
    <t>11.3. Quando la volatilità aumenta, mentre tutto il resto rimane invariato, solo una delle seguenti affermazioni è corretta. Quale?</t>
  </si>
  <si>
    <t>11.4. Quando i dividendi aumentano, mentre tutto il resto rimane invariato, solo una delle seguenti affermazioni è corretta. Quale?</t>
  </si>
  <si>
    <t>I dividendi pagati durante la vita dell’opzione riducono il prezzo finale del sottostante. Di conseguenza, quando i dividendi aumentano, il valore delle calls diminuisce, mentre il valore delle puts aumenta.</t>
  </si>
  <si>
    <t>11.5. Quando i tassi d’interesse aumentano, mentre tutto il resto rimane invariato, solo una delle seguenti affermazioni è corretta. Quale?</t>
  </si>
  <si>
    <t>Si noti che, per ipotesi, solo i tassi d’interesse aumentano, mentre tutto il resto rimane invariato, compreso il prezzo delle azioni.</t>
  </si>
  <si>
    <t>(a) Il valore delle opzioni europee aumenta.</t>
  </si>
  <si>
    <t>(b) Il valore delle opzioni europee aumenta o rimane inalterato.</t>
  </si>
  <si>
    <t>(c) Il valore delle opzioni europee rimane inalterato.</t>
  </si>
  <si>
    <t>(d) Il valore delle opzioni europee può aumentare o diminuire.</t>
  </si>
  <si>
    <t>11.6. Quando la vita residua dell’opzione aumenta, mentre tutto il resto rimane invariato, solo una delle seguenti affermazioni è corretta. Quale?</t>
  </si>
  <si>
    <t>(a) $5,00</t>
  </si>
  <si>
    <t>(b) $5,98</t>
  </si>
  <si>
    <t>(c) $4,98</t>
  </si>
  <si>
    <t>(d) $3,98</t>
  </si>
  <si>
    <t>11.7. Qual è il limite inferiore per il prezzo di una call europea a 1 anno, scritta su un titolo che non paga dividendi, se il prezzo dell’azione sottostante è di $30, il prezzo d’esercizio è di $25</t>
  </si>
  <si>
    <t>e il tasso d’interesse privo di rischio (composto continuamente) è del 4 per cento annuo?</t>
  </si>
  <si>
    <t>11.8. Qual è il limite inferiore per il prezzo di una put europea a 2 anni, scritta su un titolo che non paga dividendi, se il prezzo dell’azione sottostante è di $50, il prezzo d’esercizio è di $54</t>
  </si>
  <si>
    <t>e il tasso d’interesse privo di rischio (composto continuamente) è del 3 per cento annuo?</t>
  </si>
  <si>
    <t>(a) $4,00</t>
  </si>
  <si>
    <t>(b) $3,86</t>
  </si>
  <si>
    <t>(c) $2,86</t>
  </si>
  <si>
    <t>(d) $0,86</t>
  </si>
  <si>
    <t>11.9. Supponete che i valori attuali siano calcolati dalla fine all’inizio della vita dell’opzione. Solo una delle seguenti affermazioni non è corretta. Quale?</t>
  </si>
  <si>
    <t>(a) Il valore corrente di una put americana è sempre minore del valore attuale del prezzo d’esercizio.</t>
  </si>
  <si>
    <t>(b) Il valore corrente di una put europea è sempre minore del valore attuale del prezzo d’esercizio.</t>
  </si>
  <si>
    <t>(c) Il valore corrente di una call europea è sempre minore del prezzo del sottostante.</t>
  </si>
  <si>
    <t>(d) Il valore corrente di una call americana è sempre minore del prezzo del sottostante.</t>
  </si>
  <si>
    <t>Se è ottimale esercitare una put americana oggi e il prezzo del sottostante è molto basso, il valore corrente delle put americana è maggiore del valore attuale del prezzo d’esercizio.</t>
  </si>
  <si>
    <t>11.10. Quale delle seguenti frasi descrive meglio il valore intrinseco di un’opzione?</t>
  </si>
  <si>
    <t>(a) Il valore che l’opzione avrebbe se il possessore l’esercitasse subito o dovesse abbandonarla.</t>
  </si>
  <si>
    <t>(b) Il prezzo Black-Scholes-Merton dell’opzione.</t>
  </si>
  <si>
    <t>(c) Il limite inferiore del prezzo dell’opzione.</t>
  </si>
  <si>
    <t>(d) L’importo pagato per acquistare l’opzione.</t>
  </si>
  <si>
    <t>Il valore intrinseco di un’opzione è il valore che l’opzione avrebbe se fosse vicina alla scadenza, ossia il valore sub (a).</t>
  </si>
  <si>
    <t>11.11. Solo una delle seguenti circostanze rende più probabile l’esercizio anticipato di una put americana. Quale?</t>
  </si>
  <si>
    <t>(a) L’aumento dei dividendi attesi.</t>
  </si>
  <si>
    <t>(b) La riduzione dei tassi d’interesse.</t>
  </si>
  <si>
    <t>(c) La riduzione della volatilità nel mercato azionario.</t>
  </si>
  <si>
    <t>Col ridursi della volatilità, il valore temporale dell’opzione diminuisce ed è più probabile che l’opzione venga esercitata anticipatamente. Nei casi sub (a) e (b), il valore temporale aumenta ed è meno probabile che l’opzione venga esercitata anticipatamente.</t>
  </si>
  <si>
    <t>11.12. Solo una delle seguenti affermazioni è corretta. Quale?</t>
  </si>
  <si>
    <t>(a) Le calls americane su azioni non dovrebbero essere mai esercitate anticipatamente.</t>
  </si>
  <si>
    <t>(b) Le calls americane su azioni non dovrebbero essere mai esercitate anticipatamente quando ci si aspetta che non vengano pagati dividendi.</t>
  </si>
  <si>
    <t>(c) C’è sempre una qualche probabilità che le calls americane su azioni vengano esercitate anticipatamente.</t>
  </si>
  <si>
    <t>(d) C’è sempre una qualche probabilità che le calls americane su azioni vengano esercitate anticipatamente quando ci si aspetta che non vengano pagati dividendi.</t>
  </si>
  <si>
    <t xml:space="preserve">Quando ci si aspetta che non vengano pagati dividendi, le calls americane su azioni non dovrebbero essere mai esercitate anticipatamente. </t>
  </si>
  <si>
    <t>I motivi sono due. Innanzitutto, conviene posticipare il pagamento del prezzo d’esercizio. Inoltre, l’esercizio fa perdere il contenuto assicurativo dell’opzione (la call protegge dal rischio che il prezzo dell’azione scenda al di sotto del prezzo d’esercizio).</t>
  </si>
  <si>
    <t>11.13. Solo una delle seguenti frasi descrive la put-call parity per il caso in cui l’azione sottostante non paghi dividendi. Quale?</t>
  </si>
  <si>
    <t>(a) Il prezzo di una put europea più il prezzo di una call europea deve essere uguale al prezzo dell’azione più il valore attuale del prezzo d’esercizio.</t>
  </si>
  <si>
    <t>(b) Il prezzo di una put europea più il valore attuale del prezzo d’esercizio deve essere uguale al prezzo di una call europea più il prezzo dell’azione.</t>
  </si>
  <si>
    <t>(c) Il prezzo di una put europea più il prezzo dell’azione deve essere uguale al prezzo di una call europea più il prezzo d’esercizio.</t>
  </si>
  <si>
    <t>(d) Il prezzo di una put europea più il prezzo dell’azione deve essere uguale al prezzo di una call europea più il valore attuale del prezzo d’esercizio.</t>
  </si>
  <si>
    <t>11.14. Solo una delle seguenti affermazioni è corretta quando ci si attende che vengano pagati dividendi. Quale?</t>
  </si>
  <si>
    <t>(a) La put-call parity non è più valida.</t>
  </si>
  <si>
    <t>(b) La formulazione base della put-call parity può essere aggiustata sottraendo dal prezzo dell’azione il valore attuale dei dividendi attesi.</t>
  </si>
  <si>
    <t>(c) La formulazione base della put-call parity può essere aggiustata aggiungendo al prezzo dell’azione il valore attuale dei dividendi attesi.</t>
  </si>
  <si>
    <t>(d) La formulazione base della put-call parity può essere aggiustata sottraendo il dividend yield dal tasso d’interesse.</t>
  </si>
  <si>
    <t>La put-call parity continua a valere se si sottrae dal prezzo dell’azione il valore attuale dei dividendi attesi.</t>
  </si>
  <si>
    <t xml:space="preserve">11.15. Il prezzo di una call europea, con prezzo d’esercizio di $50 e scadenza tra 1 anno, scritta su un titolo che non paga dividendi è di $6. </t>
  </si>
  <si>
    <t>(a) $9,91</t>
  </si>
  <si>
    <t>(b) $7,00</t>
  </si>
  <si>
    <t>(c) $6,00</t>
  </si>
  <si>
    <t>(d) $2,09</t>
  </si>
  <si>
    <t>Il prezzo corrente dell’azione sottostante è di $51 e la zero curve è piatta al livello del 6% (composto continuamente). Qual è il prezzo di una put europea, con prezzo d’esercizio di $50 e scadenza tra 1 anno, scritta sullo stesso titolo?</t>
  </si>
  <si>
    <t xml:space="preserve">11.16. Il prezzo di una call europea, con prezzo d’esercizio di $50 e scadenza tra 1 anno, è di $6. Il prezzo corrente dell’azione sottostante è di $51 e la zero curve è piatta al livello del 6% (composto continuamente). </t>
  </si>
  <si>
    <t>Ci si aspetta che tra 6 mesi verrà pagato un dividendo di $1. Qual è il valore di una put europea, con prezzo d’esercizio di $50 e scadenza tra 1 anno, scritta sullo stesso titolo?</t>
  </si>
  <si>
    <t>(a) $8,97</t>
  </si>
  <si>
    <t>(b) $6,97</t>
  </si>
  <si>
    <t>(c) $3,06</t>
  </si>
  <si>
    <t>(d) $1,12</t>
  </si>
  <si>
    <t>Alle 10:01 giunge sul mercato una notizia che non ha effetti sul prezzo dell’azione ma fa aumentare la sua volatilità, per cui il prezzo della call sale a $4,5. Solo una delle seguenti affermazioni è corretta. Quale?</t>
  </si>
  <si>
    <t xml:space="preserve">11.17. Considerate una call e una put con lo stesso prezzo d’esercizio e la stessa scadenza. Alle 10 di un certo giorno il prezzo della call è di $3 e il prezzo della put è di $4. </t>
  </si>
  <si>
    <t>(a) Il prezzo della put sale a $6,0.</t>
  </si>
  <si>
    <t>(b) Il prezzo della put scende a $2,0.</t>
  </si>
  <si>
    <t>(c) Il prezzo della put sale a $5,5.</t>
  </si>
  <si>
    <t>(d) È possibile che non ci siano effetti sul prezzo della put.</t>
  </si>
  <si>
    <t>Il prezzo della call sale di $1,5 (= $4,5 − $3). In base alla put-call parity, il prezzo della put deve aumentare nella stessa misura. Pertanto, il prezzo della put sale a $5,5.</t>
  </si>
  <si>
    <t xml:space="preserve">11.18. I tassi d’interesse sono nulli. Il prezzo corrente di una call, con strike di $50 e scadenza tra 1 anno, è pari a $6. Il prezzo corrente di una put, con strike di $50 e scadenza tra 1 anno, è pari a $7. </t>
  </si>
  <si>
    <t>Il prezzo corrente dell’azione sottostante è di $49. Solo una delle seguenti affermazioni è corretta. Quale?</t>
  </si>
  <si>
    <t>(a) Il prezzo della call è relativamente alto rispetto al prezzo della put.</t>
  </si>
  <si>
    <t>(b) Il prezzo della put è relativamente alto rispetto al prezzo della call.</t>
  </si>
  <si>
    <t>(c) Entrambe le opzioni non sono valutate correttamente.</t>
  </si>
  <si>
    <t>c + K</t>
  </si>
  <si>
    <t>11.19. Solo una delle seguenti affermazioni sulle opzioni americane è corretta. Quale?</t>
  </si>
  <si>
    <t>(a) La put-call parity consente di ricavare i limiti inferiori e superiori per la differenza tra i prezzi della call e della put.</t>
  </si>
  <si>
    <t>(b) La put-call parity consente di ricavare il limite superiore, ma non il limite inferiore, per la differenza tra i prezzi della call e della put.</t>
  </si>
  <si>
    <t>(c) La put-call parity consente di ricavare il limite inferiore, ma non il limite superiore, per la differenza tra i prezzi della call e della put.</t>
  </si>
  <si>
    <t>(d) Non ci sono risultati che possono essere ottenuti in base alla put-call parity.</t>
  </si>
  <si>
    <t>La put-call parity consente di ricavare i limiti inferiori e superiori per la differenza tra i prezzi della call e della put. Si veda l’Equazione (11.11).</t>
  </si>
  <si>
    <t>11.20. Solo una delle seguenti operazioni può essere utilizzata per creare una long put europea scritta su un’azione. Quale?</t>
  </si>
  <si>
    <t>(a) Comprare una call sull’azione e comprare l’azione sottostante.</t>
  </si>
  <si>
    <t>(b) Comprare una call sull’azione e vendere l’azione sottostante.</t>
  </si>
  <si>
    <t>(c) Vendere una call sull’azione e comprare l’azione sottostante.</t>
  </si>
  <si>
    <t>(d) Vendere una call sull’azione e vendere l’azione sottostante.</t>
  </si>
  <si>
    <t xml:space="preserve">Come mostrano i grafici dei payoffs, comprando una call sull’azione e vendendo l’azione sottostante si ottiene un payoff simile a quello della long put. </t>
  </si>
  <si>
    <t>In alternativa, si può utilizzare la put-call parity per mostrare che una call meno l’azione equivale a una put meno il valore attuale dello strike.</t>
  </si>
  <si>
    <t>12.1. Solo una delle seguenti frasi definisce un bull spread. Quale?</t>
  </si>
  <si>
    <t>(a) Comprare una call con strike basso e vendere una call con strike alto.</t>
  </si>
  <si>
    <t>(b) Comprare una call con strike alto e vendere una call con strike basso.</t>
  </si>
  <si>
    <t>(c) Comprare una call con strike basso e vendere una put con strike alto.</t>
  </si>
  <si>
    <t>(d) Comprare una put con strike basso e vendere una call con strike alto.</t>
  </si>
  <si>
    <t>Il bull spread si ottiene comprando una call con strike basso e vendendo una call con strike alto. In alternativa, può essere ottenuto comprando una put con strike basso e vendendo una put con strike alto.</t>
  </si>
  <si>
    <t>12.2. Solo una delle seguenti frasi definisce un bear spread. Quale?</t>
  </si>
  <si>
    <t>Il bear spread si ottiene comprando una call con strike alto e vendendo una call con strike basso. In alternativa, può essere ottenuto comprando una put con strike alto e vendendo una put con strike basso.</t>
  </si>
  <si>
    <t>12.3. Solo una delle seguenti frasi definisce un bull spread. Quale?</t>
  </si>
  <si>
    <t>(a) Comprare una put con strike basso e vendere una put con strike alto.</t>
  </si>
  <si>
    <t>(b) Comprare una put con strike alto e vendere una put con strike basso.</t>
  </si>
  <si>
    <t>(c) Comprare una call con strike alto e vendere una put con strike basso.</t>
  </si>
  <si>
    <t>(d) Comprare una put con strike alto e vendere una call con strike basso.</t>
  </si>
  <si>
    <t>12.4. Solo una delle seguenti frasi definisce un bear spread. Quale?</t>
  </si>
  <si>
    <t>12.5. Per creare un butterfly spread quante option series occorrono?</t>
  </si>
  <si>
    <t>(a) 1</t>
  </si>
  <si>
    <t>(b) 2</t>
  </si>
  <si>
    <t>(c) 3</t>
  </si>
  <si>
    <t>(d) 4</t>
  </si>
  <si>
    <t xml:space="preserve">Per creare un butterfly spread occorrono tre diverse opzioni con la stessa scadenza, ma con diversi prezzi d’esercizio. </t>
  </si>
  <si>
    <t>Di solito, gli strikes sono equispaziati. Un butterfly spread si ottiene comprando l’opzione con lo strike più basso, comprando l’opzione con lo strike più alto e vendendo due opzioni con lo strike intermedio.</t>
  </si>
  <si>
    <t>12.6. Il prezzo corrente di un’azione è pari a $23. Un butterfly spread inverso (ossia corto) viene creato sulla base di opzioni con strikes $20, $25 e $30. Solo una delle seguenti affermazioni è corretta. Quale?</t>
  </si>
  <si>
    <t>(a) Il profitto che si ottiene con il butterfly spread è meno elevato quando il prezzo dell’azione è maggiore di $30 che non quando il prezzo dell’azione è minore di $20.</t>
  </si>
  <si>
    <t>(b) Il profitto che si ottiene con il butterfly spread è più elevato quando il prezzo dell’azione è maggiore di $30 che non quando il prezzo dell’azione è minore di $20.</t>
  </si>
  <si>
    <t>(c) Il profitto che si ottiene con il butterfly spread è lo stesso sia quando il prezzo dell’azione è maggiore di $30 sia quando il prezzo dell’azione è minore di $20.</t>
  </si>
  <si>
    <t>(d) Non è corretto sostenere che ci sia sempre un profitto quando il prezzo dell’azione è maggiore di $30 o minore di $20.</t>
  </si>
  <si>
    <t xml:space="preserve">Il profitto che si ottiene con il butterfly spread è lo stesso sia quando il prezzo dell’azione è molto alto sia quando è molto basso. Supponiamo che il butterfly spread venga costruito con le calls. </t>
  </si>
  <si>
    <t>12.7. Solo una delle seguenti frasi definisce un calendar spread. Quale?</t>
  </si>
  <si>
    <t>(a) Comprare una call e vendere una put con lo stesso strike, ma con scadenza diversa.</t>
  </si>
  <si>
    <t>(b) Comprare una put e vendere una call con lo stesso strike, ma con scadenza diversa.</t>
  </si>
  <si>
    <t>(c) Comprare una call e vendere un’altra call con strike e scadenza diversi.</t>
  </si>
  <si>
    <t>(d) Comprare una call e vendere un’altra call con lo stesso strike, ma con scadenza diversa.</t>
  </si>
  <si>
    <t>Il calendar spread si ottiene comprando un’opzione (call o put) e vendendo un’altra opzione dello stesso tipo con lo stesso strike, ma con scadenza diversa.</t>
  </si>
  <si>
    <t>12.8. Un investitore vende una call a 3 mesi e compra una call a 1 anno. Lo strike delle due opzioni è $100 e il prezzo dell’azione sottostante è pari a $75. Solo una delle seguenti frasi definisce la strategia seguita dall’investitore. Quale?</t>
  </si>
  <si>
    <t>(a) Neutral calendar spread.</t>
  </si>
  <si>
    <t>(b) Bullish calendar spread.</t>
  </si>
  <si>
    <t>(c) Bearish calendar spread.</t>
  </si>
  <si>
    <t>12.9. Solo una delle seguenti frasi definisce un diagonal spread. Quale?</t>
  </si>
  <si>
    <t>Nei diagonal spreads le opzioni sono dello stesso tipo (calls o puts), ma gli strikes e le scadenze sono diversi.</t>
  </si>
  <si>
    <t>(a) Un portafoglio composto da un bull spread e da un bear spread.</t>
  </si>
  <si>
    <t>(b) Un portafoglio composto da due calls e da due puts.</t>
  </si>
  <si>
    <t>(c) Il suo valore a scadenza è noto.</t>
  </si>
  <si>
    <t>12.10. Quale delle seguenti affermazioni sul box spread è corretta?</t>
  </si>
  <si>
    <t>Tutte le risposte sub (a), (b) e (c) sono corrette.</t>
  </si>
  <si>
    <t>12.11. Solo una delle seguenti frasi definisce uno straddle. Quale?</t>
  </si>
  <si>
    <t>(a) Comprare una call e una put con lo stesso strike e la stessa scadenza.</t>
  </si>
  <si>
    <t>(b) Comprare una call e una put con strike diversi, ma la stessa scadenza.</t>
  </si>
  <si>
    <t>(c) Comprare una call e due puts con lo stesso strike e la stessa scadenza.</t>
  </si>
  <si>
    <t>(d) Comprare due calls e una put con lo stesso strike e la stessa scadenza.</t>
  </si>
  <si>
    <t>Lo straddle si ottiene comprando una call e una put con lo stesso strike e la stessa scadenza. Il suo payoff è a forma di V</t>
  </si>
  <si>
    <t>12.12. Solo una delle seguenti frasi definisce uno strip. Quale?</t>
  </si>
  <si>
    <t>Lo strip si ottiene comprando una call e due puts con lo stesso strike e la stessa scadenza.</t>
  </si>
  <si>
    <t>12.13. Solo una delle seguenti frasi definisce uno strap. Quale?</t>
  </si>
  <si>
    <t>Lo strap si ottiene comprando due calls e una put con lo stesso strike e la stessa scadenza.</t>
  </si>
  <si>
    <t>12.14. Solo una delle seguenti frasi definisce uno strangle. Quale?</t>
  </si>
  <si>
    <t>Lo strangle si ottiene comprando una call e una put con strike diversi, ma la stessa scadenza.</t>
  </si>
  <si>
    <t>12.15. Solo una delle seguenti frasi definisce una protective put. Quale?</t>
  </si>
  <si>
    <t>(a) Una put lunga su un’azione più una posizione lunga sull’azione.</t>
  </si>
  <si>
    <t>(b) Una put lunga su un’azione più una posizione corta sull’azione.</t>
  </si>
  <si>
    <t>(d) Una put corta su un’azione più una posizione lunga sull’azione.</t>
  </si>
  <si>
    <t>La protective put si ottiene comprando una put e l’azione sottostante. Chi possiede la put ha anche l’azione che dovrà consegnare nel caso in cui decida di esercitare l’opzione.</t>
  </si>
  <si>
    <t>(c) Una put corta su un’azione più una call corta sull'azione.</t>
  </si>
  <si>
    <t>12.16. Solo una delle seguenti frasi definisce una covered call. Quale?</t>
  </si>
  <si>
    <t>(a) Una call lunga su un’azione più una posizione lunga sull’azione.</t>
  </si>
  <si>
    <t>(b) Una call lunga su un’azione più una put corta sull’azione.</t>
  </si>
  <si>
    <t>(c) Una call corta su un’azione più una posizione corta sull’azione.</t>
  </si>
  <si>
    <t>(d) Una call corta su un’azione più una posizione lunga sull’azione.</t>
  </si>
  <si>
    <t>La covered call si ottiene vendendo una call e comprando l’azione sottostante. Pertanto, se la call viene esercitata, chi ha venduto l’opzione ha già l’azione che dovrà consegnare.</t>
  </si>
  <si>
    <t>12.17. Lo zero rate a 1 anno è pari al 5% (composto continuamente). Solo una delle seguenti frasi definisce una protected note con valore nominale di $1.000. Quale?</t>
  </si>
  <si>
    <t>(a) Uno zero-coupon bond a 1 anno più una call a 1 anno del valore di circa $59.</t>
  </si>
  <si>
    <t>(b) Uno zero-coupon bond a 1 anno più una call a 1 anno del valore di circa $49.</t>
  </si>
  <si>
    <t>(c) Uno zero-coupon bond a 1 anno più una call a 1 anno del valore di circa $39.</t>
  </si>
  <si>
    <t>(d) Uno zero-coupon bond a 1 anno più una call a 1 anno del valore di circa $29.</t>
  </si>
  <si>
    <t>Per creare un butterfly spread lungo vengono utilizzate 400 calls. Tenendo conto del costo delle opzioni, qual è il massimo profitto netto che si può realizzare?</t>
  </si>
  <si>
    <t>(a) $100</t>
  </si>
  <si>
    <t>(b) $200</t>
  </si>
  <si>
    <t>(d) $400</t>
  </si>
  <si>
    <t xml:space="preserve">Il butterfly spread lungo richiede l’acquisto di 100 calls con strike $60, la vendita di 200 calls con strike $65 e l’acquisto di 100 calls con strike $70. </t>
  </si>
  <si>
    <t xml:space="preserve">Il massimo profitto viene realizzato quando il prezzo dell’azione è pari allo strike intermedio, che è pari a $65. </t>
  </si>
  <si>
    <t xml:space="preserve">In questo caso, i payoffs delle opzioni sono pari a $500 [= 100 × ($65 − $60)], $0 e $0, rispettivamente. </t>
  </si>
  <si>
    <t>Pertanto, il massimo profitto netto che si può realizzare è pari a $400 (= $500 − $100).</t>
  </si>
  <si>
    <t>Costo</t>
  </si>
  <si>
    <t>Per creare un butterfly spread lungo vengono utilizzate 400 calls. Tenendo conto del costo delle opzioni, qual è la massima perdita netta che si può subìre?</t>
  </si>
  <si>
    <t xml:space="preserve">La massima perdita si ha quando il prezzo dell’azione è ST ≤ $60 o ST ≥ $70. </t>
  </si>
  <si>
    <t>Pertanto, la massima perdita netta che si può subìre è pari a $100.</t>
  </si>
  <si>
    <t>La strategia seguita dall’investitore è un bullish calendar spread. Per realizzare un profitto occorre che ci sia un forte aumento del prezzo dell’azione nel periodo tra 3 mesi e 1 anno.</t>
  </si>
  <si>
    <t xml:space="preserve">13.1. Il prezzo corrente di un’azione è $30 e ci si aspetta che nei prossimi 6 mesi salga a $36 o scenda a $26. </t>
  </si>
  <si>
    <t>Il tasso d’interesse privo di rischio è nullo. Quale posizione sull’azione è necessaria per coprire una posizione corta su una call a 6 mesi con prezzo d’esercizio di $32?</t>
  </si>
  <si>
    <t xml:space="preserve">13.2. Il prezzo corrente di un’azione è $30 e ci si aspetta che nei prossimi 6 mesi salga a $36 o scenda a $26. </t>
  </si>
  <si>
    <t>Il tasso d’interesse privo di rischio è nullo. Qual è la probabilità neutrale verso il rischio che il prezzo del titolo salga a $36?</t>
  </si>
  <si>
    <t>(b) 0,50</t>
  </si>
  <si>
    <t>(c) 0,40</t>
  </si>
  <si>
    <t>(d) 0,30</t>
  </si>
  <si>
    <t xml:space="preserve">13.3. Il prezzo corrente di un’azione è $30 e ci si aspetta che nei prossimi 6 mesi salga a $36 o scenda a $26. </t>
  </si>
  <si>
    <t>(a) $1,6</t>
  </si>
  <si>
    <t>(b) $2,0</t>
  </si>
  <si>
    <t>(c) $2,4</t>
  </si>
  <si>
    <t>(d) $3,0</t>
  </si>
  <si>
    <t>(a) Lunga su 0,6 azioni.</t>
  </si>
  <si>
    <t>(b) Lunga su 0,4 azioni.</t>
  </si>
  <si>
    <t>(c) Corta su 0,6 azioni.</t>
  </si>
  <si>
    <t>(d) Corta su 0,4 azioni.</t>
  </si>
  <si>
    <t>Δ</t>
  </si>
  <si>
    <t>Se Δ è la quantità di azioni da detenere, occorre che $36 Δ − $4 = $26 Δ − $0, da cui Δ = 0,4.</t>
  </si>
  <si>
    <t>Pertanto, occorre assumere una posizione lunga su 0,4 azioni.</t>
  </si>
  <si>
    <t xml:space="preserve">13.4. Il prezzo corrente di un’azione che non paga dividendi è $40 e ci si aspetta che nel prossimo anno salga a $42 o scenda a $37. </t>
  </si>
  <si>
    <t>Quale posizione sull’azione è necessaria per coprire una posizione lunga su una put a 1 anno con prezzo d’esercizio di $41?</t>
  </si>
  <si>
    <t>(a) Lunga su 0,2 azioni.</t>
  </si>
  <si>
    <t>(b) Corta su 0,2 azioni.</t>
  </si>
  <si>
    <t>(c) Lunga su 0,8 azioni.</t>
  </si>
  <si>
    <t>(d) Corta su 0,8 azioni.</t>
  </si>
  <si>
    <t>Il valore della put a scadenza è pari a $0 [= max($41 − $42, $0)] in caso di rialzo o a $4 [= max($41 − $37, $0)] in caso di ribasso. Se Δ è la quantità di azioni da detenere, occorre che $42 Δ + $0 = $37 Δ + $4, da cui Δ = 0,8.</t>
  </si>
  <si>
    <t>Pertanto, occorre assumere una posizione lunga su 0,8 azioni.</t>
  </si>
  <si>
    <t xml:space="preserve">13.5. Il prezzo corrente di un’azione che non paga dividendi è $40 e ci si aspetta che nel prossimo anno salga a $42 o scenda a $37. </t>
  </si>
  <si>
    <t>Il tasso d’interesse privo di rischio è pari al 2%. Qual è il valore corrente di una put a 1 anno con prezzo d’esercizio di $41?</t>
  </si>
  <si>
    <t>(a) $3,93</t>
  </si>
  <si>
    <t>(b) $2,93</t>
  </si>
  <si>
    <t>(c) $1,93</t>
  </si>
  <si>
    <t>(d) $0,93</t>
  </si>
  <si>
    <t>13.6. Considerate la procedura utilizzata per la valutazione delle opzioni americane con gli alberi binomiali. Solo una delle seguenti affermazioni è corretta. Quale?</t>
  </si>
  <si>
    <t>(a) Si deve verificare la convenienza dell’esercizio anticipato in tutti i nodi in cui l’opzione è in the money.</t>
  </si>
  <si>
    <t>(b) Si deve verificare la convenienza dell’esercizio anticipato in tutti i nodi finali.</t>
  </si>
  <si>
    <t>(c) Si deve verificare la convenienza dell’esercizio anticipato nei nodi finali e in quelli immediatamente precedenti.</t>
  </si>
  <si>
    <t>Quando si valutano le opzioni americane con gli alberi binomiali, si deve verificare la convenienza dell’esercizio anticipato in tutti i nodi in cui l’opzione è in the money (è inutile effettuare la verifica quando l’opzione è out of the money).</t>
  </si>
  <si>
    <t>13.7. Negli alberi binomiali utilizzati per valutare le opzioni su azioni, qual è il tasso di rendimento atteso delle azioni?</t>
  </si>
  <si>
    <t>(a) È pari a zero.</t>
  </si>
  <si>
    <t>(b) È pari al tasso di rendimento richiesto dal mercato.</t>
  </si>
  <si>
    <t>(c) È pari al tasso d’interesse privo di rischio.</t>
  </si>
  <si>
    <t>(d) È impossibile rispondere senza avere altre informazioni.</t>
  </si>
  <si>
    <t>Gli alberi vengono costruiti applicando il principio della valutazione neutrale verso il rischio. In un mondo neutrale verso il rischio, il tasso di rendimento atteso dell’azione è pari al tasso d’interesse privo di rischio.</t>
  </si>
  <si>
    <t>13.8. Negli alberi binomiali utilizzati per valutare le opzioni su azioni, qual è il tasso di rendimento atteso delle opzioni?</t>
  </si>
  <si>
    <t>Gli alberi vengono costruiti applicando il principio della valutazione neutrale verso il rischio. In un mondo neutrale verso il rischio, il tasso di rendimento atteso di tutte le attività finanziarie è pari al tasso d’interesse privo di rischio.</t>
  </si>
  <si>
    <t>13.9. Il tasso di rendimento atteso di un’azione è pari al 10%, mentre il tasso d’interesse privo di rischio è pari al 4%. Nel mondo reale, quale tasso si deve usare per attualizzare il payoff atteso di un’opzione scritta sull’azione?</t>
  </si>
  <si>
    <t>(a) Il 4%.</t>
  </si>
  <si>
    <t>(b) Il 10%.</t>
  </si>
  <si>
    <t>(c) Più del 10%.</t>
  </si>
  <si>
    <t>(d) Dipende (il tasso potrebbe essere maggiore o minore del 10%).</t>
  </si>
  <si>
    <t xml:space="preserve">La risposta corretta è quella sub (d). Non c’è alcun modo semplice per determinare il tasso di attualizzazione corretto. </t>
  </si>
  <si>
    <t>Nel caso delle opzioni call, il tasso è spesso molto alto, mentre nel caso delle opzioni put è spesso molto basso (può anche essere negativo). L’esempio riportato nel testo lo dimostra.</t>
  </si>
  <si>
    <t>13.10. Considerate una call scritta su un’azione con valore corrente pari a $50. Solo una delle seguenti affermazioni è corretta. Quale?</t>
  </si>
  <si>
    <t>(a) Se cresce il tasso di rendimento atteso dell’azione, il prezzo della call aumenta.</t>
  </si>
  <si>
    <t>(b) Se cresce il tasso di rendimento atteso dell’azione, il prezzo della call diminuisce.</t>
  </si>
  <si>
    <t>(c) Se cresce il tasso di rendimento atteso dell’azione, il prezzo della call può aumentare o diminuire.</t>
  </si>
  <si>
    <t>(d) Se cresce il tasso di rendimento atteso dell’azione, il prezzo della call resta invariato.</t>
  </si>
  <si>
    <t>Il prezzo dell’opzione, espresso in termini del prezzo dell’azione sottostante, non dipende dal tasso di rendimento atteso dell’azione. In altre parole, quel che influenza il tasso di rendimento atteso dell’azione è già incorporato nel prezzo corrente dell’azione stessa.</t>
  </si>
  <si>
    <t>13.11. Solo una delle seguenti affermazioni non è corretta. Quale?</t>
  </si>
  <si>
    <t>(a) Il principio della valutazione neutrale verso il rischio e l’argomentazione sull’assenza di opportunità d’arbitraggio forniscono gli stessi prezzi per un’opzione.</t>
  </si>
  <si>
    <t>(b) Il principio della valutazione neutrale verso il rischio si basa sull’ipotesi che il tasso di rendimento atteso sia pari al tasso e privo di rischio e richiede che il payoff atteso venga attualizzato al tasso privo di rischio.</t>
  </si>
  <si>
    <t>(c) Le coperture necessarie per la valutazione delle opzioni non vanno aggiustate col passare del tempo.</t>
  </si>
  <si>
    <t>(d) Tutte le precedenti affermazioni non sono corrette.</t>
  </si>
  <si>
    <t>Le coperture necessarie per la valutazione delle opzioni vanno aggiustate col passare del tempo. Le affermazioni sub (a) e (b) sono corrette.</t>
  </si>
  <si>
    <t>La probabilità di rialzo è pari a 0,6010:</t>
  </si>
  <si>
    <t>L’albero è il seguente:</t>
  </si>
  <si>
    <t xml:space="preserve">13.12. Il prezzo corrente di un’azione che non paga dividendi è $30. Utilizzate un albero a due stadi per valutare un call europea, con strike $32 e scadenza tra 6 mesi, scritta sull’azione. </t>
  </si>
  <si>
    <t>(a) $1,292</t>
  </si>
  <si>
    <t>(b) $1,492</t>
  </si>
  <si>
    <t>(c) $1,692</t>
  </si>
  <si>
    <t>(d) $1,892</t>
  </si>
  <si>
    <t xml:space="preserve">13.13. Il prezzo corrente di un’azione che non paga dividendi è $30. Utilizzate un albero a due stadi per valutare un put europea, con strike $32 e scadenza tra 6 mesi, scritta sull’azione. </t>
  </si>
  <si>
    <t>(a) $2,238</t>
  </si>
  <si>
    <t>(b) $2,438</t>
  </si>
  <si>
    <t>(c) $2,638</t>
  </si>
  <si>
    <t>(d) $2,838</t>
  </si>
  <si>
    <t>13.14. Solo una delle seguenti affermazioni non è corretta in un mondo neutrale verso il rischio. Quale?</t>
  </si>
  <si>
    <t>(a) Il tasso di rendimento atteso di una call non dipende dal suo prezzo d’esercizio.</t>
  </si>
  <si>
    <t>(b) Gli investitori si aspettano tassi di rendimento più elevati se i rischi sono più elevati.</t>
  </si>
  <si>
    <t>(c) Il tasso di rendimento atteso di un’azione è pari al tasso d’interesse privo di rischio.</t>
  </si>
  <si>
    <t>(d) Il tasso utilizzato per attualizzare il payoff atteso di un’opzione è il tasso privo di rischio.</t>
  </si>
  <si>
    <t>In un mondo neutrale verso il rischio, il tasso di rendimento richiesto dagli investitori è pari al tasso privo di rischio e il tasso da utilizzare per attualizzare i payoffs attesi è il tasso privo di rischio.</t>
  </si>
  <si>
    <t xml:space="preserve">13.15. La volatilità di un’azione che non paga dividendi è pari al 20% annuo. Il tasso d’interesse privo di rischio pari al 5% annuo. </t>
  </si>
  <si>
    <t>(a) 1,0452</t>
  </si>
  <si>
    <t>(b) 1,0652</t>
  </si>
  <si>
    <t>(c) 1,0852</t>
  </si>
  <si>
    <t>(d) 1,1052</t>
  </si>
  <si>
    <t xml:space="preserve">13.16. La volatilità di un’azione che non paga dividendi è pari al 20% annuo. Il tasso d’interesse privo di rischio pari al 5% annuo. </t>
  </si>
  <si>
    <t>(a) 0,498</t>
  </si>
  <si>
    <t>(b) 0,538</t>
  </si>
  <si>
    <t>(c) 0,578</t>
  </si>
  <si>
    <t>(d) 0,618</t>
  </si>
  <si>
    <t xml:space="preserve">13.17. Il prezzo corrente di un’azione che non paga dividendi è $50. Utilizzate un albero a due stadi per valutare un put americana, con strike $48 e scadenza tra 12 mesi, scritta sull’azione. </t>
  </si>
  <si>
    <t>(a) $1,949</t>
  </si>
  <si>
    <t>(b) $1,999</t>
  </si>
  <si>
    <t>(c) $2,049</t>
  </si>
  <si>
    <t>(d) $2,099</t>
  </si>
  <si>
    <t>In questo caso si ha</t>
  </si>
  <si>
    <t>13.18. Solo una delle seguenti frasi definisce il delta. Quale?</t>
  </si>
  <si>
    <t>(a) Il rapporto tra il prezzo dell’opzione e il prezzo dell’azione.</t>
  </si>
  <si>
    <t>(b) Il rapporto tra il prezzo dell’azione e il prezzo dell’opzione.</t>
  </si>
  <si>
    <t>(c) Il rapporto tra la variazione del prezzo dell’opzione e la corrispondente variazione del prezzo dell’azione.</t>
  </si>
  <si>
    <t>(d) Il rapporto tra la variazione del prezzo dell’azione e la corrispondente variazione del prezzo dell’opzione.</t>
  </si>
  <si>
    <t>13.19. Quando si passa dalla valutazione di un’opzione scritta su un’azione che non paga dividendi alla valutazione di un’opzione scritta su una valuta, solo una delle seguenti affermazioni è corretta. Quale?</t>
  </si>
  <si>
    <t>(a) Il tasso d’interesse privo di rischio viene sostituito dovunque dalla differenza tra il tasso d’interesse interno e quello estero.</t>
  </si>
  <si>
    <t>(c) Il tasso d’interesse privo di rischio viene sostituito dalla differenza tra il tasso d’interesse interno e quello estero nell’attualizzazione del payoff atteso.</t>
  </si>
  <si>
    <t>Pertanto, la risposta sub (d) è quella corretta.</t>
  </si>
  <si>
    <t>Il secondo albero consente di valutare un’opzione scritta su un’azione che non paga dividendi il cui prezzo spot corrente è pari a $100 e la cui volatilità è pari a 25%. Solo una delle seguenti affermazioni è corretta. Quale?</t>
  </si>
  <si>
    <t xml:space="preserve">13.20. Per valutare due diverse opzioni vengono costruiti due alberi. Il primo consente di valutare un’opzione scritta su un indice il cui prezzo spot corrente è pari a $100 e la cui volatilità è pari a 25%. Il dividend yield dell’indice è pari al 2%. </t>
  </si>
  <si>
    <t>(b) 14</t>
  </si>
  <si>
    <t>(c) 16</t>
  </si>
  <si>
    <t>(d) 18</t>
  </si>
  <si>
    <t>(a) 4</t>
  </si>
  <si>
    <t>(b) 8</t>
  </si>
  <si>
    <t>(c) 12</t>
  </si>
  <si>
    <t>(d) 16</t>
  </si>
  <si>
    <t>a T</t>
  </si>
  <si>
    <t>14.7. Il prezzo di un’azione segue un moto geometrico Browniano. Solo una delle seguenti affermazioni è corretta. Quale?</t>
  </si>
  <si>
    <t>(a) La distribuzione dei futuri prezzi dell’azione è una distribuzione normale.</t>
  </si>
  <si>
    <t>(b) La distribuzione dei futuri prezzi dell’azione è una distribuzione log-normale.</t>
  </si>
  <si>
    <t>(c) La distribuzione dei futuri prezzi dell’azione è una distribuzione geometrica.</t>
  </si>
  <si>
    <t>(d) La distribuzione dei futuri prezzi dell’azione è una distribuzione normale troncata.</t>
  </si>
  <si>
    <t>In base al lemma di Itô, il logaritmo del prezzo di un’azione segue un processo di Wiener generalizzato. Questo vuol dire che il logaritmo del prezzo di un’azione si distribuisce in modo normale. Pertanto, il prezzo dell’azione si distribuisce in modo log-normale.</t>
  </si>
  <si>
    <t>14.8. Il prezzo di un’azione segue un processo di Markov. Solo una delle seguenti affermazioni potrebbe essere corretta. Quale?</t>
  </si>
  <si>
    <t>(a) Se il prezzo dell’azione è salito per 4 giorni consecutivi, la probabilità di salire anche nel 5° giorno è pari al 70%.</t>
  </si>
  <si>
    <t>(b) Se il prezzo dell’azione è salito per 4 giorni consecutivi, è quasi certo che ci sarà una correzione nel 5° giorno.</t>
  </si>
  <si>
    <t>(c) Il modo in cui il prezzo dell’azione si muove nel 5° giorno non è influenzato da come si è mosso nei 4 giorni precedenti.</t>
  </si>
  <si>
    <t>(d) Gli anni cattivi per i tassi di rendimento azionari sono in genere seguiti da anni buoni.</t>
  </si>
  <si>
    <t xml:space="preserve">I processi di Markov rappresentano un particolare tipo di processo stocastico in cui solo il valore corrente della variabile è rilevante ai fini previsivi. </t>
  </si>
  <si>
    <t>Di solito, si assume che i prezzi delle azioni seguano un processo di Markov. Quest’ipotesi corrisponde all’ipotesi di efficienza dei mercati azionari in forma debole.</t>
  </si>
  <si>
    <t>(a) 16</t>
  </si>
  <si>
    <t>(b) 20</t>
  </si>
  <si>
    <t>(c) 24</t>
  </si>
  <si>
    <t>(d) 30</t>
  </si>
  <si>
    <t>Nel corso dei primi 2 anni, il tasso di deriva annuo è pari a 3, per cui il tasso di deriva complessivo è pari a 6 (= 3 × 2).</t>
  </si>
  <si>
    <t>Nei successivi 3 anni, il tasso di deriva annuo è pari a 6, per cui il tasso di deriva complessivo è pari a 18 (= 6 × 3).</t>
  </si>
  <si>
    <t>(a) 6,2</t>
  </si>
  <si>
    <t>(b) 6,7</t>
  </si>
  <si>
    <t>(c) 7,2</t>
  </si>
  <si>
    <t>(d) 7,7</t>
  </si>
  <si>
    <t>14.14. Solo una delle seguenti istruzioni Excel consente di estrarre un campione casuale da una normale standardizzata. Quale?</t>
  </si>
  <si>
    <t>(a) =INV.NORM.S()</t>
  </si>
  <si>
    <t>(b) =INV.NORM.S(CASUALE())</t>
  </si>
  <si>
    <t>(c) =CASUALE(INV.NORM.S())</t>
  </si>
  <si>
    <t>(d) =CASUALE()</t>
  </si>
  <si>
    <t>L’istruzione Excel corretta è INV.NORM.S(CASUALE()).</t>
  </si>
  <si>
    <t>14.15. Solo una delle seguenti frasi definisce i processi di Itô. Quale?</t>
  </si>
  <si>
    <t xml:space="preserve">14.16. Un’azione ha un tasso di rendimento atteso del 12% annuo e una volatilità del 25% annuo. Il prezzo corrente dell’azione è di $20. </t>
  </si>
  <si>
    <t>Assumete che in un anno vi siano 365 giorni. Qual è la deviazione standard del prezzo dell’azione tra 1 giorno?</t>
  </si>
  <si>
    <t>(a) $0,20</t>
  </si>
  <si>
    <t>(b) $0,23</t>
  </si>
  <si>
    <t>(c) $0,26</t>
  </si>
  <si>
    <t>(d) $0,29</t>
  </si>
  <si>
    <t>La deviazione standard del prezzo dell’azione tra 1 giorno è pari a $0,26.</t>
  </si>
  <si>
    <t>μ</t>
  </si>
  <si>
    <t xml:space="preserve">14.17. Un’azione ha un tasso di rendimento atteso del 12% annuo e una volatilità del 25% annuo. Il prezzo corrente dell’azione è di $20. </t>
  </si>
  <si>
    <t>Assumete che in un anno vi siano 365 giorni. Qual è il prezzo dell’azione che ha una probabilità del 2,5% di essere oltrepassato in 1 giorno?</t>
  </si>
  <si>
    <t>(a) $20,41</t>
  </si>
  <si>
    <t>(b) $20,51</t>
  </si>
  <si>
    <t>(c) $20,61</t>
  </si>
  <si>
    <t>(d) $20,71</t>
  </si>
  <si>
    <t xml:space="preserve">In base alla precedente risposta, la deviazione standard del prezzo dell’azione tra 1 giorno è pari a $0,26. </t>
  </si>
  <si>
    <t>(d) Processi nei quali i tassi di variazione seguono un processo di Wiener generalizzato.</t>
  </si>
  <si>
    <t>Dato che il tasso di rendimento atteso in un giorno è piccolo e può essere trascurato, la risposta corretta è $20,51.</t>
  </si>
  <si>
    <t>14.18. Solo una delle seguenti non è una proprietà dei processi di Wiener. Quale?</t>
  </si>
  <si>
    <t>(c) La variazione attesa in un qualsiasi periodo tempo è nulla.</t>
  </si>
  <si>
    <t>Le varianze dei processi di Wiener sono additive, non le deviazioni standard.</t>
  </si>
  <si>
    <t>(a) 0,5</t>
  </si>
  <si>
    <t>(b) −0,5</t>
  </si>
  <si>
    <t>(c) 0</t>
  </si>
  <si>
    <t>(d) 1</t>
  </si>
  <si>
    <t>Il modello Black-Scholes-Merton assume che il tasso di rendimento di un’azione nel prossimo istante di tempo si distribuisca in modo normale. Questo implica che il prezzo dell’azione in un futuro istante di tempo si distribuisce in modo log-normale.</t>
  </si>
  <si>
    <t>15.1. Considerate le ipotesi del modello Black-Scholes-Merton. Solo una delle seguenti affermazioni è corretta. Quale?</t>
  </si>
  <si>
    <t>15.2. In quale anno sono stati pubblicati gli articoli «fondamentali» (path-breaking) di Black &amp; Scholes e Merton?</t>
  </si>
  <si>
    <t>15.3. Solo una delle seguenti rappresenta la definizione corretta di volatilità. Quale?</t>
  </si>
  <si>
    <t>15.4. Il prezzo di un’azione è pari a $100 e la volatilità è pari al 20% annuo. Dovete stimare la deviazione standard della variazione del prezzo dell’azione nella prossima settimana. Qual è la vostra stima?</t>
  </si>
  <si>
    <t>15.6. Se l’azione sottostante stacca un dividendo durante la vita di una call:</t>
  </si>
  <si>
    <t>15.7. Nel caso delle azioni, si assume di solito che il numero dei giorni lavorativi in un anno sia pari a:</t>
  </si>
  <si>
    <t>15.8. Il tasso d’interesse privo di rischio è pari al 5% e il tasso di rendimento atteso di un’azione è pari al 12%. Per valutare un derivato si può:</t>
  </si>
  <si>
    <t>15.9. Considerate una call americana scritta su un’azione che stacca due dividendi durante la vita dell’opzione. Secondo l’approssimazione di Black, il valore della call:</t>
  </si>
  <si>
    <t>15.10. L’indice VIX misura:</t>
  </si>
  <si>
    <t>La stima della deviazione standard della variazione del prezzo dell’azione nella prossima settimana è $2,77.</t>
  </si>
  <si>
    <t>(b) l’esercizio anticipato della call può essere ottimale un qualsiasi momento della sua vita;</t>
  </si>
  <si>
    <t>Quando il titolo paga un dividendo è a volte ottimale esercitare la call immediatamente prima della data di stacco, ma non è mai ottimale esercitare l’opzione in altre date. Pertanto, nessuna delle prime tre risposte è corretta.</t>
  </si>
  <si>
    <t>Nel caso delle azioni, si assume di solito che il numero dei giorni lavorativi in un anno sia pari a 252.</t>
  </si>
  <si>
    <t xml:space="preserve">Il principio della valutazione neutrale verso il rischio mostra che i derivati possono essere correttamente valutati (i) assumendo che il prezzo dell’azione cresca in base al tasso privo di rischio e (ii) attualizzando il payoff atteso in base al tasso privo di rischio. </t>
  </si>
  <si>
    <t>Pertanto, la risposta corretta è quella sub (c).</t>
  </si>
  <si>
    <t>(d) è pari al maggiore tra i valori sub (b) e il valore della corrispondente opzione europea.</t>
  </si>
  <si>
    <t>Secondo l’approssimazione di Black, il valore della call è pari al maggiore tra due valori: (i) il valore della corrispondente opzione europea e (ii) il valore di una call europea che scade subito prima del secondo dividendo.</t>
  </si>
  <si>
    <t>L’indice VIX misura le volatilità implicite delle opzioni a 1 mese sullo S&amp;P 500.</t>
  </si>
  <si>
    <t>15.11. Quale tipo di opzione intendeva valutare la versione originale del modello Black-Scholes-Merton?</t>
  </si>
  <si>
    <t>(a) Un’opzione europea scritta su un titolo che non paga dividendi.</t>
  </si>
  <si>
    <t>(b) Un’opzione europea o americana scritta su un titolo che non paga dividendi.</t>
  </si>
  <si>
    <t>(c) Un’opzione europea scritta su un qualsiasi titolo.</t>
  </si>
  <si>
    <t>(d) Un’opzione europea o americana scritta su un qualsiasi titolo.</t>
  </si>
  <si>
    <t>La versione originale del modello Black-Scholes-Merton intendeva valutare un’opzione eu-ropea scritta su un titolo che non paga dividendi.</t>
  </si>
  <si>
    <t>(a) le volatilità implicite delle opzioni su azioni negoziate al CBOE;</t>
  </si>
  <si>
    <t>(b) le volatilità storiche delle opzioni su azioni negoziate al CBOE;</t>
  </si>
  <si>
    <t>(c) le volatilità implicite delle opzioni sullo S&amp;P 500;</t>
  </si>
  <si>
    <t>15.12. Un’azione ha un tasso di rendimento atteso del 10% annuo e una volatilità del 20% annuo. Qual è il valore atteso del tasso di rendimento a 1 anno (composto continuamente).</t>
  </si>
  <si>
    <t>(a) 6%</t>
  </si>
  <si>
    <t>(b) 8%</t>
  </si>
  <si>
    <t>(c) 10%</t>
  </si>
  <si>
    <t>(d) 12%</t>
  </si>
  <si>
    <t>15.13. Un investitore ha ottenuto i seguenti tassi di rendimento (composti annualmente) in 3 anni consecutivi: 2%, 12%, −10%. Qual è il tasso medio annuo equivalente (composto annualmente)?</t>
  </si>
  <si>
    <t>(a) 1,33%</t>
  </si>
  <si>
    <t>(b) 1,23%</t>
  </si>
  <si>
    <t>(c) 1,13%</t>
  </si>
  <si>
    <t>(d) 0,93%</t>
  </si>
  <si>
    <t>Il fattore di capitalizzazione calcolato in base al tasso medio equivalente, ossia 1,0093, è la media geometrica dei singoli montanti (1,02; 1,12; 0,90).</t>
  </si>
  <si>
    <t>Alla fine dei 3 anni un capitale iniziale di $100 sarebbe diventato pari a $102,816 (= $100 × 1,02 × 1,12 × 0,90). Il tasso medio annuo equivalente (composto annualmente) è lo 0,93%:</t>
  </si>
  <si>
    <t>Montante</t>
  </si>
  <si>
    <t>15.14. Solo una delle seguenti affermazioni non è corretta. Quale?</t>
  </si>
  <si>
    <t>(a) Il principio della valutazione neutrale verso il rischio offre prezzi che sono corretti solo in un mondo in cui gli investitori sono neutrali verso il rischio.</t>
  </si>
  <si>
    <t>(b) Il valore delle opzioni può essere determinato assumendo che gli investitori siano neutrali verso il rischio.</t>
  </si>
  <si>
    <t>(c) Quando si applica il principio della valutazione neutrale verso il rischio, il tasso di ren-dimento atteso da una qualsiasi attività finanziaria è pari al tasso d’interesse privo di ri-schio.</t>
  </si>
  <si>
    <t>(d) Quando si applica il principio della valutazione neutrale verso il rischio, i pagamenti attesi vengono attualizzati in base al tasso d’interesse privo di rischio.</t>
  </si>
  <si>
    <t xml:space="preserve">Il principio della valutazione neutrale verso il rischio offre prezzi che sono sempre corretti, quale che sia l’atteggiamento degli investitori nei confronti del rischio. </t>
  </si>
  <si>
    <t>Quando si applica il principio della valutazione neutrale verso il rischio, il tasso di rendimento atteso da una qualsiasi attività finanziaria è pari al tasso privo di rischio e i pagamenti attesi vengono attualizzati in base al tasso privo di rischio.</t>
  </si>
  <si>
    <t>(a) Ridurre la scadenza dell’opzione ponendola uguale alla data in cui il dividendo verrà pa-gato.</t>
  </si>
  <si>
    <t>(b) Sottrarre il dividendo dal prezzo dell’azione.</t>
  </si>
  <si>
    <t>(c) Aggiungere il dividendo al prezzo dell’azione.</t>
  </si>
  <si>
    <t>(d) Sottrarre il valore attuale del dividendo dal prezzo dell’azione.</t>
  </si>
  <si>
    <t>Per valutare l’opzione europea, dobbiamo sottrarre dal prezzo dell’azione il valore attuale di tutti i dividendi che verranno pagati durante la vita dell’opzione.</t>
  </si>
  <si>
    <t>15.16. Supponete di utilizzare un albero binomiale e il modello Black-Scholes-Merton per valutare un’opzione scritta su un titolo che non paga dividendi. Solo una delle seguenti af-fermazioni è corretta. Quale?</t>
  </si>
  <si>
    <t>(a) Col crescere del numero degli stadi, il prezzo ottenuto con l’albero binomiale converge verso un prezzo leggermente superiore a quello del modello Black-Scholes-Merton.</t>
  </si>
  <si>
    <t>(b) Col crescere del numero degli stadi, il prezzo ottenuto con l’albero binomiale converge verso un prezzo leggermente inferiore a quello del modello Black-Scholes-Merton.</t>
  </si>
  <si>
    <t>(c) Dipende. Può valere la risposta sub (a) o quella sub (b).</t>
  </si>
  <si>
    <t>(d) Col crescere del numero degli stadi, il prezzo ottenuto con l’albero binomiale converge verso un prezzo uguale a quello del modello Black-Scholes-Merton.</t>
  </si>
  <si>
    <t>Il metodo degli alberi binomiali e la formula Black-Scholes-Merton si basano sullo stesso insieme di ipotesi. Col crescere del numero degli stadi, il prezzo ottenuto con l’albero binomiale converge verso il prezzo del modello Black-Scholes-Merton.</t>
  </si>
  <si>
    <t>15.17. Il prezzo corrente di un titolo che non paga dividendi è pari a $20 e la sua volatilità è pari al 20%. Il tasso d’interesse privo di rischio è pari al 6%. Qual è il valore corrente di una call, con strike $20 e scadenza tra 3 mesi, scritta sul titolo?</t>
  </si>
  <si>
    <t>15.18. Il prezzo corrente di un titolo che non paga dividendi è pari a $20 e la sua volatilità è pari al 20%. Il tasso d’interesse privo di rischio è pari al 6%. Qual è il valore corrente di una put, con strike $20 e scadenza tra 3 mesi, scritta sul titolo?</t>
  </si>
  <si>
    <t>15.19. In 6 consecutivi venerdì, il prezzo di un’azione è risultato pari a $20, $22, $19, $21, $24 e $24. In base a questi dati, qual è la stima della volatilità annua dell’azione?</t>
  </si>
  <si>
    <t>(a) 52%</t>
  </si>
  <si>
    <t>(b) 62%</t>
  </si>
  <si>
    <t>(c) 72%</t>
  </si>
  <si>
    <t>(d) 82%</t>
  </si>
  <si>
    <t>S</t>
  </si>
  <si>
    <t>Il rapporto tra i prezzi osservati nei primi due venerdì è 1,1 (= $22 / $20). Il tasso di rendi-mento logaritmico settimanale è pari al 9,53% [= ln(1,1)]. Analogamente, i tassi di rendimento logaritmici relativi alle altre settimane sono: −14,66%, 10,01%, 13,35% e 0%.</t>
  </si>
  <si>
    <t>La deviazione standard di 9,53%, −14,66%, 10,01%, 13,35% e 0% è pari all’11,38%. Pertanto, la volatilità settimanale dell’azione è pari all’11,38%. Questo livello corrisponde a una volatilità annua pari all’82% (= 11,38% × √52). Pertanto, la risposta corretta è quella sub (d).</t>
  </si>
  <si>
    <t>15.20. La volatilità di un’azione è pari al 18% annuo. Qual è la volatilità mensile?</t>
  </si>
  <si>
    <t>(a) 1,5%</t>
  </si>
  <si>
    <t>(b) 3,0%</t>
  </si>
  <si>
    <t>(c) 5,2%</t>
  </si>
  <si>
    <t>(d) 6,3%</t>
  </si>
  <si>
    <t>La volatilità mensile è pari alla volatilità annua moltiplicata per √(1/12) = 0,2887. Pertanto, la volatilità mensile è pari al 5,2% (= 18% × 0,2887).</t>
  </si>
  <si>
    <t>√(1/12)</t>
  </si>
  <si>
    <t>16.1. Solo una delle seguenti affermazioni è corretta. Quale?</t>
  </si>
  <si>
    <t>(a) In genere, le stock options vengono detenute fino alla scadenza.</t>
  </si>
  <si>
    <t>(b) Le stock options tendono a essere esercitate prima delle corrispondenti opzioni negoziate in borsa o sul mercato OTC.</t>
  </si>
  <si>
    <t>(c) Le stock options tendono a essere esercitate più tardi delle corrispondenti opzioni negoziate in borsa o sul mercato OTC.</t>
  </si>
  <si>
    <t>(d) In genere, le stock options tendono a essere esercitate il prima possibile.</t>
  </si>
  <si>
    <t xml:space="preserve">Le stock options tendono a essere esercitate prima delle corrispondenti opzioni negoziate in borsa o sul mercato OTC. </t>
  </si>
  <si>
    <t>Dato che non possono essere cedute a terzi, l’esercizio rappresenta l’unico modo per monetizzare il valore delle stock options. Le risposte sub (a), (c) e (d) non sono corrette.</t>
  </si>
  <si>
    <t>16.2. Solo una delle seguenti affermazioni sulle stock options non è corretta. Quale?</t>
  </si>
  <si>
    <t>(a) È previsto un vesting period.</t>
  </si>
  <si>
    <t>(b) Possono essere cedute a altri dipendenti.</t>
  </si>
  <si>
    <t>(c) Sono spesso at the money al momento dell’assegnazione.</t>
  </si>
  <si>
    <t>(d) Attualmente vengono spesate in bilancio.</t>
  </si>
  <si>
    <t>Le stock options non possono essere cedute a altri dipendenti. Le risposte sub (a), (c) e (d) sono corrette.</t>
  </si>
  <si>
    <t>16.3. Quale termine viene utilizzato per descrivere le perdite che gli azionisti subiscono a causa del mancato allineamento tra i loro interessi e quelli dei managers?</t>
  </si>
  <si>
    <t>(a) Costi d’agenzia.</t>
  </si>
  <si>
    <t>(b) Scandali della retrodatazione.</t>
  </si>
  <si>
    <t>(c) Diluizione.</t>
  </si>
  <si>
    <t>(d) Componenti negative di reddito.</t>
  </si>
  <si>
    <t>I costi d’agenzia sono quelli causati dal mancato allineamento tra gli interessi dei managers e quelli degli azionisti.</t>
  </si>
  <si>
    <t>16.4. Solo una delle seguenti affermazioni sulle stock options è corretta. Quale?</t>
  </si>
  <si>
    <t>(a) Di solito, vengono valutate come se fossero calls ordinarie di tipo americano.</t>
  </si>
  <si>
    <t>(b) Di solito, vengono valutate come se fossero calls ordinarie di tipo americano, ma con vita residua più breve.</t>
  </si>
  <si>
    <t>(c) Di solito, vengono valutate come se fossero calls ordinarie di tipo europeo.</t>
  </si>
  <si>
    <t>(d) Di solito, vengono valutate come se fossero calls ordinarie di tipo europeo, ma con vita residua più breve.</t>
  </si>
  <si>
    <t>Di solito, le stock options vengono valutate con il modello Black-Scholes-Merton (e quindi come se fossero calls ordinarie di tipo europeo), ma con vita residua più breve (per tener conto del fatto che tendono a essere esercitate prima della scadenza).</t>
  </si>
  <si>
    <t>16.5. Solo una delle seguenti affermazioni sulle stock options era corretta prima del 1995. Quale?</t>
  </si>
  <si>
    <t>(a) Le stock options non avevano alcun effetto sui bilanci delle società.</t>
  </si>
  <si>
    <t>Prima del 1995, si assumeva che le at the money stock options non comportassero alcun costo per le società.</t>
  </si>
  <si>
    <t>(b) Le stock options che erano at the money nel momento dell’assegnazione dovevano essere spesate nel conto economico.</t>
  </si>
  <si>
    <t>(c) Le stock options che erano at the money nel momento dell’assegnazione dovevano essere riportate nelle note integrative dei bilanci.</t>
  </si>
  <si>
    <t>(d) Le stock options che erano at the money nel momento dell’assegnazione non avevano alcun effetto sui bilanci delle società.</t>
  </si>
  <si>
    <t>16.6. Solo una delle seguenti affermazioni sulle stock options era corretta nel periodo tra il 1996 e il 2004. Quale?</t>
  </si>
  <si>
    <t>16.7. Dopo il 2005, solo una delle seguenti affermazioni sulle stock options è corretta. Quale?</t>
  </si>
  <si>
    <t>(a) Le stock options non hanno alcun effetto sui bilanci delle società.</t>
  </si>
  <si>
    <t>(b) Le stock options che sono at the money nel momento dell’assegnazione devono essere spesate nel conto economico.</t>
  </si>
  <si>
    <t>(c) Le stock options che sono at the money nel momento dell’assegnazione devono essere riportate nelle note integrative dei bilanci.</t>
  </si>
  <si>
    <t>(d) Le stock options che sono at the money nel momento dell’assegnazione non hanno alcun effetto sui bilanci delle società.</t>
  </si>
  <si>
    <t>A decorrere dal 2005, le stock options che sono at the money nel momento dell’assegnazione devono essere spesate nel conto economico.</t>
  </si>
  <si>
    <t>16.8. Dopo l’assegnazione, solo una delle seguenti affermazioni sulle stock options è corretta. Quale?</t>
  </si>
  <si>
    <t>(a) Devono essere rivalutate con cadenza annuale.</t>
  </si>
  <si>
    <t>(b) Devono essere rivalutate con cadenza trimestrale.</t>
  </si>
  <si>
    <t>(c) Devono essere rivalutate con cadenza giornaliera, come gli altri derivati.</t>
  </si>
  <si>
    <t>(d) Non devono essere più valutate.</t>
  </si>
  <si>
    <t>Le stock options devono essere valutate solo nel momento dell’assegnazione, non successivamente.</t>
  </si>
  <si>
    <t>16.9. Solo una delle seguenti affermazioni sul backdating è corretta. Quale?</t>
  </si>
  <si>
    <t>(a) È illegale.</t>
  </si>
  <si>
    <t>(b) Negli Stati Uniti, è illegale nella maggior parte degli Stati, ma non in tutti.</t>
  </si>
  <si>
    <t>(c) Negli Stati Uniti, è illegale in circa metà degli Stati.</t>
  </si>
  <si>
    <t>(d) Non è etica, ma non è illegale.</t>
  </si>
  <si>
    <t>La «retrodatazione» (backdating) delle stock options è illegale.</t>
  </si>
  <si>
    <t>16.10. Una società sorprende il mercato annunciando l’assegnazione di stock options ai dirigenti. Le opzioni vengono esercitate 4 anni dopo. Quand’è che si verifica la diluizione?</t>
  </si>
  <si>
    <t>(a) La diluizione si verifica nel momento in cui le stock options vengono esercitate.</t>
  </si>
  <si>
    <t>(b) La diluizione si verifica nel momento in cui le stock options vengono assegnate.</t>
  </si>
  <si>
    <t>(c) La diluizione si verifica gradualmente nel corso dei 4 anni.</t>
  </si>
  <si>
    <t>(d) Le stock options non comportano alcuna diluizione.</t>
  </si>
  <si>
    <t>Se i mercati sono efficienti, la diluizione si verifica nel momento stesso in cui le stock options vengono assegnate.</t>
  </si>
  <si>
    <t>16.11. Quando l’assegnatario delle stock options lascia la società, cosa succede di solito?</t>
  </si>
  <si>
    <t>(a) L’assegnatario è costretto all’«abbandono» (forfeiting) delle opzioni.</t>
  </si>
  <si>
    <t>(b) L’assegnatario è costretto ad abbandonare le opzioni out of the money.</t>
  </si>
  <si>
    <t>(c) L’assegnatario abbandona tutte le opzioni per le quali il vesting period è terminato.</t>
  </si>
  <si>
    <t>(d) L’assegnatario mantiene il possesso delle opzioni.</t>
  </si>
  <si>
    <t>Di solito, le opzioni out of the money vengono abbandonate e quelle in the money devono essere esercitate immediatamente.</t>
  </si>
  <si>
    <t>16.12. Quale delle seguenti frasi definisce il vesting period?</t>
  </si>
  <si>
    <t>(a) Il periodo durante il quale le stock options possono essere esercitate.</t>
  </si>
  <si>
    <t>(b) Il periodo durante il quale le stock options vengono assegnate.</t>
  </si>
  <si>
    <t>(c) Il periodo durante il quale lo strike delle stock options coincide con il prezzo dell’azione.</t>
  </si>
  <si>
    <t>(d) Il periodo durante il quale le stock options non possono essere esercitate.</t>
  </si>
  <si>
    <t>Il vesting period è il periodo durante il quale le stock options non possono essere esercitate.</t>
  </si>
  <si>
    <t>16.13. Solo una delle seguenti affermazioni non è corretta. Quale?</t>
  </si>
  <si>
    <t>(a) I managers sono incentivati ad assegnare le stock options dopo le cattive notizie.</t>
  </si>
  <si>
    <t>(b) I managers sono incentivati ad assegnare le stock options prima delle buone notizie.</t>
  </si>
  <si>
    <t>(c) Le stock options inducono i managers ad attuare le strategie che, nel lungo periodo, da-ranno i migliori risultati per la società.</t>
  </si>
  <si>
    <t>(d) I managers sono incentivati a comunicare le buone notizie subito prima dell’esercizio delle loro stock options.</t>
  </si>
  <si>
    <t>16.14. Quale delle seguenti strategie non ha alcun senso?</t>
  </si>
  <si>
    <t>(a) L’assegnatario esercita le stock options anticipatamente e vende le azioni. Non sono attesi dividendi.</t>
  </si>
  <si>
    <t>(b) L’assegnatario esercita le stock options anticipatamente e mantiene le azioni. Non sono attesi dividendi.</t>
  </si>
  <si>
    <t>(c) L’assegnatario esercita le stock options anticipatamente e vende le azioni. Sono attesi dividendi.</t>
  </si>
  <si>
    <t>(d) L’assegnatario esercita le stock options anticipatamente e mantiene le azioni. Sono attesi dividendi.</t>
  </si>
  <si>
    <t xml:space="preserve">Le calls negoziate in borsa, scritte su titoli che non pagano dividendi, non dovrebbero essere mai esercitate anticipatamente. </t>
  </si>
  <si>
    <t xml:space="preserve">L’unico motivo per cui le stock options vengono esercitate è che l’esercizio rappresenta l’unico modo per monetizzarne il valore, dato che le opzioni non possono essere cedute a terzi. </t>
  </si>
  <si>
    <t>Ma, per monetizzare il valore delle opzioni, le azioni ricevute in cambio del pagamento dello strike devono essere vendute.</t>
  </si>
  <si>
    <t>16.15. In teoria, le stock options potrebbero indurre l’amministratore delegato di una società a:</t>
  </si>
  <si>
    <t>(a) aumentare il rischio delle operazioni societarie;</t>
  </si>
  <si>
    <t>(b) ridurre il rischio delle operazioni societarie;</t>
  </si>
  <si>
    <t>(c) comprare azioni della società.</t>
  </si>
  <si>
    <t>Se il rischio dell’impresa aumenta, cresce la volatilità delle azioni e aumenta il valore delle stock options.</t>
  </si>
  <si>
    <t>16.16. Cosa succede, di solito, quando l’assegnatario esercita le sue stock options?</t>
  </si>
  <si>
    <t>(a) L’assegnatario compra le azioni al prezzo di mercato e la società gli riconosce la differenza tra il prezzo di mercato e il prezzo d’esercizio.</t>
  </si>
  <si>
    <t>(b) La società, o un suo agente incaricato, compra le azioni sul mercato e le consegna al di-pendente in cambio dello strike.</t>
  </si>
  <si>
    <t>(c) La società emette nuove azioni e le consegna al dipendente in cambio dello strike.</t>
  </si>
  <si>
    <t>(d) Il dipendente non può immediatamente vendere le azioni rivenienti dall’esercizio delle stock options.</t>
  </si>
  <si>
    <t>Quando l’assegnatario esercita le sue stock options, la società emette nuove azioni e le consegna al dipendente in cambio dello strike.</t>
  </si>
  <si>
    <t>16.17. Solo una delle seguenti circostanze fa aumentare la vita attesa delle stock options. Quale?</t>
  </si>
  <si>
    <t>(a) L’allungamento del vesting period.</t>
  </si>
  <si>
    <t>(b) Il maggior turnover dei dipendenti.</t>
  </si>
  <si>
    <t>(c) La forte crescita del prezzo dell’azione.</t>
  </si>
  <si>
    <t>(d) La tendenza dei dipendenti a esercitare più presto le stock options rispetto al passato.</t>
  </si>
  <si>
    <t>L’allungamento del vesting period costringe gli assegnatari a una più lunga attesa prima di poter esercitare le loro stock options.</t>
  </si>
  <si>
    <t>16.18. Quale delle seguenti ipotesi è stata supportata dalle ricerche empiriche relative al periodo 1995 - 2002?</t>
  </si>
  <si>
    <t>(a) La data di assegnazione delle stock options tendeva a coincidere con periodi in cui il prezzo dell’azione sottostante era elevato.</t>
  </si>
  <si>
    <t>(b) La data di assegnazione delle stock options tendeva a coincidere con periodi in cui il prezzo dell’azione sottostante era basso.</t>
  </si>
  <si>
    <t>(c) La data di assegnazione delle stock options tendeva a coincidere con periodi in cui il prezzo dell’azione scattava verso l’alto.</t>
  </si>
  <si>
    <t>(d) Non c’erano relazioni significative tra le date di assegnazione delle stock options e il livello dei prezzi delle azioni sottostanti.</t>
  </si>
  <si>
    <t>Le ricerche empiriche hanno mostrato che le date di assegnazione delle stock options tendevano a coincidere con periodi in cui i prezzi delle azioni sottostanti erano bassi. Questi risultati sono stati utilizzati per mettere in evidenza il fenomeno del backdating.</t>
  </si>
  <si>
    <t>16.19. Quale dei seguenti accorgimenti fa sì che i managers siano remunerati solo quando la loro società fa meglio della concorrenza?</t>
  </si>
  <si>
    <t>(a) La costanza degli strikes delle stock options.</t>
  </si>
  <si>
    <t>(b) La crescita nel tempo degli strikes delle stock options.</t>
  </si>
  <si>
    <t>(c) La variabilità degli strikes delle stock options in funzione di un indice azionario.</t>
  </si>
  <si>
    <t>(d) La variabilità degli strikes delle stock options in funzione degli utili.</t>
  </si>
  <si>
    <t>Se lo strike di una stock option che è inizialmente at the money viene variato in funzione di un indice azionario, la società deve battere la concorrenza affinché l’opzione vada in the money.</t>
  </si>
  <si>
    <t>16.20. Le stock options sono particolarmente diffuse nel settore delle start-ups perché:</t>
  </si>
  <si>
    <t>(a) incoraggiano i dipendenti a lavorare duro;</t>
  </si>
  <si>
    <t>(b) le start-ups non sono in grado di pagare stipendi elevati;</t>
  </si>
  <si>
    <t>(c) il rischio associato all’attività imprenditoriale viene condiviso con i dipendenti.</t>
  </si>
  <si>
    <t>Le risposte (a), (b) e (c) spiegano i motivi della popolarità delle stock options nel settore delle start-ups.</t>
  </si>
  <si>
    <t>17.2. Una società sa che dovrà acquistare valuta estera e vuole coprire la sua esposizione valutaria con un range forward. Cosa dovrebbe fare? Solo una delle seguenti affermazioni è corretta.</t>
  </si>
  <si>
    <t xml:space="preserve">17.9. Considerate una put europea, con prezzo d’esercizio di $1.050 e scadenza tra 6 mesi, scritta su un indice il cui livello corrente è di $1.000. </t>
  </si>
  <si>
    <t>17.3. Cosa sostituisce il dividend yield quando si valutano le opzioni su valute in base alla formula utilizzata per valutare le opzioni scritte su un titolo che offre un dividend yield noto?</t>
  </si>
  <si>
    <t>(a) Il tasso d’interesse interno privo di rischio.</t>
  </si>
  <si>
    <t>(b) Il tasso d’interesse estero privo di rischio.</t>
  </si>
  <si>
    <t>(c) La differenza tra il tasso d’interesse interno privo di rischio e il corrispondente tasso estero.</t>
  </si>
  <si>
    <t xml:space="preserve">17.5. Il gestore di un portafoglio azionario del valore di $10 milioni teme che il mercato possa rapidamente scendere nei prossimi 6 mesi </t>
  </si>
  <si>
    <t xml:space="preserve">e vuole utilizzare le opzioni su un indice azionario per assicurare il portafoglio contro la possibilità che scenda al di sotto dei $9,5 milioni. </t>
  </si>
  <si>
    <t>(a) Vendere 200 contratti.</t>
  </si>
  <si>
    <t>(b) Acquistare 200 contratti.</t>
  </si>
  <si>
    <t>(c) Vendere 100 contratti.</t>
  </si>
  <si>
    <t>(d) Acquistare 100 contratti.</t>
  </si>
  <si>
    <t xml:space="preserve">17.6. Il gestore di un portafoglio azionario del valore di $10 milioni teme che il mercato possa rapidamente scendere nei prossimi 6 mesi </t>
  </si>
  <si>
    <t>e vuole utilizzare le opzioni su un indice azionario per assicurare il portafoglio contro la possibilità che scenda al di sotto dei $9,5 milioni.</t>
  </si>
  <si>
    <t>(a) $425</t>
  </si>
  <si>
    <t>(b) $450</t>
  </si>
  <si>
    <t>(c) $475</t>
  </si>
  <si>
    <t>(d) $500</t>
  </si>
  <si>
    <t>Quando il valore del portafoglio scende del 5%, ci si attende che anche l’indice scenda del 5%. Pertanto, lo strike dovrebbe essere pari a $475 (= 0,95 × $500).</t>
  </si>
  <si>
    <t xml:space="preserve">17.7. Il gestore di un portafoglio azionario del valore di $10 milioni teme che il mercato possa rapidamente scendere nei prossimi 6 mesi </t>
  </si>
  <si>
    <t>β</t>
  </si>
  <si>
    <t>β*</t>
  </si>
  <si>
    <t>Il livello corrente dell’indice è di $500. Ogni contratto put è scritto su 100 volte il livello dell’indice. Se il beta del portafoglio è pari a 1, che posizione dovrebbe assumere sulle opzioni put?</t>
  </si>
  <si>
    <t>Il livello corrente dell’indice è di $500. Ogni contratto put è scritto su 100 volte il livello dell’indice. Se il beta del portafoglio è pari a 1, quale dovrebbe essere lo strike delle opzioni put?</t>
  </si>
  <si>
    <t>Il livello corrente dell’indice è di $500. Ogni contratto put è scritto su 100 volte il livello dell’indice. Se il beta del portafoglio è pari a 0,5, che posizione dovrebbe assumere sulle opzioni put?</t>
  </si>
  <si>
    <t xml:space="preserve">17.8. Il gestore di un portafoglio azionario del valore di $10 milioni teme che il mercato possa rapidamente scendere nei prossimi 6 mesi </t>
  </si>
  <si>
    <t xml:space="preserve">Il livello corrente dell’indice è di $500. Ogni contratto put è scritto su 100 volte il livello dell’indice. Se il beta del portafoglio è pari a 0,5, quale dovrebbe essere lo strike delle opzioni put? </t>
  </si>
  <si>
    <t>Assumete che il tasso d’interesse privo di rischio sia pari al 10% annuo (composto continuamente) e che non vengano pagati dividendi né sul portafoglio né sui titoli su cui si basa l’indice.</t>
  </si>
  <si>
    <t>(a) $395</t>
  </si>
  <si>
    <t>(b) $405</t>
  </si>
  <si>
    <t>(c) $415</t>
  </si>
  <si>
    <t>(d) $425</t>
  </si>
  <si>
    <t>Il tasso d’interesse privo di rischio è pari al 5% semestrale (=10%/2).</t>
  </si>
  <si>
    <t xml:space="preserve">Dato che il beta del portafoglio è pari a 0,5, un tasso di variazione dell’indice pari al −15% comporta una riduzione del 5% nel valore del portafoglio [−5% = 5% + 0,5 × (−15% − 5%)]. </t>
  </si>
  <si>
    <t>Pertanto, lo strike delle opzioni put dovrebbe essere pari a $425 [= (1 − 0,15) × $500].</t>
  </si>
  <si>
    <t>Qual è il limite inferiore per il prezzo della put?</t>
  </si>
  <si>
    <t>(a) $50,00</t>
  </si>
  <si>
    <t>(b) $43,11</t>
  </si>
  <si>
    <t>(c) $29,21</t>
  </si>
  <si>
    <t>(d) $39,16</t>
  </si>
  <si>
    <t>(a) $0,1048</t>
  </si>
  <si>
    <t>(b) $0,0900</t>
  </si>
  <si>
    <t>(c) $0,1344</t>
  </si>
  <si>
    <t>(d) $0,1211</t>
  </si>
  <si>
    <t>17.11. Le opzioni put scritte su indici azionari offrono protezione contro il rischio che il valore di un certo portafoglio scenda al di sotto di un dato livello. Cosa succede se il beta del portafoglio aumenta?</t>
  </si>
  <si>
    <t>(a) Il costo della copertura aumenta.</t>
  </si>
  <si>
    <t>(b) Lo strike delle puts aumenta.</t>
  </si>
  <si>
    <t>(c) Il numero delle opzioni da vendere aumenta.</t>
  </si>
  <si>
    <t>Col crescere del beta tutte le risposte sub (a), (b) e (c) sono corrette.</t>
  </si>
  <si>
    <t>17.12. Solo una delle seguenti affermazioni sui range forwards non è corretta. Quale?</t>
  </si>
  <si>
    <t>(a) Assicurano che il tasso di cambio per una futura transazione giaccia tra due valori.</t>
  </si>
  <si>
    <t>(b) Possono essere strutturati in modo che il loro costo sia nullo.</t>
  </si>
  <si>
    <t>(c) Richiedono 1 forward e 2 opzioni.</t>
  </si>
  <si>
    <t>(d) Possono coprire sia il futuro acquisto sia la futura vendita di valuta estera.</t>
  </si>
  <si>
    <t>I range forwards richiedono solo 2 opzioni. Le affermazioni sub (a), (b) e (d) sono corrette.</t>
  </si>
  <si>
    <t>I tassi d’interesse privi di rischio, interno ed estero, sono pari al 4% e al 6% annuo, rispettivamente. Qual è la probabilità di rialzo?</t>
  </si>
  <si>
    <t>(a) 0,4435</t>
  </si>
  <si>
    <t>(b) 0,5267</t>
  </si>
  <si>
    <t>(c) 0,5565</t>
  </si>
  <si>
    <t>(d) 0,5771</t>
  </si>
  <si>
    <t>La probabilità di rialzo è pari al 44,35%:</t>
  </si>
  <si>
    <t xml:space="preserve">17.14. Per valutare un’opzione scritta su un indice azionario, che ha una volatilità del 16% e offre un dividend yield dell’1% annuo, viene utilizzato un albero binomiale. La lunghezza di ogni stadio, Δt, è pari a un mese. </t>
  </si>
  <si>
    <t>Il tasso d’interesse privo di rischio è pari al 3% annuo. Qual è la probabilità di rialzo?</t>
  </si>
  <si>
    <t>(a) 0,4704</t>
  </si>
  <si>
    <t>(b) 0,5065</t>
  </si>
  <si>
    <t>(c) 0,5592</t>
  </si>
  <si>
    <t>(d) 0,5833</t>
  </si>
  <si>
    <t>I parametri u e d sono pari, rispettivamente, a 1,0473 e 0,9549:</t>
  </si>
  <si>
    <t>La probabilità di rialzo è pari al 50,65%:</t>
  </si>
  <si>
    <t>17.15. Una at-the-money call europea, con scadenza tra 4 anni, è scritta su una valuta estera che ha un tasso di cambio corrente pari a $1,2000 e una volatilità del 10%.</t>
  </si>
  <si>
    <t xml:space="preserve"> I tassi d’interesse privi di rischio, interno ed estero, sono pari al 2% e al 5% annuo, rispettivamente. Qual è il valore della call?</t>
  </si>
  <si>
    <t>17.16. Una at-the-money put europea, con scadenza tra 4 anni, è scritta su una valuta estera che ha un tasso di cambio corrente pari a $1,2000 e una volatilità del 10%.</t>
  </si>
  <si>
    <t xml:space="preserve"> I tassi d’interesse privi di rischio, interno ed estero, sono pari al 2% e al 5% annuo, rispettivamente. Qual è il valore della put?</t>
  </si>
  <si>
    <t>17.17. Supponete di dover valutare le currency options europee utilizzando i tassi di cambio forward. Solo una delle seguenti affermazioni è corretta. Quale?</t>
  </si>
  <si>
    <t>(a) Non è necessario conoscere né il tasso d’interesse interno né il tasso di cambio spot.</t>
  </si>
  <si>
    <t>(b) Non è necessario conoscere né il tasso d’interesse interno né quello estero.</t>
  </si>
  <si>
    <t>(d) Non è necessario conoscere né il tasso d’interesse estero né il tasso di cambio spot.</t>
  </si>
  <si>
    <t>Il tasso di cambio forward contiene tutte le informazioni necessarie circa il tasso d’interesse estero e il tasso di cambio spot. È necessario conoscere il tasso d’interesse interno.</t>
  </si>
  <si>
    <t>17.18. Qual è il size di un contratto d’opzione scritto sul prezzo spot dello S&amp;P 500?</t>
  </si>
  <si>
    <t>(a) 250</t>
  </si>
  <si>
    <t>(b) 100</t>
  </si>
  <si>
    <t>(c) 50</t>
  </si>
  <si>
    <t>(d) 25</t>
  </si>
  <si>
    <t>Alla CBOE, ogni contratto d’opzione scritto sullo S&amp;P 500 ha una «dimensione» (size) pari a 100, ossia è scritto sul prodotto tra 100 e il prezzo spot dello S&amp;P 500.</t>
  </si>
  <si>
    <t>17.19. I tassi d’interesse privi di rischio, interno ed estero, sono pari al 3% e al 5%, rispettivamente. In un mondo neutrale verso il rischio, qual è il tasso di crescita atteso del tasso di cambio spot?</t>
  </si>
  <si>
    <t>(a) +2%</t>
  </si>
  <si>
    <t>(b) −2%</t>
  </si>
  <si>
    <t>(c) +5%</t>
  </si>
  <si>
    <t>(d) +3%</t>
  </si>
  <si>
    <t>Il tasso di crescita atteso del tasso di cambio spot è pari a −2% (= 3% − 5%).</t>
  </si>
  <si>
    <t xml:space="preserve">17.20. Supponete di aver comprato 100 opzioni call che vi consentono di acquistare un’unità della valuta A in cambio della valuta B a uno strike di 1,25. </t>
  </si>
  <si>
    <t>Solo una delle seguenti operazioni equivale all’operazione che avete appena effettuato. Quale?</t>
  </si>
  <si>
    <t>(a) 100 calls, con uno strike di 0,8 espresso nella valuta A, scritte su un’unità della valuta B.</t>
  </si>
  <si>
    <t>(b) 125 calls, con uno strike di 0,8 espresso nella valuta A, scritte su un’unità della valuta B.</t>
  </si>
  <si>
    <t>(c) 100 puts, con uno strike di 0,8 espresso nella valuta A, scritte su un’unità della valuta B.</t>
  </si>
  <si>
    <t>(d) 125 puts, con uno strike di 0,8 espresso nella valuta A, scritte su un’unità della valuta B.</t>
  </si>
  <si>
    <t>L’acquisto di 100 unità della valuta A in cambio di 125 unità della valuta B equivale alla vendita di 125 unità della valuta B in cambio di 100 unità della valuta A.</t>
  </si>
  <si>
    <t>18.1. Quale posizione assume chi esercita una put scritta su un contratto futures? Una sola delle seguenti affermazioni è esatta:</t>
  </si>
  <si>
    <t>18.2. Quale posizione assume chi esercita una call scritta su un contratto futures? Una sola delle seguenti affermazioni è esatta:</t>
  </si>
  <si>
    <t>Chi esercita una futures put assume una posizione corta sul contratto futures. La posizione può essere immediatamente chiusa senza costi aggiuntivi.</t>
  </si>
  <si>
    <t>Chi esercita una futures call assume una posizione lunga sul contratto futures. La posizione può essere immediatamente chiusa senza costi aggiuntivi.</t>
  </si>
  <si>
    <t>18.4. Solo una delle seguenti affermazioni non è esatta. Quale?</t>
  </si>
  <si>
    <t>18.6. Solo una delle seguenti affermazioni è esatta. Quale?</t>
  </si>
  <si>
    <t xml:space="preserve">18.7. Il prezzo futures corrente di una certa attività è di ¢40. Ci si aspetta che nei prossimi 6 mesi salga a ¢44 o scenda a ¢34. </t>
  </si>
  <si>
    <t>18.3. Il tasso d’interesse privo di rischio è del 5% e il dividend yield dello S&amp;P 500 è del 2%. Quando si valuta una futures option sullo S&amp;P 500, solo una delle seguenti affermazioni è corretta. Quale?</t>
  </si>
  <si>
    <t xml:space="preserve">Quando si valuta una futures option sullo S&amp;P 500, il prezzo futures dello S&amp;P 500 può essere trattato alla stregua del prezzo spot di un titolo con un dividend yield pari al tasso d’interesse privo di rischio. </t>
  </si>
  <si>
    <t>In questo caso, il tasso d’interesse privo di rischio è pari al 5%. Pertanto, la risposta sub (a) è corretta.</t>
  </si>
  <si>
    <t>Il modello di Black può essere utilizzato solo per le opzioni europee. Pertanto, la risposta sub (a) non è corretta.</t>
  </si>
  <si>
    <t>18.5. Se il prezzo futures è più elevato del prezzo spot, solo una delle seguenti affermazioni è corretta. Quale?</t>
  </si>
  <si>
    <t>(a) Le futures calls americane non dovrebbero essere mai esercitate anticipatamente.</t>
  </si>
  <si>
    <t>(b) Le futures puts americane non dovrebbero essere mai esercitate anticipatamente.</t>
  </si>
  <si>
    <t>(c) Le futures calls americane valgono almeno quanto le corrispondenti spot calls.</t>
  </si>
  <si>
    <t>(d) Le spot calls americane valgono almeno quanto le corrispondenti futures calls.</t>
  </si>
  <si>
    <t>Se il prezzo futures è più elevato del prezzo spot, le futures calls americane valgono almeno quanto le corrispondenti spot calls. Sia le futures calls americane, sia le futures puts americane vengono a volte esercitate anticipatamente.</t>
  </si>
  <si>
    <t>Le futures-style options sono futures scritti sul payoff di un’opzione.</t>
  </si>
  <si>
    <t>I tassi d’interesse privi di rischio sono al livello del 6 per cento. Qual è la probabilità di rialzo in un mondo neutrale verso il rischio?</t>
  </si>
  <si>
    <t>(a) 0,40</t>
  </si>
  <si>
    <t>(c) 0,72</t>
  </si>
  <si>
    <t>(d) 0,60</t>
  </si>
  <si>
    <t xml:space="preserve">18.8. Il prezzo futures corrente di una certa attività è di ¢40. Ci si aspetta che nei prossimi 6 mesi salga a ¢44 o scenda a ¢34. </t>
  </si>
  <si>
    <t xml:space="preserve">18.9. Il prezzo futures corrente di una certa attività è di ¢40. Ci si aspetta che nei prossimi 6 mesi salga a ¢44 o scenda a ¢34. </t>
  </si>
  <si>
    <t>I tassi d’interesse privi di rischio sono al livello del 6 per cento. Qual è il valore di una put, con prezzo d’esercizio di ¢37 e scadenza tra 6 mesi, scritta sul futures?</t>
  </si>
  <si>
    <t>(a) ¢3,00</t>
  </si>
  <si>
    <t>(b) ¢2,91</t>
  </si>
  <si>
    <t>(c) ¢1,16</t>
  </si>
  <si>
    <t>(d) ¢1,20</t>
  </si>
  <si>
    <r>
      <t>K</t>
    </r>
    <r>
      <rPr>
        <sz val="10.5"/>
        <rFont val="Times New Roman"/>
        <family val="1"/>
      </rPr>
      <t/>
    </r>
  </si>
  <si>
    <t>I tassi d’interesse privi di rischio sono al livello del 6 per cento. Qual è il valore di una call, con prezzo d’esercizio di ¢39 e scadenza tra 6 mesi, scritta sul futures?</t>
  </si>
  <si>
    <t>(a) ¢5,00</t>
  </si>
  <si>
    <t>(c) ¢3,00</t>
  </si>
  <si>
    <t>(d) ¢4,21</t>
  </si>
  <si>
    <t>18.11. Considerate le September futures options. Solo una delle seguenti affermazioni è corretta. Quale?</t>
  </si>
  <si>
    <t>(a) Le opzioni scadono a settembre.</t>
  </si>
  <si>
    <t>(b) Le opzioni iniziano ad essere quotate in settembre.</t>
  </si>
  <si>
    <t>(c) Il mese di consegna del futures sottostante è settembre.</t>
  </si>
  <si>
    <t>(d) Settembre è il primo mese in cui le opzioni possono essere esercitate.</t>
  </si>
  <si>
    <t>Il mese indicato nella denominazione delle futures options è il mese in cui scade il futures sottostante.</t>
  </si>
  <si>
    <t>(a) (prezzo futures corrente − strike) × 50</t>
  </si>
  <si>
    <t>(b) (strike − prezzo futures corrente) × 50</t>
  </si>
  <si>
    <t>(c) (ultimo settlement price del futures − strike) × 50</t>
  </si>
  <si>
    <t>(d) (strike − ultimo settlement price del futures) × 50</t>
  </si>
  <si>
    <t xml:space="preserve">All’investitore viene accreditato un importo pari alla differenza tra lo strike e l’ultimo settlement price del futures, moltiplicata per la dimensione del contratto. </t>
  </si>
  <si>
    <t>Inoltre, l’investitore riceve una posizione corta sul futures. In totale, il valore di quanto riceve è pari alla differenza tra lo strike e il prezzo futures corrente, moltiplicata per la dimensione del contratto.</t>
  </si>
  <si>
    <t>18.12. Un investitore esercita una futures put scritta su 50 unità dell’attività sottostante. Qual è l’importo che gli viene accreditato?</t>
  </si>
  <si>
    <t>18.13. Un investitore esercita una futures call scritta su 50 unità dell’attività sottostante. Qual è l’importo che gli viene accreditato?</t>
  </si>
  <si>
    <t xml:space="preserve">All’investitore viene accreditato un importo pari alla differenza tra l’ultimo settlement price del futures e lo strike, moltiplicata per la dimensione del contratto. </t>
  </si>
  <si>
    <t>Inoltre, l’investitore riceve una posizione lunga sul futures. In totale, il valore di quanto riceve è pari alla differenza tra il prezzo futures corrente e lo strike, moltiplicata per la dimensione del contratto.</t>
  </si>
  <si>
    <t>(b) Le futures-style options vengono liquidate giornalmente.</t>
  </si>
  <si>
    <t>18.15. Una futures option e una spot option scritte sullo stesso sottostante hanno lo stesso strike. La scadenza delle opzioni e del futures coincidono. Solo una delle seguenti affermazioni è corretta. Quale?</t>
  </si>
  <si>
    <t xml:space="preserve">(a) Le spot calls europee valgono quanto le futures calls americane. </t>
  </si>
  <si>
    <t>(b) Le spot calls americane valgono quanto le futures calls europee.</t>
  </si>
  <si>
    <t xml:space="preserve">(c) Le spot puts europee valgono quanto le futures puts europee. </t>
  </si>
  <si>
    <t>(d) Le spot puts americane valgono quanto le futures puts americane.</t>
  </si>
  <si>
    <t>Le due opzioni europee si equivalgono. Questo risultato viene spesso utilizzato per valutare le spot options con la formula di Black, originariamente proposta per le futures options.</t>
  </si>
  <si>
    <t xml:space="preserve">18.16. Una at-the-money call europea, con scadenza tra 3 mesi, è scritta su un contratto futures che ha un prezzo futures corrente pari a $50 e una volatilità del 20%. </t>
  </si>
  <si>
    <t>Il tasso d’interesse privo di rischio è pari al 5% annuo. Qual è il valore della futures call?</t>
  </si>
  <si>
    <t>La formula per la futures call è</t>
  </si>
  <si>
    <t>18.17. In un mondo neutrale verso il rischio, qual è il tasso di crescita atteso del prezzo futures di un indice azionario?</t>
  </si>
  <si>
    <t>(a) La differenza tra il tasso d’interesse privo di rischio e il dividend yield.</t>
  </si>
  <si>
    <t>(b) Il tasso d’interesse privo di rischio.</t>
  </si>
  <si>
    <t>(c) Il dividend yield.</t>
  </si>
  <si>
    <t>(d) Zero.</t>
  </si>
  <si>
    <t>In un mondo neutrale verso il rischio, il tasso di crescita atteso di un qualsiasi prezzo futures è pari a zero.</t>
  </si>
  <si>
    <t>18.18. Supponete di utilizzare il modello di Black per valutare un’opzione europea scritta sul prezzo spot di una certa attività finanziaria. Solo una delle seguenti affermazioni non è corretta. Quale?</t>
  </si>
  <si>
    <t>(a) È necessario conoscere il prezzo forward / futures relativo a un contratto che ha la stessa scadenza dell’opzione.</t>
  </si>
  <si>
    <t>(b) Non è necessario stimare il reddito del sottostante durante la vita dell’opzione.</t>
  </si>
  <si>
    <t>(c) Non è necessario stimare il tasso d’interesse privo di rischio.</t>
  </si>
  <si>
    <t>(d) Il sottostante può essere un bene d’investimento o un bene di consumo.</t>
  </si>
  <si>
    <t>Il prezzo futures racchiude in sé tutte le informazioni rilevanti circa il prezzo spot e il reddito del sottostante. È invece necessario stimare il tasso d’interesse privo di rischio.</t>
  </si>
  <si>
    <t>18.19. Considerate due at-the-money futures options europee a 1 anno, una di tipo call e l’altra di tipo put. Solo una delle seguenti affermazioni è corretta. Quale?</t>
  </si>
  <si>
    <t>(a) La futures call vale più della futures put.</t>
  </si>
  <si>
    <t>(b) La futures put vale più della futures call.</t>
  </si>
  <si>
    <t>(c) La futures call vale a volte più e a volte meno della futures put.</t>
  </si>
  <si>
    <t>(d) La futures call vale quanto la futures put.</t>
  </si>
  <si>
    <t>(a) $19,55</t>
  </si>
  <si>
    <t>(b) $18,95</t>
  </si>
  <si>
    <t>(c) $20,95</t>
  </si>
  <si>
    <t>(d) $20,45</t>
  </si>
  <si>
    <t>19.1. Il delta di una call è 0,3. Un trader ne ha vendute 1.000 e vuole che il suo portafoglio sia neutrale in termini di delta. Cosa dovrebbe fare?</t>
  </si>
  <si>
    <t>(a) Vendere 300 azioni.</t>
  </si>
  <si>
    <t>(b) Comprare 300 azioni.</t>
  </si>
  <si>
    <t>(c) Vendere 700 azioni.</t>
  </si>
  <si>
    <t>(d) Comprare 700 azioni.</t>
  </si>
  <si>
    <t xml:space="preserve">Quando il prezzo dell’azione aumenta in misura pari a un piccolo importo, il prezzo della call aumenta in misura pari al 30% di tale importo. Dato che ha venduto 1.000 calls, il trader è immunizzato dalle variazioni di prezzo dell’azione se compra 300 azioni. </t>
  </si>
  <si>
    <t>In tal modo, il delta del portafoglio passa da −300 [= 0,3 × (−1.000)] a 0 [= 0,3 × (−1.000) + 1 × (+300)].</t>
  </si>
  <si>
    <t>Il theta è la derivata del valore del portafoglio rispetto al tempo.</t>
  </si>
  <si>
    <t>19.3. Cos’è il gamma?</t>
  </si>
  <si>
    <t>Il gamma è la derivata del delta rispetto al prezzo del sottostante.</t>
  </si>
  <si>
    <t>19.4. Cos’è il vega?</t>
  </si>
  <si>
    <t>Il vega è la derivata del valore del portafoglio rispetto alla volatilità.</t>
  </si>
  <si>
    <t>19.5. Cos’è il rho?</t>
  </si>
  <si>
    <t>(a) Il rho è la derivata del delta rispetto al prezzo del sottostante.</t>
  </si>
  <si>
    <t>(b) Il rho è la derivata del valore del portafoglio rispetto al tempo.</t>
  </si>
  <si>
    <t>(c) Il rho è la derivata del valore del portafoglio rispetto al tasso d’interesse.</t>
  </si>
  <si>
    <t>Il rho è la derivata del valore del portafoglio rispetto al tasso d’interesse.</t>
  </si>
  <si>
    <t>19.6. Una call e una put, entrambe europee, hanno lo stesso prezzo d’esercizio e la stessa scadenza. Solo una delle seguenti affermazioni è corretta. Quale?</t>
  </si>
  <si>
    <t>(a) Il delta della put al delta della call cambiato di segno.</t>
  </si>
  <si>
    <t>(b) Il delta della put è uguale al delta della call.</t>
  </si>
  <si>
    <t>(c) Il gamma della put è uguale al gamma della call cambiato di segno.</t>
  </si>
  <si>
    <t>(d) Il gamma della put è uguale al gamma della call.</t>
  </si>
  <si>
    <t>Il delta di una put europea scritta su un titolo che non paga dividendi è uguale al delta della corrispondente call meno 1. Il gamma di una put europea è uguale al gamma della corrispondente call.</t>
  </si>
  <si>
    <t xml:space="preserve">19.7. Il delta e il gamma di un portafoglio di derivati scritti su un’azione sono pari, rispettivamente, a 2.400 e –10. Supponete di poter negoziare una call con un delta di 0,5 e un gamma di 0,04. </t>
  </si>
  <si>
    <t>Quale posizione su calls fa sì che il portafoglio diventi neutrale in termini di gamma?</t>
  </si>
  <si>
    <t>(a) Lunga su 250 opzioni.</t>
  </si>
  <si>
    <t>(b) Corta su 250 opzioni.</t>
  </si>
  <si>
    <t>(c) Lunga su 20 opzioni.</t>
  </si>
  <si>
    <t>(d) Corta su 20 opzioni.</t>
  </si>
  <si>
    <t xml:space="preserve">19.8. Un trader segue una strategia stop loss per coprire una posizione corta su una call, con prezzo d’esercizio di $0,7000 e scadenza tra 3 mesi, scritta su un tasso di cambio. </t>
  </si>
  <si>
    <t>(a) Il costo delle compravendite può risultare nullo, per cui il trader guadagna $0,1 per ogni call venduta.</t>
  </si>
  <si>
    <t>(b) Il costo delle compravendite può risultare sensibilmente maggiore di $0,1 per ogni call venduta, per cui il trader chiude l’operazione in perdita.</t>
  </si>
  <si>
    <t>(d) La copertura funziona ragionevolmente bene.</t>
  </si>
  <si>
    <t>Le coperture funzionano ragionevolmente bene se il loro costo è sempre vicino al valore teorico delle opzioni.</t>
  </si>
  <si>
    <t xml:space="preserve">La strategia stop loss non gode di questa proprietà. Il suo costo può essere nullo o molto superiore al valore teorico dell’opzione. </t>
  </si>
  <si>
    <t>In media, il costo della copertura non si discosta molto dal valore Black-Scholes-Merton dell’opzione, ma gli scostamenti dalla media possono essere piuttosto ampi.</t>
  </si>
  <si>
    <t>19.9. Assicurarsi che un portafoglio resti neutrale in termini di delta è un esempio di strategia:</t>
  </si>
  <si>
    <t>(a) stop-loss;</t>
  </si>
  <si>
    <t>(b) dinamica;</t>
  </si>
  <si>
    <t>(c) hedge and forget;</t>
  </si>
  <si>
    <t>(d) statica.</t>
  </si>
  <si>
    <t>La copertura neutrale in termini di delta è un esempio di strategia dinamica. Deve quindi essere aggiustata periodicamente (in teoria, affinché la copertura sia delta neutral, l’aggiustamento dovrebbe essere effettuato continuamente).</t>
  </si>
  <si>
    <t>19.10. Quale dei seguenti portafogli non può essere delta neutral?</t>
  </si>
  <si>
    <t>(a) Una posizione lunga su calls più una posizione corta sul sottostante.</t>
  </si>
  <si>
    <t>(b) Una posizione corta su calls più una posizione corta sul sottostante.</t>
  </si>
  <si>
    <t>(c) Una posizione lunga su puts più una posizione lunga sul sottostante.</t>
  </si>
  <si>
    <t>(d) Una posizione lunga su puts più una posizione lunga su calls.</t>
  </si>
  <si>
    <t>Le calls hanno un delta positivo, mentre le puts hanno un delta negativo. Le posizioni lunghe su azioni hanno delta positivi, mentre le posizioni corte hanno delta negativi.</t>
  </si>
  <si>
    <t>Il portafoglio sub (b) non può essere delta neutral (avere cioè un delta nullo) perché entrambe le componenti hanno un delta negativo.</t>
  </si>
  <si>
    <t>19.11. Solo una delle seguenti affermazioni sul gamma non è corretta. Quale?</t>
  </si>
  <si>
    <t>(a) Un gamma fortemente positivo o fortemente negativo segnala la necessità di ribilanciare frequentemente il portafoglio per mantenerne la neutralità in termini di delta.</t>
  </si>
  <si>
    <t>(b) Il gamma è una misura della curvatura della relazione che lega il valore del portafoglio al prezzo del sottostante.</t>
  </si>
  <si>
    <t>(c) Un forte valore positivo del gamma segnala che una forte variazione del prezzo del sot-tostante, positiva o negativa, comporterà una perdita.</t>
  </si>
  <si>
    <t>(d) Il gamma delle posizioni lunghe su calls o puts è sempre positivo.</t>
  </si>
  <si>
    <t>Nel caso di una forte variazione del prezzo del sottostante, ci sarà un guadagno se il gamma è positivo e una perdita se il gamma è negativo.</t>
  </si>
  <si>
    <t>19.12. Per quale delle seguenti opzioni il gamma tende ad essere più elevato?</t>
  </si>
  <si>
    <t>(a) Opzioni at the money.</t>
  </si>
  <si>
    <t>(b) Opzioni out of the money.</t>
  </si>
  <si>
    <t>(c) Opzioni in the money.</t>
  </si>
  <si>
    <t>(d) Opzioni con vita residua molto lunga.</t>
  </si>
  <si>
    <t>Il gamma tende ad essere più elevato per le opzioni at the money. Si veda la Figura 19.9.</t>
  </si>
  <si>
    <t>19.13. Considerate una at-the-money call scritta su un titolo che non paga dividendi. Solo una delle seguenti affermazioni è corretta. Quale?</t>
  </si>
  <si>
    <t>(a) Il delta è pari a 0,5.</t>
  </si>
  <si>
    <t>(b) Il delta è minore di 0,5.</t>
  </si>
  <si>
    <t>(c) Il delta è maggiore di 0,5.</t>
  </si>
  <si>
    <t>(d) Il delta può essere minore o maggiore di 0,5.</t>
  </si>
  <si>
    <t>19.14. Il tasso d’interesse privo di rischio è pari al 5% e il dividend yield di un indice azionario è pari al 2%. Qual è il delta di un futures a 1 anno rispetto al prezzo spot dell’indice?</t>
  </si>
  <si>
    <t>(a) 0,98</t>
  </si>
  <si>
    <t>(b) 1,05</t>
  </si>
  <si>
    <t>(c) 1,03</t>
  </si>
  <si>
    <t>(d) 1,02</t>
  </si>
  <si>
    <t>(a) +$2.250</t>
  </si>
  <si>
    <t>(b) −$2.250</t>
  </si>
  <si>
    <t>19.15. Il gamma di un portafoglio delta neutral è pari a 500. Di quanto varia il valore del portafoglio in seguito a un jump di $3 nel prezzo del sottostante?</t>
  </si>
  <si>
    <t>(c) +$750</t>
  </si>
  <si>
    <t>(d) −$750</t>
  </si>
  <si>
    <t>Γ</t>
  </si>
  <si>
    <t>19.16. Per quale delle seguenti opzioni il vega tende ad essere più elevato?</t>
  </si>
  <si>
    <t>(d) Opzioni con vita residua molto breve.</t>
  </si>
  <si>
    <t>Il vega tende ad essere più elevato per le opzioni at the money. Si veda la Figura 19.11.</t>
  </si>
  <si>
    <t>19.17. Il delta di una call scritta su un titolo che non paga dividendi è pari a 0,4. Qual è il delta della corrispondente put?</t>
  </si>
  <si>
    <t>(a) −0,4</t>
  </si>
  <si>
    <t>(b) +0,4</t>
  </si>
  <si>
    <t>(c) −0,6</t>
  </si>
  <si>
    <t>(d) +0,6</t>
  </si>
  <si>
    <t>19.18. Considerate una call, con strike $30 e scadenza 6 mesi, scritta su un titolo che non paga dividendi. Il prezzo corrente dell’azione è di $28 e la sua volatilità è del 25%. Il tasso d’in¬teresse privo di rischio è pari al 4%. Qual è il delta della call?</t>
  </si>
  <si>
    <t>In questo caso, si ha</t>
  </si>
  <si>
    <t>19.19. Quale delle seguenti non è una lettera dell’alfabeto greco?</t>
  </si>
  <si>
    <t>(a) delta</t>
  </si>
  <si>
    <t>(b) rho</t>
  </si>
  <si>
    <t>(c) vega</t>
  </si>
  <si>
    <t>Il vega non è una lettera dell’alfabeto greco, anche se viene considerata una “greca” dagli option traders.</t>
  </si>
  <si>
    <t>19.20. Considerate una posizione lunga su un’opzione. Solo una delle seguenti affermazioni è corretta. Quale?</t>
  </si>
  <si>
    <t>(a) Il gamma e il vega sono negativi.</t>
  </si>
  <si>
    <t>(b) Il gamma è negativo, mentre il vega è positivo.</t>
  </si>
  <si>
    <t>(c) Il gamma è positivo, mentre il vega è negativo.</t>
  </si>
  <si>
    <t>(d) Il gamma e il vega sono positivi.</t>
  </si>
  <si>
    <t>Il gamma e il vega di una posizione lunga su un’opzione sono entrambi positivi. Non importa se l’opzione è di tipo call o put.</t>
  </si>
  <si>
    <t>20.1. Solo una delle seguenti affermazioni sui grafici che illustrano i volatility smiles è corretta. Quale?</t>
  </si>
  <si>
    <t>(a) Sull’asse orizzontale c’è la volatilità implicita e sull’asse verticale il prezzo d’esercizio.</t>
  </si>
  <si>
    <t>(b) Sull’asse orizzontale c’è la volatilità storica e sull’asse verticale il prezzo d’esercizio.</t>
  </si>
  <si>
    <t>(c) Sull’asse orizzontale c’è il prezzo d’esercizio e sull’asse verticale la volatilità implicita.</t>
  </si>
  <si>
    <t>(d) Sull’asse orizzontale c’è il prezzo d’esercizio e sull’asse verticale la volatilità storica.</t>
  </si>
  <si>
    <t>I volatility smiles mostrano la volatilità implicita (che è sull’asse verticale) in funzione del prezzo d’esercizio (che è sull’asse orizzontale).</t>
  </si>
  <si>
    <t>20.2. Una sola delle seguenti affermazioni è esatta. Quale?</t>
  </si>
  <si>
    <t>La put-call parity mostra che il volatility smile per le puts europee è uguale al volatility smile per le calls europee. Il volatility smile per le opzioni americane è simile, ma non esattamente uguale, a quello per le opzioni europee.</t>
  </si>
  <si>
    <t xml:space="preserve">20.3. Le code della distribuzione implicita nelle opzioni su valute vengono confrontate con le corrispondenti code delle distribuzioni log-normali, a parità di media e deviazione standard. </t>
  </si>
  <si>
    <t>Solo una delle seguenti affermazioni sulla distribuzione implicita nelle opzioni su valute è corretta. Quale?</t>
  </si>
  <si>
    <t>(a) Entrambe le code sono più sottili.</t>
  </si>
  <si>
    <t>(b) La coda sinistra è più sottile, mentre la coda destra è più spessa.</t>
  </si>
  <si>
    <t>(c) La coda destra è più sottile, mentre la coda sinistra è più spessa.</t>
  </si>
  <si>
    <t>(d) Entrambe le code sono più spesse.</t>
  </si>
  <si>
    <t>Nel caso della distribuzione implicita nelle opzioni su valute, entrambe le code sono più spesse. Il volatility smile è quindi a forma di U.</t>
  </si>
  <si>
    <t>20.4. Le code della distribuzione implicita nelle opzioni su azioni vengono confrontate con le corrispondenti code delle distribuzioni log-normali, a parità di media e deviazione standard.</t>
  </si>
  <si>
    <t>Solo una delle seguenti affermazioni sulla distribuzione implicita nelle opzioni su azioni è corretta. Quale?</t>
  </si>
  <si>
    <t>Nel caso della distribuzione implicita nelle opzioni su azioni, la coda destra è più sottile, mentre la coda sinistra è più spessa.</t>
  </si>
  <si>
    <t>20.5. Considerate i volatility smiles che si osservano nel mercato delle opzioni su valute. Solo una delle seguenti affermazioni sulle cause dello smile è corretta. Quale?</t>
  </si>
  <si>
    <t>(a) Le valute vengono negoziate in diversi paesi, a diverse ore del giorno.</t>
  </si>
  <si>
    <t>(b) Le valute tendono ad avere basse volatilità.</t>
  </si>
  <si>
    <t>(c) Le operazioni delle banche centrali possono creare discontinuità nei tassi di cambio.</t>
  </si>
  <si>
    <t>(d) I tassi d’interesse interno ed estero possono essere diversi tra loro.</t>
  </si>
  <si>
    <t>La possibilità di discontinuità nei tassi di cambio rende più probabili le variazioni estreme ed è quindi coerente con lo smile che si osserva nei mercati delle opzioni su valute.</t>
  </si>
  <si>
    <t>20.6. Considerate il volatility skew che si osserva sui mercati delle opzioni su azioni. Solo una delle seguenti affermazioni è corretta. Quale?</t>
  </si>
  <si>
    <t>(a) È molto più pronunciato ora che nel 1985.</t>
  </si>
  <si>
    <t>(b) Ha un gradiente positivo.</t>
  </si>
  <si>
    <t>(c) È coerente con il modello Black-Scholes-Merton.</t>
  </si>
  <si>
    <t>(d) È simile a quello che si osserva sui mercati delle opzioni su valute.</t>
  </si>
  <si>
    <t>Prima del crash del 1987, il volatility skew era molto meno pronunciato di quello che si osserva ora.</t>
  </si>
  <si>
    <t>20.7. Perché i traders usano i volatility smiles quando devono valutare le opzioni?</t>
  </si>
  <si>
    <t>(a) Per tener conto della non-log-normalità delle distribuzioni.</t>
  </si>
  <si>
    <t>(b) Perché questa prassi è coerente con le recenti evoluzioni del mercato.</t>
  </si>
  <si>
    <t>(c) Per tener conto della possibilità di variazioni estreme nelle condizioni di mercato.</t>
  </si>
  <si>
    <t>(d) Perché le variazioni estreme nelle condizioni di mercato sono più probabili di quelle ipotizzate dal modello Black-Scholes-Merton.</t>
  </si>
  <si>
    <t>I volatility smiles tengono conto del fatto che le ipotesi sottostanti il modello Black-Scholes-Merton sono solo un’approssimazione della realtà. In particolare, il modello Black-Scholes-Merton assume che le distribuzioni dei prezzi dell’attività sottostante siano log-normali.</t>
  </si>
  <si>
    <t>20.8. Cosa rivela la forma del volatility smile circa le puts su azioni?</t>
  </si>
  <si>
    <t>(b) Le opzioni deep in the money hanno una volatilità implicita relativamente alta.</t>
  </si>
  <si>
    <t>(c) Le opzioni deep out of the money hanno una volatilità implicita relativamente alta.</t>
  </si>
  <si>
    <t>Il volatility smile mostra che le opzioni con bassi prezzi d’esercizio hanno volatilità implicite relativamente alte. Le out-of-the-money puts hanno prezzi d’esercizio bassi. Pertanto, la risposta sub (c) è quella corretta.</t>
  </si>
  <si>
    <t>(a) Le opzioni at the money hanno la minore volatilità implicita.</t>
  </si>
  <si>
    <t>20.9. Cosa rivela la forma del volatility smile circa le calls su valute?</t>
  </si>
  <si>
    <t>Il volatility smile delle opzioni su valute è a forma di U. Pertanto, la risposta sub (d) è quella corretta.</t>
  </si>
  <si>
    <t>20.10. Solo una delle seguenti affermazioni non è corretta. Quale?</t>
  </si>
  <si>
    <t>(a) La volatility surface offre più informazioni di un singolo volatility smile.</t>
  </si>
  <si>
    <t>(b) La volatility surface viene utilizzata per determinare la volatilità implicita di un’opzione che non è attivamente negoziata.</t>
  </si>
  <si>
    <t>(c) La volatility surface può essere stimata interpolando le volatilità implicite di un singolo volatility smile.</t>
  </si>
  <si>
    <t>(d) La volatility surface incorpora informazioni sulle opzioni con diversa vita residua.</t>
  </si>
  <si>
    <t>La volatility surface descrive come varia la volatilità implicita al variare sia della vita residua sia del prezzo d’esercizio delle opzioni. Pertanto, la risposta sub (c) non è corretta.</t>
  </si>
  <si>
    <t>20.11. La volatility surface è una tabella che mostra la relazione tra più variabili. Quali?</t>
  </si>
  <si>
    <t>(a) Volatilità implicita, vita residua, prezzo d’esercizio.</t>
  </si>
  <si>
    <t>(b) Volatilità implicita, volatilità storica, vita residua.</t>
  </si>
  <si>
    <t>(c) Volatilità storica, prezzo d’esercizio, vita residua.</t>
  </si>
  <si>
    <t>La volatility surface è una tabella che mostra la volatilità implicita in funzione del prezzo d’esercizio e della vita residua delle opzioni scritte su una certa attività.</t>
  </si>
  <si>
    <t>20.12. Solo una delle seguenti circostanze determina un volatility smile a forma di frown. Quale?</t>
  </si>
  <si>
    <t>(a) C’è una piccola probabilità di un forte ribasso del prezzo di un’azione nell’arco di una settimana.</t>
  </si>
  <si>
    <t>(b) C’è una piccola probabilità di un forte rialzo del prezzo di un’azione nell’arco di una set-timana.</t>
  </si>
  <si>
    <t>(c) L’esito di una causa giudiziaria (positivo o negativo con uguali probabilità) comporterà un forte rialzo o un forte ribasso del prezzo di un’azione tra una settimana.</t>
  </si>
  <si>
    <t>(d) Nessuna delle precedenti riposte è corretta.</t>
  </si>
  <si>
    <t>Come viene mostrato alla fine del capitolo, è la situazione sub (c) che comporta un volatility smile a forma di «inarcamento di sopracciglia» (frown).</t>
  </si>
  <si>
    <t>20.13. Quale delle seguenti potrebbe essere una conseguenza delle crash-fobia?</t>
  </si>
  <si>
    <t>(a) Volatilità elevate per le in-the-money calls.</t>
  </si>
  <si>
    <t>(b) Volatilità elevate per le in-the-money puts.</t>
  </si>
  <si>
    <t>(c) Volatilità elevate per le at-the-money calls.</t>
  </si>
  <si>
    <t>(d) Volatilità basse per le at-the-money puts.</t>
  </si>
  <si>
    <t xml:space="preserve">Crash-fobia è il termine che descrive la “fobia” dei traders per il possibile crollo dei mercati. La conseguenza è che il valore delle out-of-the-money puts (con prezzi d’esercizio bassi) è elevato e quindi le volatilità implicite sono elevate. </t>
  </si>
  <si>
    <t>Le in-the-money calls hanno le stesse volatilità implicite delle corrispondenti out-of-the-money puts. Pertanto, anche le in-the-money calls hanno volatilità implicite elevate. La risposta corretta è quindi quella sub (a).</t>
  </si>
  <si>
    <t>20.14. Considerate le opzioni call e put di tipo europeo. Solo una delle seguenti affermazioni è corretta. Quale?</t>
  </si>
  <si>
    <t>(a) Se hanno lo stesso prezzo d’esercizio, hanno anche la stessa volatilità implicita.</t>
  </si>
  <si>
    <t>(b) Se hanno la stessa scadenza, hanno anche la stessa volatilità implicita.</t>
  </si>
  <si>
    <t>(c) Se hanno lo stesso prezzo d’esercizio e la stessa scadenza, hanno anche la stessa volatilità implicita.</t>
  </si>
  <si>
    <t>Se le opzioni europee di tipo call e put hanno lo stesso prezzo d’esercizio e la stessa scadenza, devono avere anche la stessa volatilità implicita. È una conseguenza della put-call parity. Altrimenti, ci sarebbero opportunità di arbitraggio.</t>
  </si>
  <si>
    <t>20.15. Considerate i tassi di variazione logaritmici dei tassi di cambio giornalieri. Quale delle seguenti affermazioni è corretta?</t>
  </si>
  <si>
    <t>(a) A parità di media e varianza, i tassi di variazione pari a 4 deviazioni standard si verificano meno spesso dei corrispondenti tassi di variazione delle variabili casuali normali.</t>
  </si>
  <si>
    <t>(b) I tassi di variazione pari a 4 deviazioni standard si verificano più spesso dei tassi di variazione pari a 3 deviazioni standard.</t>
  </si>
  <si>
    <t>(c) I tassi di variazione pari a 6 deviazioni standard si verificano una volta ogni 100 anni.</t>
  </si>
  <si>
    <t xml:space="preserve">Le risposte sub (a), (b) e (c) non sono corrette. </t>
  </si>
  <si>
    <t>I tassi di variazione estremi dei tassi di cambio si verificano più spesso dei corrispondenti tassi di variazione delle corrispondenti variabili casuali normali.</t>
  </si>
  <si>
    <t xml:space="preserve">Per definizione, i tassi di variazione pari a 4 deviazioni standard si verificano meno spesso dei tassi di variazione pari a 3 deviazioni standard. </t>
  </si>
  <si>
    <t xml:space="preserve">I tassi di variazione pari a 6 deviazioni standard si verificano più di una volta ogni 100 anni. </t>
  </si>
  <si>
    <t>prob</t>
  </si>
  <si>
    <t>Anni</t>
  </si>
  <si>
    <t>La tavola riportata nel testo suggerisce una frequenza pari allo 0,03%, ossia 3/10.000. Dato che i giorni lavorativi in un anno sono 252, un evento a 6 deviazioni standard si verifica 1 volta ogni 13 [= 1/(0,03% × 252) anni.</t>
  </si>
  <si>
    <t>20.16. Confrontate i tassi di variazione logaritmici dei tassi di cambio giornalieri con quelli di una variabile casuale normale che ha uguale media e uguale varianza. Solo una delle seguenti affermazioni è corretta. Quale?</t>
  </si>
  <si>
    <t>(a) Ai tassi di variazione piccoli e grandi, ma non a quelli intermedi, sono associate probabilità più elevate rispetto a quelle della corrispondente distribuzione normale.</t>
  </si>
  <si>
    <t>(b) I tassi di variazione piccoli sono meno probabili e quelli grandi sono più probabili dei tassi di variazione della corrispondente variabile casuale normale.</t>
  </si>
  <si>
    <t>(c) I tassi di variazione grandi sono meno probabili e quelli piccoli sono più probabili dei tassi di variazione della corrispondente variabile casuale normale.</t>
  </si>
  <si>
    <t>(d) Ai tassi di variazione piccoli e grandi, ma non a quelli intermedi, sono associate probabilità meno elevate rispetto a quelle della corrispondente distribuzione normale.</t>
  </si>
  <si>
    <t>I tassi di variazione piccoli e grandi si verificano con frequenza maggiore rispetto a quelli della corrispondente variabile casuale normale.</t>
  </si>
  <si>
    <t>20.17. Cosa succede quando la vita residua delle opzioni su valute aumenta? Solo una delle seguenti affermazioni è corretta. Quale?</t>
  </si>
  <si>
    <t>(a) Il volatility smile tende a diventare più pronunciato.</t>
  </si>
  <si>
    <t>(b) Il volatility smile tende a diventare meno pronunciato.</t>
  </si>
  <si>
    <t>(c) Il volatility smile tende a diventare dapprima meno pronunciato e poi più pronunciato.</t>
  </si>
  <si>
    <t>(d) Il volatility smile resta più o meno invariato.</t>
  </si>
  <si>
    <t>Quando la vita residua delle opzioni su valute aumenta, il volatility smile tende a diventare meno pronunciato. Questo non vuol dire che il suo impatto sui prezzi delle opzioni sia meno pronunciato.</t>
  </si>
  <si>
    <t>20.18. Se la volatilità implicita in una at-the-money put option scritta su una valuta venisse utilizzata per valutare le altre put options, con uguale scadenza, scritte sulla stessa valuta, solo una delle seguenti affermazioni sarebbe corretta. Quale?</t>
  </si>
  <si>
    <t>(a) I prezzi delle opzioni out of the money e in the money sarebbero troppo elevati.</t>
  </si>
  <si>
    <t>(b) I prezzi delle opzioni out of the money e in the money sarebbero troppo bassi.</t>
  </si>
  <si>
    <t>(c)  I prezzi delle opzioni out of the money sarebbero troppo elevati e quelli delle opzioni in the money sarebbero troppo bassi.</t>
  </si>
  <si>
    <t>(d)  I prezzi delle opzioni out of the money sarebbero troppo bassi e quelli delle opzioni in the money sarebbero troppo elevati.</t>
  </si>
  <si>
    <t xml:space="preserve">Il volatility smile delle opzioni su valute è a forma di U. Pertanto, le volatilità implicite nelle opzioni at-the-money sono più basse di quelle implicite nelle opzioni out of the money e in the money. </t>
  </si>
  <si>
    <t>Di conseguenza, se si usa la volatilità implicita nelle opzioni at the money per valutare le opzioni out of the money e in the money, il livello di σ è troppo basso e così pure il valore delle opzioni.</t>
  </si>
  <si>
    <t>20.19. Se la volatilità implicita in una at-the-money put option scritta su un’azione venisse utilizzata per valutare le altre put options, con uguale scadenza, scritte sulla stessa azione, solo una delle seguenti affermazioni sarebbe corretta. Quale?</t>
  </si>
  <si>
    <t xml:space="preserve">Il volatility smile delle opzioni su azioni mostra che le volatilità implicite nelle opzioni at-the-money sono più basse di quelle implicite nelle opzioni out of the money e più elevate di quelle in the money. </t>
  </si>
  <si>
    <t xml:space="preserve">Di conseguenza, se si usa la volatilità implicita nelle opzioni at the money per valutare le opzioni out of the money e in the money, le out of the money puts verrebbero sottovalutate e le in the money puts verrebbero sopravvalutate. </t>
  </si>
  <si>
    <t>Pertanto, la risposta corretta è quella sub (d).</t>
  </si>
  <si>
    <t xml:space="preserve">20.20. Le volatilità implicite nelle opzioni a 6 mesi con strikes $1,1 e $1,2 sono pari al 20% e al 22%, rispettivamente. </t>
  </si>
  <si>
    <t xml:space="preserve">Le volatilità implicite nelle opzioni a 1 anno con strikes $1,1 e $1,2 sono pari al 18,8% e al 20,2%, rispettivamente. </t>
  </si>
  <si>
    <t>Se si usa l’interpolazione lineare, qual è la volatilità implicita nelle opzioni a 10 mesi con strike $1,12?</t>
  </si>
  <si>
    <t>(a) 19,24%</t>
  </si>
  <si>
    <t>(b) 19,52%</t>
  </si>
  <si>
    <t>(c) 20,48%</t>
  </si>
  <si>
    <t>(d) 19,96%</t>
  </si>
  <si>
    <t xml:space="preserve">Per rispondere alla domanda si deve utilizzare l’interpolazione a due dimensioni. L’interpolazione può essere effettuata prima tra gli strikes e poi tra le scadenze, o viceversa. </t>
  </si>
  <si>
    <t>Supponiamo di utilizzare il primo metodo, interpolando innanzitutto tra gli strikes. La volatilità implicita in un’opzione a 6 mesi con strike $1,12 è pari al 20,4%:</t>
  </si>
  <si>
    <t>La volatilità implicita in un’opzione a 1 anno con strike $1,12 è pari al 19,08%:</t>
  </si>
  <si>
    <t>Poi interpoliamo tra le scadenze. La volatilità implicita in un’opzione a 10 mesi con strike $1,12 è pari al 19,52%:</t>
  </si>
  <si>
    <t>Surface</t>
  </si>
  <si>
    <t>21.1. Quanti nodi ci sono alla fine di un albero binomiale a 5 stadi, costruito secondo Cox-Ross-Rubinstein?</t>
  </si>
  <si>
    <t>(b) 5</t>
  </si>
  <si>
    <t>(d) 7</t>
  </si>
  <si>
    <t>Nodi finali</t>
  </si>
  <si>
    <t>21.2. Solo una delle seguenti lettere greche non può essere calcolata in base a un unico albero binomiale. Quale?</t>
  </si>
  <si>
    <t>(b) gamma</t>
  </si>
  <si>
    <t>(c) theta</t>
  </si>
  <si>
    <t>(d) vega</t>
  </si>
  <si>
    <t>Per calcolare il vega occorre aumentare leggermente la volatilità e costruire un nuovo albero. Le altre tre greche possono essere calcolate in base a un unico albero.</t>
  </si>
  <si>
    <t>(a) Dipende dal tasso d’interesse e dalla volatilità.</t>
  </si>
  <si>
    <t>(b) Dipende dalla volatilità, ma non dal tasso d’interesse.</t>
  </si>
  <si>
    <t>(c) Dipende dal tasso d’interesse, ma non dalla volatilità.</t>
  </si>
  <si>
    <t>(d) Non dipende né dal tasso d’interesse né dalla volatilità.</t>
  </si>
  <si>
    <t xml:space="preserve">21.4. Quanti sentieri temporali ci sono in un albero binomiale a 4 stadi, costruito secondo Cox-Ross-Rubinstein? </t>
  </si>
  <si>
    <t>(b) 9</t>
  </si>
  <si>
    <t>21.5. Cosa succede, in un albero binomiale à la Cox-Ross-Rubinstein, quando si passa dal caso di un titolo che non paga dividendi a quello di un titolo che offre un dividend yield noto?</t>
  </si>
  <si>
    <t>21.6. Il prezzo corrente di un’azione è pari a $20 e il valore attuale dei dividendi che verranno pagati durante la vita di un’opzione è pari a $2. Solo uno dei seguenti metodi è il più appropriato per costruire l’albero binomiale. Quale?</t>
  </si>
  <si>
    <t>(a) Costruire l’albero iniziando da un prezzo pari a $20 e poi sottrarre a ogni nodo il valore attuale dei futuri dividendi.</t>
  </si>
  <si>
    <t>(b) Costruire l’albero iniziando da un prezzo pari a $22 e poi sottrarre a ogni nodo il valore attuale dei futuri dividendi.</t>
  </si>
  <si>
    <t>(c) Costruire l’albero iniziando da un prezzo pari a $18 e poi aggiungere a ogni nodo il valore attuale dei futuri dividendi.</t>
  </si>
  <si>
    <t>(d) Costruire l’albero iniziando da un prezzo pari a $18 e poi aggiungere $2 a ogni nodo.</t>
  </si>
  <si>
    <t>Innanzitutto, al nodo iniziale, si sottrae dal prezzo corrente dell’azione il valore attuale dei dividendi. Poi si costruisce l’albero aggiungendo a ogni nodo il valore attuale dei futuri dividendi.</t>
  </si>
  <si>
    <t>21.7. Nel caso degli alberi binomiali à la Cox-Ross-Rubinstein, solo uno dei seguenti metodi è il più appropriato per tener conto della variabilità dei tassi d’interesse. Quale?</t>
  </si>
  <si>
    <t>(d) Rendere variabile la lunghezza degli intervalli temporali.</t>
  </si>
  <si>
    <t>21.8. Nel caso degli alberi binomiali à la Cox-Ross-Rubinstein, solo uno dei seguenti metodi è il più appropriato per tener conto della variabilità della volatilità. Quale?</t>
  </si>
  <si>
    <t>Affinché la volatilità sia funzione del tempo, la lunghezza degli intervalli temporali viene resa inversamente proporzionale alla varianza.</t>
  </si>
  <si>
    <t>21.9. I prezzi di un’opzione americana e della corrispondente opzione europea sono pari, rispettivamente, a $3,12 e $3,04. Il prezzo Black-Scholes-Merton dell’opzione europea è pari a $2,98.</t>
  </si>
  <si>
    <t>(a) $3,06</t>
  </si>
  <si>
    <t>(b) $3,18</t>
  </si>
  <si>
    <t>(c) $2,90</t>
  </si>
  <si>
    <t>(d) $3,08</t>
  </si>
  <si>
    <t>In base alla tecnica della variabile di controllo, il valore dell’opzione americana è pari $3,06.</t>
  </si>
  <si>
    <t>21.10. Nel capitolo viene presentato un metodo di costruzione degli alberi binomiali alternativo a quello di Cox-Ross-Rubinstein (CRR). In questa alternativa, quale delle seguenti affermazioni è corretta?</t>
  </si>
  <si>
    <t>(c) Le probabilità presenti nell’albero sono tutte uguali a 0,5.</t>
  </si>
  <si>
    <t>21.11. Solo una delle seguenti tipologie di opzioni non può essere valutata facilmente con il metodo Monte Carlo. Quale?</t>
  </si>
  <si>
    <t>(a) Le opzioni europee.</t>
  </si>
  <si>
    <t>(b) Le opzioni americane.</t>
  </si>
  <si>
    <t>(c) Le opzioni asiatiche, ossia le opzioni sul prezzo medio.</t>
  </si>
  <si>
    <t>(d) Le opzioni che pagano $100 se il prezzo dell’azione a scadenza è maggiore dello strike.</t>
  </si>
  <si>
    <t xml:space="preserve">Le opzioni americane non possono essere valutate facilmente con il metodo Monte Carlo perché le simulazioni Monte Carlo procedono in avanti, dall’inizio alla fine della vita delle opzioni, </t>
  </si>
  <si>
    <t>e non si sa se l’opzione vada esercitata quando si raggiunge un particolare istante di tempo.</t>
  </si>
  <si>
    <t>21.12. Considerate il metodo implicito delle differenze finite. Quale delle seguenti affermazioni è corretta?</t>
  </si>
  <si>
    <t>(a) Collega il prezzo relativo a un certo nodo con i prezzi relativi a tre nodi successivi.</t>
  </si>
  <si>
    <t>(b) Collega il prezzo relativo a un certo nodo con i prezzi relativi a tre nodi precedenti.</t>
  </si>
  <si>
    <t>(c) Collega il prezzo relativo a un certo nodo con i prezzi relativi a tre nodi contemporanei.</t>
  </si>
  <si>
    <t>21.13. Considerate il metodo delle differenze finite. Quale delle seguenti affermazioni è corretta?</t>
  </si>
  <si>
    <t>(a) Il metodo implicito delle differenze finite equivale a un albero trinomiale.</t>
  </si>
  <si>
    <t>(b) Il metodo esplicito delle differenze finite equivale a un albero trinomiale.</t>
  </si>
  <si>
    <t>(c) Entrambi i metodi equivalgono a un albero trinomiale.</t>
  </si>
  <si>
    <t>(d) Nessuno dei due metodi equivale a un albero trinomiale.</t>
  </si>
  <si>
    <t>Il metodo esplicito delle differenze finite equivale a un albero trinomiale. Il metodo implicito delle differenze finite equivale a un albero multinomiale.</t>
  </si>
  <si>
    <t>21.14. Il valore di un’opzione viene calcolato utilizzando il metodo Monte Carlo con 10.000 simulazioni. La media dei valori ottenuti è pari a $20 e la deviazione standard è pari a $4,5. Qual è l’errore standard della stima.</t>
  </si>
  <si>
    <t>(a) $4,5</t>
  </si>
  <si>
    <t>(b) $0,45</t>
  </si>
  <si>
    <t>(c) $0,045</t>
  </si>
  <si>
    <t>(d) $0,0045</t>
  </si>
  <si>
    <t>ω</t>
  </si>
  <si>
    <t>M</t>
  </si>
  <si>
    <t>21.15. In un albero binomiale, i prezzi dell’azione alla fine del secondo intervallo temporale sono $80, $100 e $125. I corrispondenti valori di un’opzione sono $0, $5 e $20, rispettivamente. Qual è la stima del gamma?</t>
  </si>
  <si>
    <t xml:space="preserve">Le stime dei due delta sono 0,25 [= ($5 − $0)/($100 − $80)] e 0,6 [= ($20 − $5)/($125 − $100)]. I punti centrali dei prezzi di riferimento di queste due stime sono $90 [= ($100 + $80)/2] e $112,5 [= ($125 + $100)/2]. </t>
  </si>
  <si>
    <t>21.16. Quando si utilizzano gli alberi binomiali per valutare le opzioni americane, quale accorgimento bisogna adottare rispetto alla valutazione delle opzioni europee?</t>
  </si>
  <si>
    <t>(c) Gli intervalli temporali non hanno uguale lunghezza.</t>
  </si>
  <si>
    <t>(d) È necessario effettuare due calcoli nei nodi in cui l’opzione è in the money.</t>
  </si>
  <si>
    <t>Quando si utilizzano gli alberi binomiali per valutare le opzioni americane, bisogna calcolare due valori nei nodi in cui l’opzione è in the money:</t>
  </si>
  <si>
    <t>il valore dell’opzione «morta» (dead), pari al «valore dell’opzione in caso d’esercizio» (exercise value), e il valore dell’opzione «viva» (alive), ottenuto attualizzando il valore atteso ai due nodi successivi.</t>
  </si>
  <si>
    <t xml:space="preserve">21.17. Considerate un’opzione europea scritta su un titolo che paga un dividendo noto. </t>
  </si>
  <si>
    <t xml:space="preserve">Una prima stima del valore dell’opzione viene ottenuta sostituendo nella formula Black-Scholes-Merton il prezzo dell’azione con la differenza tra il prezzo dell’azione e il valore attuale del dividendo. </t>
  </si>
  <si>
    <t>Una seconda stima viene ottenuta con l’albero binomiale illustrato nel testo, utilizzando un numero molto elevato di intervalli temporali. Solo una delle seguenti affermazioni è corretta. Quale?</t>
  </si>
  <si>
    <t>(a) Il primo prezzo è più elevato del secondo.</t>
  </si>
  <si>
    <t>(b) Il primo prezzo è più basso del secondo.</t>
  </si>
  <si>
    <t>(c) Il primo prezzo è a volte più elevato e a volte più basso del secondo.</t>
  </si>
  <si>
    <t>(d) I due prezzi sono uguali, in prima approssimazione.</t>
  </si>
  <si>
    <t>I due prezzi sono uguali, in prima approssimazione, perché i dividendi vengono trattati nello stesso modo.</t>
  </si>
  <si>
    <t>21.18. Considerate le modifiche apportate al metodo degli alberi binomiali di Cox-Ross-Rubinstein. Solo una delle seguenti affermazioni è corretta. Quale?</t>
  </si>
  <si>
    <t>(a) Il tasso d’interesse e la volatilità possono essere entrambi funzioni del tempo.</t>
  </si>
  <si>
    <t>(b) Il tasso d’interesse o la volatilità possono essere funzioni del tempo, ma non entrambi.</t>
  </si>
  <si>
    <t>(c) Il tasso d’interesse può essere funzione del tempo, ma la volatilità no.</t>
  </si>
  <si>
    <t>(d) Il tasso d’interesse e la volatilità devono essere costanti.</t>
  </si>
  <si>
    <t>Sia il tasso d’interesse sia la volatilità possono essere entrambi funzioni del tempo, com’è descritto nel testo.</t>
  </si>
  <si>
    <t>21.19. Considerate il metodo utilizzato da Cox, Ross e Rubinstein per scegliere i parametri di un albero binomiale. Quale delle seguenti affermazioni è corretta?</t>
  </si>
  <si>
    <t>(a) Il tasso di rendimento atteso in ogni intervallo temporale è pari al tasso d’interesse privo di rischio.</t>
  </si>
  <si>
    <t>(b) Se la lunghezza degli intervalli temporali è piccola, la deviazione standard dei tassi di rendimento in ogni intervallo è uguale, in prima approssimazione, al prodotto tra la vola-tilità su base annua e la radice quadrata della lunghezza di ogni intervallo (misurata in anni).</t>
  </si>
  <si>
    <t>(c) L’albero si ricombina.</t>
  </si>
  <si>
    <t>Le affermazioni sub (a), (b) e (c) sono tutte corrette.</t>
  </si>
  <si>
    <t>21.20. Quale delle seguenti opzioni può essere valutata senza far ricorso a una procedura numerica?</t>
  </si>
  <si>
    <t>(a) Una put americana scritta su un titolo che non paga dividendi.</t>
  </si>
  <si>
    <t>(b) Una call americana scritta su un titolo che non paga dividendi.</t>
  </si>
  <si>
    <t>(c) Una call americana scritta su una valuta.</t>
  </si>
  <si>
    <t>(d) Una put americana scritta su un futures.</t>
  </si>
  <si>
    <t>La risposta corretta è quella sub (b) perché la call americana scritta su un titolo che non paga dividendi vale quanto la corrispondente opzione europea e può quindi essere valutata con la formula Black-Scholes-Merton.</t>
  </si>
  <si>
    <t>22.1. Considerate il VaR al 99,9%. Quale delle seguenti affermazioni è corretta?</t>
  </si>
  <si>
    <t xml:space="preserve">(a) C’è 1 probabilità su 10 che la perdita sia maggiore del VaR. </t>
  </si>
  <si>
    <t>(b) C’è 1 probabilità su 100 che la perdita sia maggiore del VaR.</t>
  </si>
  <si>
    <t>(c) C’è 1 probabilità su 1.000 che la perdita sia maggiore del VaR.</t>
  </si>
  <si>
    <t>Se il VaR è al 99,9%, c’è una probabilità pari allo 0,1% (= 100% − 99,9%) che la perdita ecceda il VaR. Lo 0,1% è pari 1 su 1.000.</t>
  </si>
  <si>
    <t>22.2. I profitti di un progetto d’investimento si distribuiscono in modo uniforme tra –$0,15 milioni e +$0,85 milioni. Qual è il VaR al 99%?</t>
  </si>
  <si>
    <t>(a) $0,145 milioni</t>
  </si>
  <si>
    <t>(b) $0,14 milioni</t>
  </si>
  <si>
    <t>(c) $0,13 milioni</t>
  </si>
  <si>
    <t>(d) $0,10 milioni</t>
  </si>
  <si>
    <t xml:space="preserve">Dato che i profitti si distribuiscono in modo uniforme tra –$0,15 milioni e +$0,85 milioni, la probabilità che siano compresi tra –$0,15 milioni e –$0,14 milioni è pari all’1% {= [–$0,14 − (−$0,15)]/[$0,85 − (−$0,15)]}. </t>
  </si>
  <si>
    <t>Pertanto, c’è una probabilità del 99% che la perdita non sarà maggiore di $0,14 milioni. Questo è il VaR al 99%.</t>
  </si>
  <si>
    <t>VaR</t>
  </si>
  <si>
    <t>22.3. I profitti di un progetto d’investimento si distribuiscono in modo uniforme tra –$0,15 milioni e +$0,85 milioni. Qual è l'Expected shortfall al 99%?</t>
  </si>
  <si>
    <t>Shortfall</t>
  </si>
  <si>
    <t>22.4. Considerate il metodo delle simulazioni storiche per il calcolo del VaR. Solo una delle seguenti affermazioni è corretta. Quale?</t>
  </si>
  <si>
    <t>(a) Il metodo delle simulazioni storiche consente di stimare una distribuzione normale sulla base dei dati storici di alcune variabili.</t>
  </si>
  <si>
    <t>(b) Il metodo delle simulazioni storiche consente di stimare una distribuzione log-normale sulla base dei dati storici di alcune variabili.</t>
  </si>
  <si>
    <t>(c) Il metodo delle simulazioni storiche assume che il futuro sia un campione casuale estratto dal quel che è successo in passato.</t>
  </si>
  <si>
    <t>(d) Il metodo delle simulazioni storiche utilizza le simulazioni Monte Carlo per generare futuri scenari probabilistici.</t>
  </si>
  <si>
    <t>Il metodo delle simulazioni storiche assume che i tassi di variazione delle variabili di mercato che verranno osservati domani rappresentino un campione casuale estratto dalla distribuzione dei tassi di variazione osservati storicamente in un certo numero di giorni.</t>
  </si>
  <si>
    <t>22.5. Spesso si assume che il VaR a 10 giorni sia equivalente a:</t>
  </si>
  <si>
    <t>(a) il VaR a 1 giorno moltiplicato per 10;</t>
  </si>
  <si>
    <t>(b) il VaR a 1 giorno moltiplicato per √10;</t>
  </si>
  <si>
    <t>(c) il VaR a 1 giorno diviso per 10;</t>
  </si>
  <si>
    <t>(d) il VaR a 1 giorno diviso per √10.</t>
  </si>
  <si>
    <t>Le regole adottate dal Comitato di Basilea consentono di calcolare il VaR a √10 giorni come prodotto tra il VaR giornaliero e 10. Questa equivalenza è esatta se le perdite relative a giorni consecutivi sono indipendenti tra loro e si distribuiscono secondo una normale con media nulla.</t>
  </si>
  <si>
    <t>22.6. Qual era il capitale minimo a fronte dei rischi di mercato richiesto dall’Emendamento del 1996?</t>
  </si>
  <si>
    <t>(a) Almeno 3 volte il VaR decadale al 99%.</t>
  </si>
  <si>
    <t>(b) Almeno 3 volte il VaR settimanale al 97%.</t>
  </si>
  <si>
    <t>(c) Almeno 2 volte il VaR giornaliero al 95%.</t>
  </si>
  <si>
    <t>(d) Il VaR giornaliero al 99%.</t>
  </si>
  <si>
    <t>(a) $177</t>
  </si>
  <si>
    <t>(b) $135</t>
  </si>
  <si>
    <t>(c) $215</t>
  </si>
  <si>
    <t>(d) $331</t>
  </si>
  <si>
    <t>Pertanto, la deviazione standard della variazione di valore dell’intero portafoglio è pari a $76,16 (= √$25.800). Il VaR giornaliero al 99% è quindi pari a $177 ( = 2,326 × $76,16).</t>
  </si>
  <si>
    <t>22.8. Come viene chiamato il metodo che consiste nel verificare ex post quante volte il VaR è stato superato?</t>
  </si>
  <si>
    <t>(a) Stress testing.</t>
  </si>
  <si>
    <t>(b) Back-testing.</t>
  </si>
  <si>
    <t>(c) EWMA.</t>
  </si>
  <si>
    <t>(d) Model-building approach.</t>
  </si>
  <si>
    <t xml:space="preserve">Il back-testing consiste nel verificare retroattivamente la bontà di una certa metodologia di calcolo del VaR. </t>
  </si>
  <si>
    <t>In particolare, quando si effettua il back-testing di una certa metodologia, si calcola il numero delle eccezioni, ossia il numero delle volte in cui il VaR sarebbe stato superato nell’arco di un certo periodo storico.</t>
  </si>
  <si>
    <t>22.9. Considerate il caso in cui il delta, ma non il gamma, venga utilizzato per calcolare il VaR di una certa posizione su opzioni. Solo una delle seguenti affermazioni è corretta. Quale?</t>
  </si>
  <si>
    <t>(a) Il VaR di una long call è troppo basso e il VaR di una long put è troppo basso.</t>
  </si>
  <si>
    <t>(b) Il VaR di una long call è troppo basso e il VaR di una long put è troppo alto.</t>
  </si>
  <si>
    <t>(c) Il VaR di una long call è troppo alto e il VaR di una long put è troppo basso.</t>
  </si>
  <si>
    <t>(d) Il VaR di una long call è troppo alto e il VaR di una long put è troppo alto.</t>
  </si>
  <si>
    <t xml:space="preserve">Quando si ignora il gamma, il VaR delle posizioni lunghe su opzioni è troppo alto (e quello delle posizioni corte è troppo basso). Si veda la Figura 22.5 per il caso di una long call (e la Figura 22.6 per il caso di una short call). </t>
  </si>
  <si>
    <t>Una figura analoga può essere costruita per il caso di una long put (e di una short put).</t>
  </si>
  <si>
    <t>22.10. Considerate il modello quadratico per il calcolo del VaR. Quale delle seguenti affermazioni è corretta?</t>
  </si>
  <si>
    <t>(a) Il modello quadratico approssima le variazioni giornaliere utilizzando sia il delta sia il gamma.</t>
  </si>
  <si>
    <t>(b) Il modello quadratico approssima le variazioni giornaliere utilizzando il delta, ma non il gamma.</t>
  </si>
  <si>
    <t>(c) Il modello quadratico approssima le variazioni giornaliere utilizzando il gamma, ma non il delta.</t>
  </si>
  <si>
    <t>Il modello quadratico approssima le variazioni giornaliere utilizzando sia il delta sia il gamma. Si veda la Sezione 22.5.</t>
  </si>
  <si>
    <t>22.11. Considerate il cash-flow mapping. Quale delle seguenti affermazioni è corretta?</t>
  </si>
  <si>
    <t>(a) Il cash-flow mapping è un metodo per calcolare il valore attuale dei cash flows.</t>
  </si>
  <si>
    <t>(b) Il cash-flow mapping è un metodo per tener conto delle esposizioni su tassi d’interesse quando si utilizza il model-building approach.</t>
  </si>
  <si>
    <t>(c) Il cash-flow mapping è un metodo per tener conto delle esposizioni su tassi d’interesse quando si utilizza il metodo delle simulazioni storiche.</t>
  </si>
  <si>
    <t>Il cash-flow mapping è un metodo per tener conto delle esposizioni su tassi d’interesse quando si utilizza il model-building approach.</t>
  </si>
  <si>
    <t>22.12. Quale delle seguenti frasi definisce lo stressed VaR?</t>
  </si>
  <si>
    <t>(a) Lo stressed VaR si basa sulle variazioni delle variabili in condizioni di mercato critiche.</t>
  </si>
  <si>
    <t>(b) Lo stressed VaR è il VaR con un livello di confidenza molto elevato.</t>
  </si>
  <si>
    <t>(c) Lo stressed VaR è il prodotto tra il VaR e un fattore moltiplicativo pari a 3.</t>
  </si>
  <si>
    <t>Lo stressed VaR è stato introdotto da Basilea II.5. Viene calcolato sulla base delle variazioni delle variabili in condizioni di mercato critiche.</t>
  </si>
  <si>
    <t>22.13. Una banca tedesca ha un’esposizione sullo S&amp;P 500. Solo una delle seguenti affermazioni è corretta. Quale?</t>
  </si>
  <si>
    <t>(a) Quando la banca calcola il VaR, l’esposizione sullo S&amp;P 500 va misurata in dollari.</t>
  </si>
  <si>
    <t>(b) Quando la banca calcola il VaR, l’esposizione sullo S&amp;P 500 va misurata in euro.</t>
  </si>
  <si>
    <t>(c) Quando la banca calcola il VaR, l’esposizione sullo S&amp;P 500 va misurata in dollari o in euro.</t>
  </si>
  <si>
    <t>(d) Quando la banca calcola il VaR, l’esposizione sullo S&amp;P 500 va misurata in euro solo se non è stata originata da una sussidiaria statunitense.</t>
  </si>
  <si>
    <t>Tutte le attività estere vanno misurate in valuta nazionale.</t>
  </si>
  <si>
    <t>22.14. Considerate la matrice varianze-covarianze. Solo una delle seguenti affermazioni è corretta. Quale?</t>
  </si>
  <si>
    <t>(a) I numeri riportati sulla diagonale principale rappresentano le varianze.</t>
  </si>
  <si>
    <t>(b) I numeri riportati sulla diagonale principale rappresentano le deviazioni standard.</t>
  </si>
  <si>
    <t>(c)  I numeri riportati sulla diagonale principale sono tutti pari a 1.</t>
  </si>
  <si>
    <t>(d)  I numeri riportati sulla diagonale principale sono tutti pari a 0.</t>
  </si>
  <si>
    <t>I numeri riportati sulla diagonale principale rappresentano le varianze. Tutti gli altri numeri rappresentano le covarianze.</t>
  </si>
  <si>
    <t>22.17. Nell’analisi delle componenti principali, quale dei seguenti termini viene utilizzato per definire la quantità di un certo fattore presente in una certa osservazione?</t>
  </si>
  <si>
    <t>(a) Factor loading.</t>
  </si>
  <si>
    <t>(b) Factor score.</t>
  </si>
  <si>
    <t>(c) Factor size.</t>
  </si>
  <si>
    <t>(d) Factor rating.</t>
  </si>
  <si>
    <t>La quantità di un certo fattore presente in una certa osservazione è detta factor score.</t>
  </si>
  <si>
    <t>22.18. Considerate l’analisi delle componenti principali applicata alle variazioni dei tassi d’interesse. Qual è il fattore più importante?</t>
  </si>
  <si>
    <t>(a) Lo spostamento parallelo della zero curve.</t>
  </si>
  <si>
    <t>(b) La variazione di pendenza della zero curve.</t>
  </si>
  <si>
    <t>(c) Il rigonfiamento della zero curve.</t>
  </si>
  <si>
    <t>(d) L’incremento dei tassi a breve termine.</t>
  </si>
  <si>
    <t>Il fattore più importante è quello corrispondente allo spostamento parallelo della zero curve. Questo fattore spiega più del 90% della varianza delle variazioni dei tassi d’interesse. Si veda la Sezione 22.9.</t>
  </si>
  <si>
    <t>22.19. Considerate l’analisi delle componenti principali applicata alle variazioni dei tassi d’interesse. Qual è il secondo fattore più importante?</t>
  </si>
  <si>
    <t>Il secondo fattore più importante è quello corrispondente alla variazione di pendenza della zero curve. Questo fattore spiega circa il 7% della varianza delle variazioni dei tassi d’interesse. Si veda la Sezione 22.9.</t>
  </si>
  <si>
    <t>22.20. Confrontate l’expected shortfall con il VaR. Solo una delle seguenti affermazioni è corretta. Quale?</t>
  </si>
  <si>
    <t>(a) L’expected shortfall è sempre minore del VaR.</t>
  </si>
  <si>
    <t>(b) L’expected shortfall è sempre maggiore del VaR.</t>
  </si>
  <si>
    <t>(c) L’expected shortfall può essere minore o maggiore del VaR.</t>
  </si>
  <si>
    <t>(d) L’expected shortfall misura il rischio di liquidità, mentre il VaR misura il rischio di mercato.</t>
  </si>
  <si>
    <t>L’expected shortfall e il VaR possono entrambi misurare il rischio di mercato. L’expected shortfall è la perdita attesa, condizionata dal fatto che la perdita sia maggiore del VaR. Pertanto, per definizione, l’expected shortfall è sempre maggiore del VaR.</t>
  </si>
  <si>
    <t>23.1. Quanti parametri sono necessari per definire il modello EWMA?</t>
  </si>
  <si>
    <t>Per definire il modello EWMA è necessario un solo parametro.</t>
  </si>
  <si>
    <t>23.2. Quanti parametri sono necessari per definire il modello GARCH(1, 1)?</t>
  </si>
  <si>
    <t>(a) 2,08%</t>
  </si>
  <si>
    <t>(b) 2,10%</t>
  </si>
  <si>
    <t>(c) 2,12%</t>
  </si>
  <si>
    <t>(d) 2,14%</t>
  </si>
  <si>
    <t>(a) 0,98%</t>
  </si>
  <si>
    <t>(b) 0,95%</t>
  </si>
  <si>
    <t>(c) 0,92%</t>
  </si>
  <si>
    <t>(d) 0,90%</t>
  </si>
  <si>
    <t>(a) 0,000090</t>
  </si>
  <si>
    <t>(b) 0,000081</t>
  </si>
  <si>
    <t>(c) 0,000100</t>
  </si>
  <si>
    <t>(d) 0,000095</t>
  </si>
  <si>
    <t>La covarianza è pari al coefficiente di correlazione moltiplicato per il prodotto tra le due deviazioni standard.</t>
  </si>
  <si>
    <t>23.7. Qual è il significato dell’acronimo EWMA?</t>
  </si>
  <si>
    <t>(a) Equally weighted moving average.</t>
  </si>
  <si>
    <t>(b) Equally weighted median approximation.</t>
  </si>
  <si>
    <t>(c) Exponentially weighted moving average.</t>
  </si>
  <si>
    <t>(d) Exponentially weighted median average.</t>
  </si>
  <si>
    <t>EWMA sta per Exponentially Weighted Moving Average.</t>
  </si>
  <si>
    <t>23.8. Considerate il modello EWMA con λ = 0,95. Solo una delle seguenti affermazioni è corretta. Quale?</t>
  </si>
  <si>
    <t>(a) Il peso assegnato alla più recente osservazione è pari a 0,95.</t>
  </si>
  <si>
    <t>(b) Il peso assegnato all’ultima osservazione è pari al 95% del peso assegnato alla penultima osservazione.</t>
  </si>
  <si>
    <t>(c) La somma dei pesi assegnati alle osservazioni è pari a 0,95.</t>
  </si>
  <si>
    <t>(d) Il peso assegnato alla penultima osservazione è pari al 95% del peso assegnato all’ultima osservazione.</t>
  </si>
  <si>
    <t>Via via che si va indietro nel tempo, il peso assegnato alle osservazioni si riduce ogni giorno in misura pari al 5%.</t>
  </si>
  <si>
    <t>23.9. Considerate il metodo della massima verosimiglianza. Solo una delle seguenti affermazioni è corretta. Quale?</t>
  </si>
  <si>
    <t>(a) Il metodo della massima verosimiglianza calcola i valori massimi che possono essere as-sunti dai parametri.</t>
  </si>
  <si>
    <t>(b) Il metodo della massima verosimiglianza calcola i parametri che massimizzano la pro-babilità di osservazione di un certo campione.</t>
  </si>
  <si>
    <t>(c) Il metodo della massima verosimiglianza calcola i valori delle variabili chiave che è più probabile osservare in futuro.</t>
  </si>
  <si>
    <t>(d) Il metodo della massima verosimiglianza richiede che venga effettuata una regressione multivariata.</t>
  </si>
  <si>
    <t>23.10. La volatilità di un certo portafoglio è pari al 20% annuo. Qual è la sua volatilità trimestrale?</t>
  </si>
  <si>
    <t>(a) 20%</t>
  </si>
  <si>
    <t>(b) 10%</t>
  </si>
  <si>
    <t>(c) 5%</t>
  </si>
  <si>
    <t>(d) 2%</t>
  </si>
  <si>
    <t>La volatilità trimestrale è pari al 10%.</t>
  </si>
  <si>
    <t>23.11. Considerate i modelli EWMA e GARCH. Solo una delle seguenti affermazioni è corretta. Quale?</t>
  </si>
  <si>
    <t>(a) Il GARCH incorpora la mean reversion, l’EWMA no.</t>
  </si>
  <si>
    <t>(b) L’EWMA incorpora la mean reversion, il GARCH no.</t>
  </si>
  <si>
    <t>(c) Sia l’EWMA sia il GARCH incorporano la mean reversion.</t>
  </si>
  <si>
    <t>(d) Né l’EWMA né il GARCH incorporano la mean reversion.</t>
  </si>
  <si>
    <t>Il GARCH incorpora la mean reversion, l’EWMA no.</t>
  </si>
  <si>
    <t>23.12. Considerate le volatilità implicite. Solo una delle seguenti affermazioni è corretta. Quale?</t>
  </si>
  <si>
    <t>(a) Le volatilità implicite nelle opzioni di qualsiasi scadenza tendono a muoversi in ugual misura da un giorno all’altro.</t>
  </si>
  <si>
    <t>(b) Le volatilità implicite nelle opzioni di più lunga scadenza tendono a muoversi di più rispetto a quelle implicite nelle opzioni di più breve scadenza.</t>
  </si>
  <si>
    <t>(c) Le volatilità implicite nelle opzioni di più breve scadenza tendono a muoversi di più rispetto a quelle implicite nelle opzioni di più lunga scadenza.</t>
  </si>
  <si>
    <t>(d) A volte vale l’affermazione sub (b), a volte quella sub (c).</t>
  </si>
  <si>
    <t xml:space="preserve">Quando si verifica uno shock che causa un aumento o una diminuzione della volatilità, la mean reversion fa sì che i suoi effetti tendano a scomparire col passare del tempo. </t>
  </si>
  <si>
    <t>Pertanto, le volatilità implicite nelle opzioni di più breve scadenza tendono a muoversi di più rispetto a quelle implicite nelle opzioni di più lunga scadenza.</t>
  </si>
  <si>
    <t>23.13. Considerate una matrice varianze-covarianze semidefinita positiva. Solo una delle seguenti affermazioni è corretta. Quale?</t>
  </si>
  <si>
    <t>(a) Tutti gli elementi della matrice sono positivi.</t>
  </si>
  <si>
    <t>(b) Il determinante della matrice è positivo.</t>
  </si>
  <si>
    <t>(d) La matrice è internamente coerente.</t>
  </si>
  <si>
    <t>Se la matrice non è semidefinita positiva, le covarianze non sono coerenti tra loro.</t>
  </si>
  <si>
    <t>(a) 1,26%</t>
  </si>
  <si>
    <t>(b) 1,16%</t>
  </si>
  <si>
    <t>(c) 1,06%</t>
  </si>
  <si>
    <t>(d) 1,03%</t>
  </si>
  <si>
    <t>(a) 1,1%</t>
  </si>
  <si>
    <t>(b) 1,2%</t>
  </si>
  <si>
    <t>(c) 1,3%</t>
  </si>
  <si>
    <t>(d) 1,4%</t>
  </si>
  <si>
    <t>Il tasso di varianza medio di lungo periodo è pari a 0,0002 [= 0,000002/(1 − 0,04 − 0,95)]. Pertanto, la volatilità media di lungo periodo è pari all’1,4%.</t>
  </si>
  <si>
    <t>(a) 1,09%</t>
  </si>
  <si>
    <t>(b) 1,10%</t>
  </si>
  <si>
    <t>(c) 1,11%</t>
  </si>
  <si>
    <t>(d) 1,12%</t>
  </si>
  <si>
    <t>23.18. Considerate i modelli EWMA e GARCH(1,1). Solo una delle seguenti affermazioni è corretta. Quale?</t>
  </si>
  <si>
    <t>(a) La massima verosimiglianza calcolata con il GARCH(1,1) è almeno pari a quella calcolata con l’EWMA.</t>
  </si>
  <si>
    <t>(b) La massima verosimiglianza calcolata con l’EWMA è almeno pari a quella calcolata con il GARCH(1,1).</t>
  </si>
  <si>
    <t>(c) La massima verosimiglianza calcolata con il GARCH(1,1) è uguale a quella calcolata con l’EWMA.</t>
  </si>
  <si>
    <t>(d) A volte è corretta l’affermazione sub (a) e a volte quella sub (b).</t>
  </si>
  <si>
    <t>(a) 0,5%</t>
  </si>
  <si>
    <t>(b) 1,0%</t>
  </si>
  <si>
    <t>(c) 1,5%</t>
  </si>
  <si>
    <t>(d) 2,0%</t>
  </si>
  <si>
    <t>23.20. Considerate i modelli EWMA e GARCH(1,1). Solo una delle seguenti affermazioni è corretta. Quale?</t>
  </si>
  <si>
    <t>(a) L’EWMA è un caso particolare del GARCH(1,1) con il reversion rate pari a 0.</t>
  </si>
  <si>
    <t>(b) Il reversion rate dell’EWMA è minore di quello del GARCH(1,1), ma non è nullo.</t>
  </si>
  <si>
    <t>(c) Il reversion rate dell’EWMA è maggiore di quello del GARCH(1,1).</t>
  </si>
  <si>
    <t>(d) Il reversion rate dell’EWMA è a volte maggiore di quello del GARCH(1,1) ed è a volte minore.</t>
  </si>
  <si>
    <t>24.1. Supponiamo che le probabilità d’insolvenza di una certa società a 1, 2, 3 e 4 anni siano pari, rispettivamente, al 3,0%, 6,5%, 10,0% e 14,5%.</t>
  </si>
  <si>
    <t>Qual è la probabilità d’insolvenza relativa al 4° anno condizionata dalla non insolvenza negli anni precedenti?</t>
  </si>
  <si>
    <t>(a) 4,5%</t>
  </si>
  <si>
    <t>(b) 5,0%</t>
  </si>
  <si>
    <t>(c) 5,5%</t>
  </si>
  <si>
    <t>(d) 6,0%</t>
  </si>
  <si>
    <t>La probabilità d’insolvenza, non condizionata, relativa al 4° anno è pari al 4,5%.</t>
  </si>
  <si>
    <t>24.10. Qual è il rating che una società deve avere per essere considerata di «elevata qualità creditizia» (investment grade)?</t>
  </si>
  <si>
    <t>24.2. In genere, come viene definito il recovery rate di un’obbligazione?</t>
  </si>
  <si>
    <t xml:space="preserve">In genere, il «tasso di recupero» (recovery rate) di un’obbligazione è pari a un rapporto che vede al numeratore il valore del titolo immediatamente dopo l’insolvenza e al denominatore il valore nominale del titolo stesso. </t>
  </si>
  <si>
    <t>Questa definizione contrasta con il fatto che, in molte giurisdizioni, il credito vantato dal possessore del titolo sia pari al valore nominale più il rateo d’interessi maturato.</t>
  </si>
  <si>
    <t>24.3. Considerate le probabilità neutrali verso il rischio. Solo una delle seguenti affermazioni è corretta. Quale?</t>
  </si>
  <si>
    <t>Di solito, le probabilità neutrali verso il rischio sono molto più alte delle probabilità effettive.</t>
  </si>
  <si>
    <t>24.4. L’hazard rate è costantemente pari all’1% annuo. Qual è la probabilità, non condizionata, di fallire entro la fine del secondo anno?</t>
  </si>
  <si>
    <t>(a) 2,00%</t>
  </si>
  <si>
    <t>(b) 2,02%</t>
  </si>
  <si>
    <t>(c) 1,98%</t>
  </si>
  <si>
    <t>(d) 1,96%</t>
  </si>
  <si>
    <t>λ</t>
  </si>
  <si>
    <t>(a) Le probabilità d’insolvenza relative ai singoli anni crescono sempre col crescere della scadenza.</t>
  </si>
  <si>
    <t>(b) Le probabilità d’insolvenza relative ai singoli anni diminuiscono sempre col crescere della scadenza.</t>
  </si>
  <si>
    <t>(c) A volte è corretta l’affermazione sub (a), a volte quella sub (b).</t>
  </si>
  <si>
    <t>(d) Le probabilità d’insolvenza relative ai singoli anni restano più o meno stabili col crescere della scadenza.</t>
  </si>
  <si>
    <t>Nel caso delle società investment grade, le probabilità d’insolvenza crescono col crescere della scadenza. Nel caso delle società speculative grade spesso è vero il contrario.</t>
  </si>
  <si>
    <t>24.5. Considerate le probabilità d’insolvenza non condizionate. Solo una delle seguenti affermazioni è corretta. Quale?</t>
  </si>
  <si>
    <t>24.6. Considerate le probabilità d’insolvenza condizionate. Solo una delle seguenti affermazioni è corretta. Quale?</t>
  </si>
  <si>
    <t>(a) Le probabilità d’insolvenza condizionate sono almeno pari alle corrispondenti probabilità d’insolvenza non condizionate.</t>
  </si>
  <si>
    <t>(b) Le probabilità d’insolvenza condizionate non sono mai più elevate delle corrispondenti probabilità d’insolvenza non condizionate.</t>
  </si>
  <si>
    <t>(c) Le probabilità d’insolvenza condizionate sono a volte maggiori e a volte minori delle corrispondenti probabilità d’insolvenza non condizionate.</t>
  </si>
  <si>
    <t>(d) Non ci sono differenze tra le probabilità d’insolvenza condizionate e quelle non condi-zionate perché le società possono fallire solo una volta.</t>
  </si>
  <si>
    <t xml:space="preserve">La probabilità d’insolvenza condizionata, relativa a un certo anno, è pari alla corrispondente probabilità d’insolvenza non condizionata divisa per la probabilità che non ci sia stata insolvenza negli anni precedenti. Quest’ultima è minore o uguale a 1. </t>
  </si>
  <si>
    <t>Di conseguenza, le probabilità d’insolvenza condizionate sono almeno pari alle corrispondenti probabilità d’insolvenza non condizionate.</t>
  </si>
  <si>
    <t>24.7. Il credit spread a 5 anni di una certa società è pari a 200 punti base. Il recovery rate è pari al 20%. Qual è l’hazard rate medio annuo relativo ai prossimi 5 anni?</t>
  </si>
  <si>
    <t>(a) 0,4%</t>
  </si>
  <si>
    <t>(c) 1,8%</t>
  </si>
  <si>
    <t>(d) 2,5%</t>
  </si>
  <si>
    <t>spread</t>
  </si>
  <si>
    <t>RR</t>
  </si>
  <si>
    <t>24.8. Considerate i recovery rates. Solo una delle seguenti affermazioni è corretta. Quale?</t>
  </si>
  <si>
    <t>(a) I recovery rates delle società investment grade sono più bassi di quelli delle altre società.</t>
  </si>
  <si>
    <t>(b) I recovery rates delle società non-investment grade sono più alti di quelli delle altre società.</t>
  </si>
  <si>
    <t>(c) I recovery rates sono correlati negativamente con i tassi d’insolvenza.</t>
  </si>
  <si>
    <t>(d) I recovery rates sono correlati positivamente con i tassi d’insolvenza.</t>
  </si>
  <si>
    <t>Quando i tassi d’insolvenza sono elevati, i recovery rates tendono a essere bassi.</t>
  </si>
  <si>
    <t>24.11. Nel modello della copula Gaussiana, solo una delle seguenti affermazioni sul time to default è corretta. Quale?</t>
  </si>
  <si>
    <t>Il «tempo mancante all’insolvenza» (time to default) viene trasformato − percentile per percentile − in una variabile casuale normale.</t>
  </si>
  <si>
    <t>24.12. Considerate il netting. Solo una delle seguenti affermazioni è corretta. Quale?</t>
  </si>
  <si>
    <t xml:space="preserve">Il netting comporta che, in caso d’insolvenza, un portafoglio di derivati in essere con una certa controparte venga considerato alla stregua di un’unica transazione. </t>
  </si>
  <si>
    <t>Questa clausola non può far aumentare l’esposizione. L’esposizione si riduce se il portafoglio è composto da posizioni che hanno un valore sia positivo sia negativo.</t>
  </si>
  <si>
    <t>24.13. Considerate i downgrade triggers. Solo una delle seguenti affermazioni è corretta. Quale?</t>
  </si>
  <si>
    <t>(a) I downgrade triggers sono particolarmente utili se vengono utilizzati in modo estensivo dalle controparti della società.</t>
  </si>
  <si>
    <t>(b) I downgrade triggers sono meno utili se vengono utilizzati in modo estensivo dalle con-troparti della società.</t>
  </si>
  <si>
    <t>(c) I downgrade triggers sono inutili perché il loro impatto viene sempre anticipato dal mercato.</t>
  </si>
  <si>
    <t xml:space="preserve">I downgrade triggers sono meno utili se vengono utilizzati in modo estensivo dalle controparti della società, com’è successo per Enron e AIG. </t>
  </si>
  <si>
    <t>24.14. Considerate il modello di Merton. Solo una delle seguenti affermazioni è corretta. Quale?</t>
  </si>
  <si>
    <t>(a) L’equity è una call scritta sulle attività aziendali.</t>
  </si>
  <si>
    <t>(b) Gli assets sono una call sul debito.</t>
  </si>
  <si>
    <t>(c) Il debito è una call sull’equity.</t>
  </si>
  <si>
    <t>(d) L’equity è una call sul debito.</t>
  </si>
  <si>
    <t>Nel modello di Merton, l’equity è una call scritta sul valore di mercato delle attività aziendali.</t>
  </si>
  <si>
    <t>24.15. Considerate il modello di Merton, in cui l’equity è una call scritta sul valore di mercato delle attività aziendali. Solo una delle seguenti affermazioni è corretta. Quale?</t>
  </si>
  <si>
    <t>(a) Il prezzo d’esercizio della call è pari al valore di mercato del debito.</t>
  </si>
  <si>
    <t>(b) Il prezzo d’esercizio della call è pari al valore di mercato dell’equity.</t>
  </si>
  <si>
    <t>(c) Il prezzo d’esercizio della call è pari al valore di libro dell’equity.</t>
  </si>
  <si>
    <t>(d) Il prezzo d’esercizio della call è pari al valore nominale del debito.</t>
  </si>
  <si>
    <t>Nel modello di Merton, il prezzo d’esercizio della call è pari al valore nominale del debito.</t>
  </si>
  <si>
    <t>24.16. Considerate il modello della copula Gaussiana. Quale delle seguenti affermazioni è corretta?</t>
  </si>
  <si>
    <t>(a) Il modello della copula Gaussiana assume che le insolvenze delle società siano indipendenti tra loro.</t>
  </si>
  <si>
    <t>(b) Il modello della copula Gaussiana assume che le insolvenze delle società, condizionate dal valore di un certo fattore, siano indipendenti tra loro.</t>
  </si>
  <si>
    <t>Il modello della copula Gaussiana assume che le insolvenze delle società, condizionate dal valore di un certo fattore, siano indipendenti tra loro.</t>
  </si>
  <si>
    <t xml:space="preserve">24.17. Un derivatives dealer ha in essere un’unica transazione con una certa società: una posizione lunga su un’opzione a 5 anni. Il valore Black-Scholes-Merton dell’opzione è pari a $6. </t>
  </si>
  <si>
    <t>Supponete che il credit spread delle obbligazioni a 5 anni emesse dalla società sia pari a 100 punti base. Qual è il CVA che il dealer deve applicare all’opzione acquistata dalla sua controparte?</t>
  </si>
  <si>
    <t>(a) $0,19</t>
  </si>
  <si>
    <t>(b) $1,19</t>
  </si>
  <si>
    <t>(c) $0,29</t>
  </si>
  <si>
    <t>(d) $1,29</t>
  </si>
  <si>
    <t>24.18. Considerate il CVA di un certo derivatives dealer. Quale delle seguenti affermazioni è corretta?</t>
  </si>
  <si>
    <t>(a) Il CVA è pari al DVA della controparte, e viceversa.</t>
  </si>
  <si>
    <t>(b) Le garanzie offerte dalla controparte riducono il CVA.</t>
  </si>
  <si>
    <t>(c) Le garanzie offerte dal derivatives dealer riducono il DVA.</t>
  </si>
  <si>
    <t>24.19. I credit spreads a 5 e a 6 anni di una certa controparte sono pari, rispettivamente, al 2% e al 2,2%. Il recovery rate è pari al 60%. Qual è la probabilità d’insolvenza, non condizionata, relativa al 6° anno?</t>
  </si>
  <si>
    <t>(c) 5,99%</t>
  </si>
  <si>
    <t>(b) 4,99%</t>
  </si>
  <si>
    <t>(d) 6,99%</t>
  </si>
  <si>
    <t>Di conseguenza, la probabilità d’insolvenza, non condizionata, relativa al 6° anno è pari al 5,99% (= 77,88% − 71,89%).</t>
  </si>
  <si>
    <t>24.20. Considerate il calcolo del VaR creditizio secondo CreditMetrics. Solo una delle seguenti affermazioni è corretta. Quale?</t>
  </si>
  <si>
    <t>(a) CreditMetrics tiene conto delle insolvenze, ma non dei downgrades.</t>
  </si>
  <si>
    <t>(b) CreditMetrics tiene conto dei downgrades, ma non delle insolvenze.</t>
  </si>
  <si>
    <t>(c) CreditMetrics non tiene conto né delle insolvenze né dei downgrades.</t>
  </si>
  <si>
    <t>(d) CreditMetrics tiene conto sia delle insolvenze sia dei downgrades.</t>
  </si>
  <si>
    <t>Dato che utilizza le matrici delle transizioni di rating, CreditMetrics tiene conto sia delle insolvenze sia dei downgrades.</t>
  </si>
  <si>
    <t>25.1. Qual è il numero di società su cui si basa l’indice CDX NA IG?</t>
  </si>
  <si>
    <t>25.6. Cosa succede quando aumenta la default correlation delle società sottostanti una CDO? Solo una delle seguenti affermazioni è corretta. Quale? Mettetevi nell’ottica del protection buyer.</t>
  </si>
  <si>
    <t>25.3. Qual è il rating delle società su cui si basa l’indice iTraxx?</t>
  </si>
  <si>
    <t>25.4. Considerate un CDS con capitale nozionale di $100 milioni. Il tasso di recupero in caso d’insolvenza è pari al 30%. Se la reference entity fallisce, qual è il payoff del CDS per il compratore di protezione?</t>
  </si>
  <si>
    <t>25.5. Considerate un forward a 1 anno scritto su un CDS a 5 anni. Cosa succede se la reference entity del CDS fallisce nel corso del 1° anno?</t>
  </si>
  <si>
    <t>25.11. Qual è il range di perdite che viene assorbito dall’equity tranche dell’iTraxx Europe?</t>
  </si>
  <si>
    <t>25.17. Considerate un third-to-default swap scritto su un paniere di 10 società. Solo una delle seguenti affermazioni è corretta. Quale?</t>
  </si>
  <si>
    <t>L’indice CDX NA IG si basa su 125 società investment grade.</t>
  </si>
  <si>
    <t>25.2. Qual è il numero di società su cui si basa l’indice iTraxx?</t>
  </si>
  <si>
    <t>L’indice iTraxx si basa su 125 società investment grade.</t>
  </si>
  <si>
    <t>Le società sottostanti l’indice iTraxx sono investment grade. Questo vuol dire che il loro rating è BBB o migliore.</t>
  </si>
  <si>
    <t>Il payoff del CDS è pari al prodotto tra il capitale nozionale e il complemento a 1 del tasso di recupero ossia, in questo caso, a $70 [= $100 × (1 − 0,30)] milioni.</t>
  </si>
  <si>
    <t>I forward CDSs cessano di esistere se la reference entity del CDS fallisce prima della scadenza del contratto.</t>
  </si>
  <si>
    <t>Questa risposta la si comprende meglio se si considera il caso in cui la probabilità d’insolvenza di ogni società è pari al 2%. Cosa succede se la correlazione tra le insolvenze è nulla? Cosa succede se la correlazione è pari a 1?</t>
  </si>
  <si>
    <t>25.7. Considerate le CDOs sintetiche. Quale delle seguenti affermazioni è corretta?</t>
  </si>
  <si>
    <t>(a) Vengono create sulla base di portafogli composti da obbligazioni.</t>
  </si>
  <si>
    <t>(b) Vengono create sulla base di portafogli composti da credit default swaps.</t>
  </si>
  <si>
    <t>(c) Fanno riferimento a un portafoglio standard di obbligazioni.</t>
  </si>
  <si>
    <t>Le CDOs sintetiche vengono create sulla base di posizioni corte su credit default swaps.</t>
  </si>
  <si>
    <t>(a) Binary CDSs.</t>
  </si>
  <si>
    <t>(b) Add-up basket CDSs.</t>
  </si>
  <si>
    <t>(c) First-to-default CDSs.</t>
  </si>
  <si>
    <t>I CDSs che offrono un payoff quando una qualsiasi delle reference entities fallisce vengono chiamati add-up basket CDSs. Equivalgono a portafogli di CDSs ordinari.</t>
  </si>
  <si>
    <t>25.9. Quale delle seguenti è la più comune scadenza dei credit default swaps?</t>
  </si>
  <si>
    <t>(a) 1 anno.</t>
  </si>
  <si>
    <t>(b) 3 anni.</t>
  </si>
  <si>
    <t>(c) 5 anni.</t>
  </si>
  <si>
    <t>(d) 10 anni.</t>
  </si>
  <si>
    <t>La più comune scadenza dei credit default swaps è 5 anni.</t>
  </si>
  <si>
    <t>25.10. Il CDS spread di un CDS ordinario a 5 anni è pari a 120 punti base. Qual è il CDS spread del corrispondente binary CDS? Assumete che il recovery rate sia pari al 40%.</t>
  </si>
  <si>
    <t>(a) 48 punti base.</t>
  </si>
  <si>
    <t>(b) 72 punti base.</t>
  </si>
  <si>
    <t>(c) 200 punti base.</t>
  </si>
  <si>
    <t>(d) 300 punti base.</t>
  </si>
  <si>
    <t>s</t>
  </si>
  <si>
    <t>p.b.</t>
  </si>
  <si>
    <t>(a) Da 0% al 10%.</t>
  </si>
  <si>
    <t>(b) Da 0% al 7%.</t>
  </si>
  <si>
    <t>(c) Da 0% al 6%.</t>
  </si>
  <si>
    <t>(d) Da 0% al 3%.</t>
  </si>
  <si>
    <t>L’equity tranche copre il range di perdite compreso nella fascia dallo 0% al 3% del capitale complessivo.</t>
  </si>
  <si>
    <t>25.12. Considerate i credit default swaps. Solo una delle seguenti affermazioni è corretta. Quale?</t>
  </si>
  <si>
    <t>(a) Le ristrutturazioni non rappresentano mai un credit event.</t>
  </si>
  <si>
    <t>(b) Le ristrutturazioni rappresentano sempre un credit event.</t>
  </si>
  <si>
    <t>(c) Certi tipi di ristrutturazione rappresentano un credit event, mentre altri no.</t>
  </si>
  <si>
    <t>(d) In certi CDSs le ristrutturazioni rappresentano un credit event, ma in altri no.</t>
  </si>
  <si>
    <t>In certi CDSs le ristrutturazioni rappresentano un credit event, ma in altri no.</t>
  </si>
  <si>
    <t>La CDS-bond basis è pari alla differenza tra il CDS spread e il bond yield spread.</t>
  </si>
  <si>
    <t>25.14. Nel fallimento di Lehman, il payoff a favore di chi aveva comprato protezione con i CDSs è stato pari al 91,375% del capitale nozionale. Com’è stata calcolata questa percentuale?</t>
  </si>
  <si>
    <t>(a) È stata calcolata determinando il titolo cheapest to deliver.</t>
  </si>
  <si>
    <t>(b) È stata calcolata in base a un’asta.</t>
  </si>
  <si>
    <t>(c) È stata calcolata da un calculation agent.</t>
  </si>
  <si>
    <t>(d) È stata calcolata dai liquidatori di Lehman.</t>
  </si>
  <si>
    <t>Per determinare il payoff di un CDS in caso d’insolvenza, si usa ora un meccanismo d’asta.</t>
  </si>
  <si>
    <t>25.15. Considerate i total return swaps. Solo una delle seguenti affermazioni è corretta. Quale?</t>
  </si>
  <si>
    <t>(a) Il trader paga immediatamente il valore attuale di 5 punti base all’anno e poi 55 punti base all’anno.</t>
  </si>
  <si>
    <t>(b) Il trader paga immediatamente il valore attuale di 5 punti base all’anno e poi 60 punti base all’anno.</t>
  </si>
  <si>
    <t>(c) Il trader riceve immediatamente il valore attuale di 5 punti base all’anno e poi paga 55 punti base all’anno.</t>
  </si>
  <si>
    <t>(d) Il trader riceve immediatamente il valore attuale di 5 punti base all’anno e poi paga 60 punti base all’anno.</t>
  </si>
  <si>
    <t>La convenzione è che il trader paghi 60 punti base all’anno. Dato che lo spread è di soli 55 punti base, il trader riceve all’origine il valore attuale di 5 (= 60 − 55) punti base all’anno. Questo vuol dire che la tranche viene negoziata come se fosse un’obbligazione.</t>
  </si>
  <si>
    <t>C’è un payoff solo quando si verifica la terza insolvenza.</t>
  </si>
  <si>
    <t>In prima approssimazione, quale dovrebbe essere il CDS spread a 5 anni?</t>
  </si>
  <si>
    <t>In prima approssimazione, il CDS spread a 5 anni dovrebbe essere pari alla differenza tra il bond yield e lo swap rate, ossia a 50 p.b. (= 5% − 4,5%).</t>
  </si>
  <si>
    <t>25.19. Considerate la quadratura Gaussiana. Solo una delle seguenti affermazioni è corretta. Quale?</t>
  </si>
  <si>
    <t>(a) La quadratura Gaussiana è una procedura numerica che consente di approssimare una distribuzione normale con una tecnica di «spianamento quadratico» (quadratic spline).</t>
  </si>
  <si>
    <t>(b) La quadratura Gaussiana è un metodo per approssimare, con una somma di termini, l’integrale di una funzione di una variabile casuale normale.</t>
  </si>
  <si>
    <t>(c) La quadratura Gaussiana è una procedura per accelerare i calcoli delle simulazioni Monte Carlo utilizzate per valutare i derivati creditizi.</t>
  </si>
  <si>
    <t>(d) La quadratura Gaussiana è un’alternativa alla tavola sinottica per determinare i valori di una funzione di distribuzione normale.</t>
  </si>
  <si>
    <t>La quadratura Gaussiana è un metodo per approssimare, con una somma di termini, l’integrale di una funzione di una variabile casuale normale. Viene utilizzata per valutare le CDOs con il modello della copula Gaussiana.</t>
  </si>
  <si>
    <t>25.20. Considerate la base correlation. Solo una delle seguenti affermazioni è corretta. Quale?</t>
  </si>
  <si>
    <t>(a) La base correlation è la forma più elementare tra le possibili misure della correlazione.</t>
  </si>
  <si>
    <t>(b) La base correlation è la correlazione che viene utilizzata per valutare tutte le tranches di una CDO.</t>
  </si>
  <si>
    <t>(c) La base correlation è la correlazione implicita nelle quotazioni di mercato delle tranches di una CDO.</t>
  </si>
  <si>
    <t>(d) La base correlation è la correlazione utilizzata per valutare la tranche di una CDO con attachment point pari allo 0%.</t>
  </si>
  <si>
    <t>La base correlation è la correlazione utilizzata per valutare la tranche di una CDO con at-tachment point pari allo 0%.</t>
  </si>
  <si>
    <t>Le opzioni asiatiche sono opzioni il cui payoff dipende dal valore medio di una variabile, osservata in un certo intervallo di tempo.</t>
  </si>
  <si>
    <t>Se aumenta la frequenza con cui il prezzo dell’azione viene osservato, è più probabile che la barriera venga attraversata. Pertanto, il valore di un’opzione knock out diminuisce.</t>
  </si>
  <si>
    <t>(a) 2.</t>
  </si>
  <si>
    <t>(b) 4.</t>
  </si>
  <si>
    <t>(c) 6.</t>
  </si>
  <si>
    <t>(d) 8.</t>
  </si>
  <si>
    <t>Il numero delle opzioni composte è pari a 4: call su call, call su put, put su call, put su put.</t>
  </si>
  <si>
    <t>Il numero delle opzioni con barriera è pari a 8: up and in call, up and in put, down and in call, down and in put, up and out call, up and out put, down and out call, down and out put.</t>
  </si>
  <si>
    <t>26.5. Il prezzo d’esercizio di una shout call è pari a $30. Il possessore dell’opzione “grida” quando il prezzo dell’azione è pari a $40. Qual è il payoff dell’opzione se il prezzo dell’azione alla scadenza è pari a $35?</t>
  </si>
  <si>
    <t xml:space="preserve">Il possessore della shout call ottiene il maggiore tra il valore intrinseco dell’opzione nel momento in cui egli “grida” [pari a $10 = ($40 − $30), nel nostro caso] e il consueto valore finale alla scadenza [pari a $5 (= $35 − $30), nel nostro caso]. </t>
  </si>
  <si>
    <t>Nel nostro caso, il payoff dell’opzione è pari a $10.</t>
  </si>
  <si>
    <t>26.7. Qual è il payoff di una fixed lookback put?</t>
  </si>
  <si>
    <t>26.8. A cosa equivale una call europea lunga?</t>
  </si>
  <si>
    <t>(a) Una cash-or-nothing put corta più una asset-or-nothing put lunga.</t>
  </si>
  <si>
    <t>(b) Una asset-or-nothing put lunga più una cash-or-nothing put lunga.</t>
  </si>
  <si>
    <t>(c) Una asset-or-nothing call lunga più una cash-or-nothing call lunga.</t>
  </si>
  <si>
    <t>(d) Una asset-or-nothing call lunga più una cash-or-nothing call corta.</t>
  </si>
  <si>
    <t>26.9. A cosa equivale una put europea corta?</t>
  </si>
  <si>
    <t>26.10. Considerate le cliquet options. Solo una delle seguenti affermazioni è corretta. Quale?</t>
  </si>
  <si>
    <t>(a) La cliquet option è un’opzione per scambiare un’azione con un’altra.</t>
  </si>
  <si>
    <t>(b) La cliquet option è un’opzione che consente di scegliere tra varie opzioni alternative.</t>
  </si>
  <si>
    <t>(c) La cliquet option è un’opzione scritta su un’altra opzione.</t>
  </si>
  <si>
    <t>(d) La cliquet option è un portafoglio di opzioni i cui strikes sono determinati in base a regole predefinite.</t>
  </si>
  <si>
    <t xml:space="preserve">La cliquet option è un portafoglio di opzioni i cui strikes sono determinati in base a regole predefinite. </t>
  </si>
  <si>
    <t>Ad esempio, le opzioni possono essere tutte a 1 anno, la loro vita inizia con la fine dell’opzione precedente e lo strike è pari al prezzo dell’azione che viene osservato nel momento in cui l’opzione inizia a esistere.</t>
  </si>
  <si>
    <t>26.11. Un datore di lavoro ha promesso ai suoi dipendenti che tra 1 anno verranno loro assegnate stock options a 3 anni con strike pari al prezzo dell’azione che verrà osservato al momento dell’assegnazione. Come vengono chiamate queste opzioni?</t>
  </si>
  <si>
    <t>(a) Opzioni chooser.</t>
  </si>
  <si>
    <t>(b) Opzioni forward start.</t>
  </si>
  <si>
    <t>(c) Opzioni composte.</t>
  </si>
  <si>
    <t>(d) Opzioni shout.</t>
  </si>
  <si>
    <t>Queste opzioni sono dette forward start perché iniziano a “vivere” in un futuro istante di tempo.</t>
  </si>
  <si>
    <t>26.12. Considerate le opzioni Bermuda. Quando possono essere esercitate?</t>
  </si>
  <si>
    <t>(a) In qualsiasi momento della loro vita.</t>
  </si>
  <si>
    <t>(b) In un qualsiasi momento della loro vita che sia successivo a una certa data.</t>
  </si>
  <si>
    <t>(c) In un qualsiasi momento della loro vita che preceda una certa data o alla scadenza.</t>
  </si>
  <si>
    <t>(d) In certe date prefissate.</t>
  </si>
  <si>
    <t>Le opzioni Bermuda possono essere esercitate solo in certe date prefissate, non in qualsiasi momento della loro vita (le Bermuda si trovano l’Europa e l’America!).</t>
  </si>
  <si>
    <t>26.13. Considerate le average-strike calls. Qual è il loro payoff?</t>
  </si>
  <si>
    <t>(a) La differenza, se positiva, tra lo strike e il prezzo medio dell’azione, o zero altrimenti.</t>
  </si>
  <si>
    <t>(b) La differenza, se positiva, tra il prezzo finale e il prezzo medio dell’azione, o zero altri-menti.</t>
  </si>
  <si>
    <t>(b) La differenza, se positiva, tra il prezzo finale e il prezzo medio dell’azione, o zero altrimenti.</t>
  </si>
  <si>
    <t>(c) La differenza, se positiva, tra il prezzo medio dell’azione e lo strike, o zero altrimenti.</t>
  </si>
  <si>
    <t>(d) La differenza, se positiva, tra il prezzo medio e il prezzo finale dell’azione, o zero altri-menti.</t>
  </si>
  <si>
    <t>(d) La differenza, se positiva, tra il prezzo medio e il prezzo finale dell’azione, o zero altrimenti.</t>
  </si>
  <si>
    <t>Il payoff delle average-strike calls è pari alla differenza, se positiva, tra il prezzo finale e il prezzo medio dell’azione, o zero altrimenti.</t>
  </si>
  <si>
    <t>26.14. Considerate le average-strike puts. Qual è il loro payoff?</t>
  </si>
  <si>
    <t>Il payoff delle average-strike puts è pari alla differenza, se positiva, tra il prezzo medio e il prezzo finale dell’azione, o zero altrimenti.</t>
  </si>
  <si>
    <t xml:space="preserve">26.15. Un’opzione binaria paga $100 se, tra 3 mesi, il prezzo di un titolo che non paga dividendi sarà maggiore del suo livello corrente. </t>
  </si>
  <si>
    <t>Il prezzo corrente del titolo è pari a $100, la volatilità è pari al 40% e il tasso d’interesse privo di rischio è pari al 3%. Qual è il valore corrente dell’opzione?</t>
  </si>
  <si>
    <t>L’opzione binaria è una cash-or-nothing call. Il suo valore corrente è pari a:                        dove</t>
  </si>
  <si>
    <t>26.16. Considerate i volatility swaps. Solo una delle seguenti affermazioni è corretta. Quale?</t>
  </si>
  <si>
    <t>(a) I volatility swaps sono contratti in cui si scambia la variazione di valore di una variabile di mercato con un importo prefissato.</t>
  </si>
  <si>
    <t>(b) I volatility swaps sono contratti scritti su un’attività la cui volatilità è maggiore di un certo livello.</t>
  </si>
  <si>
    <t>(c)  I volatility swaps sono contratti in cui si scambia una volatilità prefissata con la volatilità implicita di un’opzione che verrà osservata in una certa data futura.</t>
  </si>
  <si>
    <t>(d)  I volatility swaps sono contratti in cui si scambia una volatilità prefissata con la volatilità di una certa attività che verrà osservata in un periodo di tempo futuro.</t>
  </si>
  <si>
    <t>I volatility swaps sono contratti in cui si scambia una volatilità prefissata con la volatilità di una certa attività che verrà osservata in un periodo di tempo futuro. Entrambe le volatilità vengono moltiplicata per il valore nozionale del contratto.</t>
  </si>
  <si>
    <t>26.17. Considerate le gap options. Quale delle seguenti affermazioni è corretta?</t>
  </si>
  <si>
    <t>(a) Il prezzo che determina l’esercizio dell’opzione non è uguale al prezzo che determina l’ammontare del payoff.</t>
  </si>
  <si>
    <t>(b) Le gap options vengono valutate con una formula simile a quella Black-Scholes-Merton.</t>
  </si>
  <si>
    <t>(c) L’esercizio delle gap options comporta il pagamento di un certo importo.</t>
  </si>
  <si>
    <t>26.18. Considerate i variance swaps. Quale delle seguenti affermazioni è corretta?</t>
  </si>
  <si>
    <t>(a) Il valore dei variance swaps è pari al quadrato del valore dei corrispondenti volatility swaps.</t>
  </si>
  <si>
    <t>(b) I pagamenti relativi ai variance swaps sono pari al quadrato dei pagamenti relativi ai corrispondenti volatility swaps.</t>
  </si>
  <si>
    <t>(c) I variance swaps possono essere valutati in termini di opzioni europee di tipo call e put.</t>
  </si>
  <si>
    <t xml:space="preserve">I variance swaps possono essere valutati in termini di opzioni europee di tipo call e put. </t>
  </si>
  <si>
    <t>26.19. Considerate un portafoglio di opzioni americane scritte su un certo titolo. La replica statica delle opzioni consiste nel:</t>
  </si>
  <si>
    <t>(a) trovare un portafoglio che compensi le variazioni di valore delle opzioni americane;</t>
  </si>
  <si>
    <t>(b) trovare un portafoglio che compensi le variazioni di valore delle opzioni americane in un contorno che si è certi di raggiungere;</t>
  </si>
  <si>
    <t>(c) trovare un portafoglio che compensi le variazioni di valore delle opzioni americane ad una certa data;</t>
  </si>
  <si>
    <t>(d) costruire una copertura che tenga conto del delta e del gamma delle opzioni.</t>
  </si>
  <si>
    <t>Una volta che il boundary viene raggiunto, la copertura va chiusa e ne va creata una nuova.</t>
  </si>
  <si>
    <t>26.20. Considerate le opzioni esotiche. Solo una delle seguenti affermazioni è corretta. Quale?</t>
  </si>
  <si>
    <t>(a) La copertura delle opzioni esotiche non è più difficile di quella delle opzioni ordinarie.</t>
  </si>
  <si>
    <t>(b) La copertura delle opzioni esotiche è più semplice di quella delle opzioni ordinarie.</t>
  </si>
  <si>
    <t>(c) La copertura delle opzioni esotiche è più difficile di quella delle opzioni ordinarie.</t>
  </si>
  <si>
    <t>(d) La copertura delle opzioni esotiche è a volte più difficile e a volte più facile di quella delle opzioni ordinarie.</t>
  </si>
  <si>
    <t>Di solito, la copertura delle opzioni average price è più facile di quella delle opzioni ordinarie perché, col passare del tempo, la media diventa sempre meno incerta. La copertura delle opzioni con barriera è più difficile a causa delle discontinuità.</t>
  </si>
  <si>
    <t>1.10</t>
  </si>
  <si>
    <t>1.11</t>
  </si>
  <si>
    <t>1.12</t>
  </si>
  <si>
    <t>1.13</t>
  </si>
  <si>
    <t>1.14</t>
  </si>
  <si>
    <t>1.15</t>
  </si>
  <si>
    <t>1.16</t>
  </si>
  <si>
    <t>1.17</t>
  </si>
  <si>
    <t>1.18</t>
  </si>
  <si>
    <t>1.19</t>
  </si>
  <si>
    <t>1.20</t>
  </si>
  <si>
    <t>2.10</t>
  </si>
  <si>
    <t>2.11</t>
  </si>
  <si>
    <t>2.12</t>
  </si>
  <si>
    <t>2.13</t>
  </si>
  <si>
    <t>2.14</t>
  </si>
  <si>
    <t>2.15</t>
  </si>
  <si>
    <t>2.16</t>
  </si>
  <si>
    <t>2.17</t>
  </si>
  <si>
    <t>2.18</t>
  </si>
  <si>
    <t>2.19</t>
  </si>
  <si>
    <t>2.20</t>
  </si>
  <si>
    <t>1.1</t>
  </si>
  <si>
    <t>1.2</t>
  </si>
  <si>
    <t>1.3</t>
  </si>
  <si>
    <t>1.4</t>
  </si>
  <si>
    <t>1.5</t>
  </si>
  <si>
    <t>1.6</t>
  </si>
  <si>
    <t>1.7</t>
  </si>
  <si>
    <t>1.8</t>
  </si>
  <si>
    <t>1.9</t>
  </si>
  <si>
    <t>2.1</t>
  </si>
  <si>
    <t>2.2</t>
  </si>
  <si>
    <t>2.3</t>
  </si>
  <si>
    <t>2.4</t>
  </si>
  <si>
    <t>2.5</t>
  </si>
  <si>
    <t>2.6</t>
  </si>
  <si>
    <t>2.7</t>
  </si>
  <si>
    <t>2.8</t>
  </si>
  <si>
    <t>2.9</t>
  </si>
  <si>
    <t>3.1</t>
  </si>
  <si>
    <t>3.2</t>
  </si>
  <si>
    <t>3.3</t>
  </si>
  <si>
    <t>3.4</t>
  </si>
  <si>
    <t>3.5</t>
  </si>
  <si>
    <t>3.6</t>
  </si>
  <si>
    <t>3.7</t>
  </si>
  <si>
    <t>3.8</t>
  </si>
  <si>
    <t>3.9</t>
  </si>
  <si>
    <t>3.10</t>
  </si>
  <si>
    <t>3.11</t>
  </si>
  <si>
    <t>3.12</t>
  </si>
  <si>
    <t>3.13</t>
  </si>
  <si>
    <t>3.14</t>
  </si>
  <si>
    <t>3.15</t>
  </si>
  <si>
    <t>3.16</t>
  </si>
  <si>
    <t>3.17</t>
  </si>
  <si>
    <t>3.18</t>
  </si>
  <si>
    <t>3.19</t>
  </si>
  <si>
    <t>3.20</t>
  </si>
  <si>
    <t>4.1</t>
  </si>
  <si>
    <t>4.2</t>
  </si>
  <si>
    <t>4.3</t>
  </si>
  <si>
    <t>4.4</t>
  </si>
  <si>
    <t>4.5</t>
  </si>
  <si>
    <t>4.6</t>
  </si>
  <si>
    <t>4.7</t>
  </si>
  <si>
    <t>4.8</t>
  </si>
  <si>
    <t>4.9</t>
  </si>
  <si>
    <t>4.10</t>
  </si>
  <si>
    <t>4.11</t>
  </si>
  <si>
    <t>4.12</t>
  </si>
  <si>
    <t>4.13</t>
  </si>
  <si>
    <t>4.14</t>
  </si>
  <si>
    <t>4.15</t>
  </si>
  <si>
    <t>4.16</t>
  </si>
  <si>
    <t>4.17</t>
  </si>
  <si>
    <t>4.18</t>
  </si>
  <si>
    <t>4.19</t>
  </si>
  <si>
    <t>4.20</t>
  </si>
  <si>
    <t>5.1</t>
  </si>
  <si>
    <t>5.2</t>
  </si>
  <si>
    <t>5.3</t>
  </si>
  <si>
    <t>5.4</t>
  </si>
  <si>
    <t>5.5</t>
  </si>
  <si>
    <t>5.6</t>
  </si>
  <si>
    <t>5.7</t>
  </si>
  <si>
    <t>5.8</t>
  </si>
  <si>
    <t>5.9</t>
  </si>
  <si>
    <t>5.10</t>
  </si>
  <si>
    <t>5.11</t>
  </si>
  <si>
    <t>5.12</t>
  </si>
  <si>
    <t>5.13</t>
  </si>
  <si>
    <t>5.14</t>
  </si>
  <si>
    <t>5.15</t>
  </si>
  <si>
    <t>5.16</t>
  </si>
  <si>
    <t>5.17</t>
  </si>
  <si>
    <t>5.18</t>
  </si>
  <si>
    <t>5.19</t>
  </si>
  <si>
    <t>5.20</t>
  </si>
  <si>
    <t>6.1</t>
  </si>
  <si>
    <t>6.2</t>
  </si>
  <si>
    <t>6.3</t>
  </si>
  <si>
    <t>6.4</t>
  </si>
  <si>
    <t>6.5</t>
  </si>
  <si>
    <t>6.6</t>
  </si>
  <si>
    <t>6.7</t>
  </si>
  <si>
    <t>6.8</t>
  </si>
  <si>
    <t>6.9</t>
  </si>
  <si>
    <t>6.10</t>
  </si>
  <si>
    <t>6.11</t>
  </si>
  <si>
    <t>6.12</t>
  </si>
  <si>
    <t>6.13</t>
  </si>
  <si>
    <t>6.14</t>
  </si>
  <si>
    <t>6.15</t>
  </si>
  <si>
    <t>6.16</t>
  </si>
  <si>
    <t>6.17</t>
  </si>
  <si>
    <t>6.18</t>
  </si>
  <si>
    <t>6.19</t>
  </si>
  <si>
    <t>6.20</t>
  </si>
  <si>
    <t>7.1</t>
  </si>
  <si>
    <t>7.2</t>
  </si>
  <si>
    <t>7.3</t>
  </si>
  <si>
    <t>7.4</t>
  </si>
  <si>
    <t>7.5</t>
  </si>
  <si>
    <t>7.6</t>
  </si>
  <si>
    <t>7.7</t>
  </si>
  <si>
    <t>7.8</t>
  </si>
  <si>
    <t>7.9</t>
  </si>
  <si>
    <t>7.10</t>
  </si>
  <si>
    <t>7.11</t>
  </si>
  <si>
    <t>7.12</t>
  </si>
  <si>
    <t>7.13</t>
  </si>
  <si>
    <t>7.14</t>
  </si>
  <si>
    <t>7.15</t>
  </si>
  <si>
    <t>7.16</t>
  </si>
  <si>
    <t>7.17</t>
  </si>
  <si>
    <t>7.18</t>
  </si>
  <si>
    <t>7.19</t>
  </si>
  <si>
    <t>7.20</t>
  </si>
  <si>
    <t>8.1</t>
  </si>
  <si>
    <t>8.2</t>
  </si>
  <si>
    <t>8.3</t>
  </si>
  <si>
    <t>8.4</t>
  </si>
  <si>
    <t>8.5</t>
  </si>
  <si>
    <t>8.6</t>
  </si>
  <si>
    <t>8.7</t>
  </si>
  <si>
    <t>8.8</t>
  </si>
  <si>
    <t>8.9</t>
  </si>
  <si>
    <t>8.10</t>
  </si>
  <si>
    <t>8.11</t>
  </si>
  <si>
    <t>8.12</t>
  </si>
  <si>
    <t>8.13</t>
  </si>
  <si>
    <t>8.14</t>
  </si>
  <si>
    <t>8.15</t>
  </si>
  <si>
    <t>8.16</t>
  </si>
  <si>
    <t>8.17</t>
  </si>
  <si>
    <t>8.18</t>
  </si>
  <si>
    <t>8.19</t>
  </si>
  <si>
    <t>8.20</t>
  </si>
  <si>
    <t>9.1</t>
  </si>
  <si>
    <t>9.2</t>
  </si>
  <si>
    <t>9.3</t>
  </si>
  <si>
    <t>9.4</t>
  </si>
  <si>
    <t>9.5</t>
  </si>
  <si>
    <t>9.6</t>
  </si>
  <si>
    <t>9.7</t>
  </si>
  <si>
    <t>9.8</t>
  </si>
  <si>
    <t>9.9</t>
  </si>
  <si>
    <t>9.10</t>
  </si>
  <si>
    <t>9.11</t>
  </si>
  <si>
    <t>9.12</t>
  </si>
  <si>
    <t>9.13</t>
  </si>
  <si>
    <t>9.14</t>
  </si>
  <si>
    <t>9.15</t>
  </si>
  <si>
    <t>9.16</t>
  </si>
  <si>
    <t>9.17</t>
  </si>
  <si>
    <t>9.18</t>
  </si>
  <si>
    <t>9.19</t>
  </si>
  <si>
    <t>9.20</t>
  </si>
  <si>
    <t>10.1</t>
  </si>
  <si>
    <t>10.2</t>
  </si>
  <si>
    <t>10.3</t>
  </si>
  <si>
    <t>10.4</t>
  </si>
  <si>
    <t>10.5</t>
  </si>
  <si>
    <t>10.6</t>
  </si>
  <si>
    <t>10.7</t>
  </si>
  <si>
    <t>10.8</t>
  </si>
  <si>
    <t>10.9</t>
  </si>
  <si>
    <t>10.10</t>
  </si>
  <si>
    <t>10.11</t>
  </si>
  <si>
    <t>10.12</t>
  </si>
  <si>
    <t>10.13</t>
  </si>
  <si>
    <t>10.14</t>
  </si>
  <si>
    <t>10.15</t>
  </si>
  <si>
    <t>10.16</t>
  </si>
  <si>
    <t>10.17</t>
  </si>
  <si>
    <t>10.18</t>
  </si>
  <si>
    <t>10.19</t>
  </si>
  <si>
    <t>10.20</t>
  </si>
  <si>
    <t>11.1</t>
  </si>
  <si>
    <t>11.2</t>
  </si>
  <si>
    <t>11.3</t>
  </si>
  <si>
    <t>11.4</t>
  </si>
  <si>
    <t>11.5</t>
  </si>
  <si>
    <t>11.6</t>
  </si>
  <si>
    <t>11.7</t>
  </si>
  <si>
    <t>11.8</t>
  </si>
  <si>
    <t>11.9</t>
  </si>
  <si>
    <t>11.10</t>
  </si>
  <si>
    <t>11.11</t>
  </si>
  <si>
    <t>11.12</t>
  </si>
  <si>
    <t>11.13</t>
  </si>
  <si>
    <t>11.14</t>
  </si>
  <si>
    <t>11.15</t>
  </si>
  <si>
    <t>11.16</t>
  </si>
  <si>
    <t>11.17</t>
  </si>
  <si>
    <t>11.18</t>
  </si>
  <si>
    <t>11.19</t>
  </si>
  <si>
    <t>11.20</t>
  </si>
  <si>
    <t>12.1</t>
  </si>
  <si>
    <t>12.2</t>
  </si>
  <si>
    <t>12.3</t>
  </si>
  <si>
    <t>12.4</t>
  </si>
  <si>
    <t>12.5</t>
  </si>
  <si>
    <t>12.6</t>
  </si>
  <si>
    <t>12.7</t>
  </si>
  <si>
    <t>12.8</t>
  </si>
  <si>
    <t>12.9</t>
  </si>
  <si>
    <t>12.10</t>
  </si>
  <si>
    <t>12.11</t>
  </si>
  <si>
    <t>12.12</t>
  </si>
  <si>
    <t>12.13</t>
  </si>
  <si>
    <t>12.14</t>
  </si>
  <si>
    <t>12.15</t>
  </si>
  <si>
    <t>12.16</t>
  </si>
  <si>
    <t>12.17</t>
  </si>
  <si>
    <t>12.18</t>
  </si>
  <si>
    <t>12.19</t>
  </si>
  <si>
    <t>12.20</t>
  </si>
  <si>
    <t>13.1</t>
  </si>
  <si>
    <t>13.2</t>
  </si>
  <si>
    <t>13.3</t>
  </si>
  <si>
    <t>13.4</t>
  </si>
  <si>
    <t>13.5</t>
  </si>
  <si>
    <t>13.6</t>
  </si>
  <si>
    <t>13.7</t>
  </si>
  <si>
    <t>13.8</t>
  </si>
  <si>
    <t>13.9</t>
  </si>
  <si>
    <t>13.10</t>
  </si>
  <si>
    <t>13.11</t>
  </si>
  <si>
    <t>13.12</t>
  </si>
  <si>
    <t>13.13</t>
  </si>
  <si>
    <t>13.14</t>
  </si>
  <si>
    <t>13.15</t>
  </si>
  <si>
    <t>13.16</t>
  </si>
  <si>
    <t>13.17</t>
  </si>
  <si>
    <t>13.18</t>
  </si>
  <si>
    <t>13.19</t>
  </si>
  <si>
    <t>13.20</t>
  </si>
  <si>
    <t>14.1</t>
  </si>
  <si>
    <t>14.2</t>
  </si>
  <si>
    <t>14.3</t>
  </si>
  <si>
    <t>14.4</t>
  </si>
  <si>
    <t>14.5</t>
  </si>
  <si>
    <t>14.6</t>
  </si>
  <si>
    <t>14.7</t>
  </si>
  <si>
    <t>14.8</t>
  </si>
  <si>
    <t>14.9</t>
  </si>
  <si>
    <t>14.10</t>
  </si>
  <si>
    <t>14.11</t>
  </si>
  <si>
    <t>14.12</t>
  </si>
  <si>
    <t>14.13</t>
  </si>
  <si>
    <t>14.14</t>
  </si>
  <si>
    <t>14.15</t>
  </si>
  <si>
    <t>14.16</t>
  </si>
  <si>
    <t>14.17</t>
  </si>
  <si>
    <t>14.18</t>
  </si>
  <si>
    <t>14.19</t>
  </si>
  <si>
    <t>14.20</t>
  </si>
  <si>
    <t>15.1</t>
  </si>
  <si>
    <t>15.2</t>
  </si>
  <si>
    <t>15.3</t>
  </si>
  <si>
    <t>15.4</t>
  </si>
  <si>
    <t>15.5</t>
  </si>
  <si>
    <t>15.6</t>
  </si>
  <si>
    <t>15.7</t>
  </si>
  <si>
    <t>15.8</t>
  </si>
  <si>
    <t>15.9</t>
  </si>
  <si>
    <t>15.10</t>
  </si>
  <si>
    <t>15.11</t>
  </si>
  <si>
    <t>15.12</t>
  </si>
  <si>
    <t>15.13</t>
  </si>
  <si>
    <t>15.14</t>
  </si>
  <si>
    <t>15.15</t>
  </si>
  <si>
    <t>15.16</t>
  </si>
  <si>
    <t>15.17</t>
  </si>
  <si>
    <t>15.18</t>
  </si>
  <si>
    <t>15.19</t>
  </si>
  <si>
    <t>15.20</t>
  </si>
  <si>
    <t>16.1</t>
  </si>
  <si>
    <t>16.2</t>
  </si>
  <si>
    <t>16.3</t>
  </si>
  <si>
    <t>16.4</t>
  </si>
  <si>
    <t>16.5</t>
  </si>
  <si>
    <t>16.6</t>
  </si>
  <si>
    <t>16.7</t>
  </si>
  <si>
    <t>16.8</t>
  </si>
  <si>
    <t>16.9</t>
  </si>
  <si>
    <t>16.10</t>
  </si>
  <si>
    <t>16.11</t>
  </si>
  <si>
    <t>16.12</t>
  </si>
  <si>
    <t>16.13</t>
  </si>
  <si>
    <t>16.14</t>
  </si>
  <si>
    <t>16.15</t>
  </si>
  <si>
    <t>16.16</t>
  </si>
  <si>
    <t>16.17</t>
  </si>
  <si>
    <t>16.18</t>
  </si>
  <si>
    <t>16.19</t>
  </si>
  <si>
    <t>16.20</t>
  </si>
  <si>
    <t>17.1</t>
  </si>
  <si>
    <t>17.2</t>
  </si>
  <si>
    <t>17.3</t>
  </si>
  <si>
    <t>17.4</t>
  </si>
  <si>
    <t>17.5</t>
  </si>
  <si>
    <t>17.6</t>
  </si>
  <si>
    <t>17.7</t>
  </si>
  <si>
    <t>17.8</t>
  </si>
  <si>
    <t>17.9</t>
  </si>
  <si>
    <t>17.10</t>
  </si>
  <si>
    <t>17.11</t>
  </si>
  <si>
    <t>17.12</t>
  </si>
  <si>
    <t>17.13</t>
  </si>
  <si>
    <t>17.14</t>
  </si>
  <si>
    <t>17.15</t>
  </si>
  <si>
    <t>17.16</t>
  </si>
  <si>
    <t>17.17</t>
  </si>
  <si>
    <t>17.18</t>
  </si>
  <si>
    <t>17.19</t>
  </si>
  <si>
    <t>17.20</t>
  </si>
  <si>
    <t>18.1</t>
  </si>
  <si>
    <t>18.2</t>
  </si>
  <si>
    <t>18.3</t>
  </si>
  <si>
    <t>18.4</t>
  </si>
  <si>
    <t>18.5</t>
  </si>
  <si>
    <t>18.6</t>
  </si>
  <si>
    <t>18.7</t>
  </si>
  <si>
    <t>18.8</t>
  </si>
  <si>
    <t>18.9</t>
  </si>
  <si>
    <t>18.10</t>
  </si>
  <si>
    <t>18.11</t>
  </si>
  <si>
    <t>18.12</t>
  </si>
  <si>
    <t>18.13</t>
  </si>
  <si>
    <t>18.14</t>
  </si>
  <si>
    <t>18.15</t>
  </si>
  <si>
    <t>18.16</t>
  </si>
  <si>
    <t>18.17</t>
  </si>
  <si>
    <t>18.18</t>
  </si>
  <si>
    <t>18.19</t>
  </si>
  <si>
    <t>18.20</t>
  </si>
  <si>
    <t>19.1</t>
  </si>
  <si>
    <t>19.2</t>
  </si>
  <si>
    <t>19.3</t>
  </si>
  <si>
    <t>19.4</t>
  </si>
  <si>
    <t>19.5</t>
  </si>
  <si>
    <t>19.6</t>
  </si>
  <si>
    <t>19.7</t>
  </si>
  <si>
    <t>19.8</t>
  </si>
  <si>
    <t>19.9</t>
  </si>
  <si>
    <t>19.10</t>
  </si>
  <si>
    <t>19.11</t>
  </si>
  <si>
    <t>19.12</t>
  </si>
  <si>
    <t>19.13</t>
  </si>
  <si>
    <t>19.14</t>
  </si>
  <si>
    <t>19.15</t>
  </si>
  <si>
    <t>19.16</t>
  </si>
  <si>
    <t>19.17</t>
  </si>
  <si>
    <t>19.18</t>
  </si>
  <si>
    <t>19.19</t>
  </si>
  <si>
    <t>19.20</t>
  </si>
  <si>
    <t>20.1</t>
  </si>
  <si>
    <t>20.2</t>
  </si>
  <si>
    <t>20.3</t>
  </si>
  <si>
    <t>20.4</t>
  </si>
  <si>
    <t>20.5</t>
  </si>
  <si>
    <t>20.6</t>
  </si>
  <si>
    <t>20.7</t>
  </si>
  <si>
    <t>20.8</t>
  </si>
  <si>
    <t>20.9</t>
  </si>
  <si>
    <t>20.10</t>
  </si>
  <si>
    <t>20.11</t>
  </si>
  <si>
    <t>20.12</t>
  </si>
  <si>
    <t>20.13</t>
  </si>
  <si>
    <t>20.14</t>
  </si>
  <si>
    <t>20.15</t>
  </si>
  <si>
    <t>20.16</t>
  </si>
  <si>
    <t>20.17</t>
  </si>
  <si>
    <t>20.18</t>
  </si>
  <si>
    <t>20.19</t>
  </si>
  <si>
    <t>20.20</t>
  </si>
  <si>
    <t>21.1</t>
  </si>
  <si>
    <t>21.2</t>
  </si>
  <si>
    <t>21.3</t>
  </si>
  <si>
    <t>21.4</t>
  </si>
  <si>
    <t>21.5</t>
  </si>
  <si>
    <t>21.6</t>
  </si>
  <si>
    <t>21.7</t>
  </si>
  <si>
    <t>21.8</t>
  </si>
  <si>
    <t>21.9</t>
  </si>
  <si>
    <t>21.10</t>
  </si>
  <si>
    <t>21.11</t>
  </si>
  <si>
    <t>21.12</t>
  </si>
  <si>
    <t>21.13</t>
  </si>
  <si>
    <t>21.14</t>
  </si>
  <si>
    <t>21.15</t>
  </si>
  <si>
    <t>21.16</t>
  </si>
  <si>
    <t>21.17</t>
  </si>
  <si>
    <t>21.18</t>
  </si>
  <si>
    <t>21.19</t>
  </si>
  <si>
    <t>21.20</t>
  </si>
  <si>
    <t>22.1</t>
  </si>
  <si>
    <t>22.2</t>
  </si>
  <si>
    <t>22.3</t>
  </si>
  <si>
    <t>22.4</t>
  </si>
  <si>
    <t>22.5</t>
  </si>
  <si>
    <t>22.6</t>
  </si>
  <si>
    <t>22.7</t>
  </si>
  <si>
    <t>22.8</t>
  </si>
  <si>
    <t>22.9</t>
  </si>
  <si>
    <t>22.10</t>
  </si>
  <si>
    <t>22.11</t>
  </si>
  <si>
    <t>22.12</t>
  </si>
  <si>
    <t>22.13</t>
  </si>
  <si>
    <t>22.14</t>
  </si>
  <si>
    <t>22.15</t>
  </si>
  <si>
    <t>22.16</t>
  </si>
  <si>
    <t>22.17</t>
  </si>
  <si>
    <t>22.18</t>
  </si>
  <si>
    <t>22.19</t>
  </si>
  <si>
    <t>22.20</t>
  </si>
  <si>
    <t>23.1</t>
  </si>
  <si>
    <t>23.3</t>
  </si>
  <si>
    <t>23.4</t>
  </si>
  <si>
    <t>23.5</t>
  </si>
  <si>
    <t>23.6</t>
  </si>
  <si>
    <t>23.7</t>
  </si>
  <si>
    <t>23.8</t>
  </si>
  <si>
    <t>23.9</t>
  </si>
  <si>
    <t>23.10</t>
  </si>
  <si>
    <t>23.11</t>
  </si>
  <si>
    <t>23.12</t>
  </si>
  <si>
    <t>23.13</t>
  </si>
  <si>
    <t>23.14</t>
  </si>
  <si>
    <t>23.15</t>
  </si>
  <si>
    <t>23.16</t>
  </si>
  <si>
    <t>23.17</t>
  </si>
  <si>
    <t>23.18</t>
  </si>
  <si>
    <t>23.19</t>
  </si>
  <si>
    <t>23.20</t>
  </si>
  <si>
    <t>24.1</t>
  </si>
  <si>
    <t>24.3</t>
  </si>
  <si>
    <t>24.4</t>
  </si>
  <si>
    <t>24.5</t>
  </si>
  <si>
    <t>24.6</t>
  </si>
  <si>
    <t>24.7</t>
  </si>
  <si>
    <t>24.8</t>
  </si>
  <si>
    <t>24.9</t>
  </si>
  <si>
    <t>24.10</t>
  </si>
  <si>
    <t>24.11</t>
  </si>
  <si>
    <t>24.12</t>
  </si>
  <si>
    <t>24.13</t>
  </si>
  <si>
    <t>24.14</t>
  </si>
  <si>
    <t>24.15</t>
  </si>
  <si>
    <t>24.16</t>
  </si>
  <si>
    <t>24.17</t>
  </si>
  <si>
    <t>24.18</t>
  </si>
  <si>
    <t>24.19</t>
  </si>
  <si>
    <t>24.20</t>
  </si>
  <si>
    <t>25.1</t>
  </si>
  <si>
    <t>25.3</t>
  </si>
  <si>
    <t>25.4</t>
  </si>
  <si>
    <t>25.5</t>
  </si>
  <si>
    <t>25.6</t>
  </si>
  <si>
    <t>25.7</t>
  </si>
  <si>
    <t>25.8</t>
  </si>
  <si>
    <t>25.9</t>
  </si>
  <si>
    <t>25.10</t>
  </si>
  <si>
    <t>25.11</t>
  </si>
  <si>
    <t>25.12</t>
  </si>
  <si>
    <t>25.13</t>
  </si>
  <si>
    <t>25.14</t>
  </si>
  <si>
    <t>25.15</t>
  </si>
  <si>
    <t>25.16</t>
  </si>
  <si>
    <t>25.17</t>
  </si>
  <si>
    <t>25.18</t>
  </si>
  <si>
    <t>25.19</t>
  </si>
  <si>
    <t>25.20</t>
  </si>
  <si>
    <t>26.1</t>
  </si>
  <si>
    <t>26.2</t>
  </si>
  <si>
    <t>26.3</t>
  </si>
  <si>
    <t>26.4</t>
  </si>
  <si>
    <t>26.5</t>
  </si>
  <si>
    <t>26.6</t>
  </si>
  <si>
    <t>26.7</t>
  </si>
  <si>
    <t>26.8</t>
  </si>
  <si>
    <t>26.9</t>
  </si>
  <si>
    <t>26.10</t>
  </si>
  <si>
    <t>26.11</t>
  </si>
  <si>
    <t>26.12</t>
  </si>
  <si>
    <t>26.13</t>
  </si>
  <si>
    <t>26.14</t>
  </si>
  <si>
    <t>26.15</t>
  </si>
  <si>
    <t>26.16</t>
  </si>
  <si>
    <t>26.17</t>
  </si>
  <si>
    <t>26.18</t>
  </si>
  <si>
    <t>26.19</t>
  </si>
  <si>
    <t>26.20</t>
  </si>
  <si>
    <t>7.7. Quale delle seguenti affermazioni sugli interest rate swaps è corretta?</t>
  </si>
  <si>
    <t>Totale</t>
  </si>
  <si>
    <t>%</t>
  </si>
  <si>
    <t>8.11. Nel 2008, il TED spread raggiunse un picco di:</t>
  </si>
  <si>
    <t>(a) circa 150 punti base;</t>
  </si>
  <si>
    <t>(b) circa 250 punti base;</t>
  </si>
  <si>
    <t>(c) circa 450 punti base;</t>
  </si>
  <si>
    <t>(d) circa 550 punti base.</t>
  </si>
  <si>
    <t>Il TED spread è il differenziale tra il tasso Libor a 3 mesi e il corrispondente tasso dei Treasuries. Nel 2008, il TED spread raggiunse un picco di circa 450 punti base.</t>
  </si>
  <si>
    <t>12.20. Due opzioni call europee, con prezzi d’esercizio di $35 e $40 e scadenza tra 6 mesi, costano, rispettivamente, $6 e $4. Per creare un bull spread vengono utilizzate 200 calls. Qual è il massimo profitto che si può realizzare?</t>
  </si>
  <si>
    <t xml:space="preserve">Il bull spread richiede l’acquisto di 100 calls con strike $35 e la vendita di 100 calls con strike $40. Il costo è pari a $200 (= 100 × $6 − 100 × $4). </t>
  </si>
  <si>
    <t>23.14. Considerate le volatilità e le correlazioni. Solo una delle seguenti affermazioni è corretta. Quale?</t>
  </si>
  <si>
    <t>(a) Le volatilità e le correlazioni sono diminuite nella 2a metà del 2008.</t>
  </si>
  <si>
    <t>(b) Le volatilità e le correlazioni sono aumentate nella 2a metà del 2008.</t>
  </si>
  <si>
    <t>(c) Le volatilità sono diminuite e le correlazioni sono aumentate nella 2a metà del 2008.</t>
  </si>
  <si>
    <t>(d) Le volatilità sono aumentate e le correlazioni sono diminuite nella 2a metà del 2008.</t>
  </si>
  <si>
    <t>Come mostra l’esempio del testo sui 4 indici, le volatilità e le correlazioni sono aumentate nella 2a metà del 2008.</t>
  </si>
  <si>
    <t>26.2. Se aumenta la frequenza con cui il prezzo dell’azione viene osservato, qual è l’effetto sul valore di un’opzione knock out?</t>
  </si>
  <si>
    <t>Nel nostro caso, S0 = K = $100, T = 0,25, r = 3%, σ = 40%. Pertanto, Ke−rT = $99,25 (= $100 × e−0,03 × 0,25) e d2 = −0,0626.</t>
  </si>
  <si>
    <t>(a) Il tasso sui Treasuries.</t>
  </si>
  <si>
    <t>(b) Il Libor.</t>
  </si>
  <si>
    <t>(c) Il repo rate.</t>
  </si>
  <si>
    <t>(d) L’OIS rate.</t>
  </si>
  <si>
    <t>Prima della crisi, il tasso utilizzato per le attualizzazioni nel mercato dei derivati era il Libor.</t>
  </si>
  <si>
    <t>(a) collateral value adjustment;</t>
  </si>
  <si>
    <t>(b) credit value adjustment;</t>
  </si>
  <si>
    <t>(c) credit value agreement;</t>
  </si>
  <si>
    <t>(d) collateral value agreement.</t>
  </si>
  <si>
    <t>CVA è l’acronimo di credit value adjustment.</t>
  </si>
  <si>
    <t>(a) Il DVA aumenta, per cui i profitti della banca diminuiscono.</t>
  </si>
  <si>
    <t>(b) Il DVA aumenta, per cui i profitti della banca aumentano.</t>
  </si>
  <si>
    <t>(c) Il DVA diminuisce, per cui i profitti della banca diminuiscono.</t>
  </si>
  <si>
    <t>(d) Il DVA diminuisce, per cui i profitti della banca aumentano.</t>
  </si>
  <si>
    <t xml:space="preserve">I tassi passivi di una banca aumentano quando aumenta la probabilità che la banca fallisca. Se aumenta la probabilità d’insolvenza, il DVA aumenta. </t>
  </si>
  <si>
    <t>(b) Il CVA e il DVA vanno entrambi calcolati con riferimento all’intero portafoglio che la banca ha in essere con una certa controparte.</t>
  </si>
  <si>
    <t xml:space="preserve">In caso d’insolvenza, per via del netting, tutti i derivati presenti nel portafoglio in essere con una certa controparte vanno considerati congiuntamente. </t>
  </si>
  <si>
    <t>Se la società fallisce tra un anno, il valore attuale delle perdite attese dauna banca su un portafoglio di derivati è pari a $1 milione. Tale importo sale a $2 milioni se la società fallisce tra 2 anni. Qual è il CVA della banca?</t>
  </si>
  <si>
    <t>(a) $3.000.000.</t>
  </si>
  <si>
    <t>(b) $300.000.</t>
  </si>
  <si>
    <t>(d) $150.000.</t>
  </si>
  <si>
    <t>Il valore attuale delle perdite attese è pari a $450.000 (= $1.000.000 × 0,015 + $2.000.000 × 0,015). Questo è il CVA della banca.</t>
  </si>
  <si>
    <t>CVA</t>
  </si>
  <si>
    <t>(c) $45.000.</t>
  </si>
  <si>
    <t>(a) Un contratto negoziato in borsa.</t>
  </si>
  <si>
    <t>(b) Un contratto OTC con utilizzo di una central clearing party.</t>
  </si>
  <si>
    <t>(c) Un contratto OTC con bilateral clearing e collateral agreement.</t>
  </si>
  <si>
    <t>(d) Un contratto OTC con bilateral clearing, ma senza collateral agreement.</t>
  </si>
  <si>
    <t>Nel caso dei contratti negoziati in borsa e in quelli OTC con utilizzo di una central clearing party, il meccanismo del marking to market fa sì che il rischio di credito sia molto basso. Il rischio è maggiore in caso di bilateral clearing, soprattutto quando non ci sono garanzie.</t>
  </si>
  <si>
    <t>(a) $15 milioni.</t>
  </si>
  <si>
    <t>(b) $35 milioni.</t>
  </si>
  <si>
    <t>(c) $20 milioni.</t>
  </si>
  <si>
    <t>V</t>
  </si>
  <si>
    <t>2.14. Supponete che il mese corrente sia aprile. Di solito, l’open interest del contratto per giugno, in confronto all’open interest del contratto per settembre, è</t>
  </si>
  <si>
    <t>(a) L'interest rate swap consente di trasformare una passività a tasso fisso in una passività a tasso variabile.</t>
  </si>
  <si>
    <t>Com’è spiegato nel testo, l’argomentazione del vantaggio comparato è ingannevole.</t>
  </si>
  <si>
    <t>7.9. Quale delle seguenti affermazioni è corretta per la parte che paga il fisso in un interest rate swap? Supponete che non siano in essere altri contratti con la stessa controparte.</t>
  </si>
  <si>
    <t>(a) Il rischio di credito è maggiore quando la yield curve è inclinata positivamente.</t>
  </si>
  <si>
    <t>(b) Il rischio di credito è minore quando la yield curve è inclinata positivamente.</t>
  </si>
  <si>
    <t>(c) L’esposizione creditizia aumenta quando i tassi d’interesse scendono.</t>
  </si>
  <si>
    <t>(d) Non c’è alcuna esposizione creditizia se si utilizza un’istituzione finanziaria come in-termediario.</t>
  </si>
  <si>
    <t>Ci si attende quindi che l’interest rate swap avrà un valore positivo, dopo i primi pagamenti. Questo espone la parte che paga il fisso al rischio di credito.</t>
  </si>
  <si>
    <t>7.10. Da quando è scoppiata la crisi creditizia del 2008:</t>
  </si>
  <si>
    <t>(a) il Libor ha sostituito il tasso OIS per l’attualizzazione dei pagamenti degli swaps privi di garanzie accessorie;</t>
  </si>
  <si>
    <t>(b) il tasso OIS ha sostituito il Libor per l’attualizzazione dei pagamenti, ma solo nel caso degli swaps privi di garanzie accessorie;</t>
  </si>
  <si>
    <t>(c) il Libor ha sostituito il tasso OIS per l’attualizzazione dei pagamenti degli swaps assistiti da garanzie accessorie;</t>
  </si>
  <si>
    <t>(d) il tasso OIS ha sostituito il Libor per l’attualizzazione dei pagamenti di tutti gli swaps.</t>
  </si>
  <si>
    <t>I traders sono passati dal Libor discounting all’OIS discounting.</t>
  </si>
  <si>
    <t>7.11. Il currency swap fisso contro fisso:</t>
  </si>
  <si>
    <t>(a) equivale a un portafoglio di FRAs;</t>
  </si>
  <si>
    <t>(b) equivale a un portafoglio costituito da una posizione lunga su un’obbligazione e da una posizione corta su un’altra obbligazione;</t>
  </si>
  <si>
    <t>(c) ha lo stesso valore sia nel caso in cui i capitali vengano scambiati sia in quello in cui non vengano scambiati;</t>
  </si>
  <si>
    <t>(d) non comporta lo scambia dei capitali all’inizio della sua vita.</t>
  </si>
  <si>
    <t>Il currency swap fisso contro fisso equivale a un portafoglio costituito da una posizione lunga su un’obbligazione e da una posizione corta su un’altra obbligazione. Equivale anche a un portafoglio di contratti forward scritti su una valuta.</t>
  </si>
  <si>
    <t>7.18. Quale delle seguenti descrizioni è appropriata per un overnight indexed swap a 3 mesi?</t>
  </si>
  <si>
    <t>(a) Un contratto in cui si scambia ogni giorno, per 3 mesi, un tasso fisso con il tasso over-night.</t>
  </si>
  <si>
    <t>(b) Un contratto in cui si scambia ogni giorno, per 3 mesi, il Libor con il tasso overnight.</t>
  </si>
  <si>
    <t>(c) Un contratto in cui si scambia, tra 3 mesi, un tasso fisso con la media aritmetica dei tassi overnight osservata nei 3 mesi precedenti.</t>
  </si>
  <si>
    <t>7.19. Quale dei seguenti livelli si avvicina di più al bid-ask spread del tasso swap di un plain vanilla interest rate swap?</t>
  </si>
  <si>
    <t>La risposta corretta è quella sub (a). Gli altri livelli sono troppo elevati.</t>
  </si>
  <si>
    <t>9.1. Quale dei seguenti non è un aggiustamento di bilancio?</t>
  </si>
  <si>
    <t>(a) CVA.</t>
  </si>
  <si>
    <t>(b) MVA.</t>
  </si>
  <si>
    <t>(c) ZVA.</t>
  </si>
  <si>
    <t>(d) KVA.</t>
  </si>
  <si>
    <t>CVA sta per credit value adjustment. MVA sta per margin valuation adjustment. KVA sta per capital valuation adjustment. ZVA non è un aggiustamento di bilancio.</t>
  </si>
  <si>
    <t>9.2. CVA è l’acronimo di ...</t>
  </si>
  <si>
    <t>9.3. DVA è l’acronimo di ...</t>
  </si>
  <si>
    <t>(a) debt valuation adjustment;</t>
  </si>
  <si>
    <t>(b) debt valuation agreement;</t>
  </si>
  <si>
    <t>(c) debt variation adjustment;</t>
  </si>
  <si>
    <t>(d) debit valuation agreement.</t>
  </si>
  <si>
    <t>9.4. Supponete che i tassi passivi di una banca aumentino. Solo una delle seguenti affermazioni è corretta. Quale?</t>
  </si>
  <si>
    <t>Quando il DVA aumenta, i profitti della banca aumentano perché si ritiene più probabile che la banca fallisca e che non debba quindi onorare gli impegni presi con i derivati.</t>
  </si>
  <si>
    <t>9.5. Considerate il CVA e il DVA di una banca. Solo una delle seguenti affermazioni è corretta. Quale?</t>
  </si>
  <si>
    <t>(a) Il CVA e il DVA possono essere calcolati contratto per contratto.</t>
  </si>
  <si>
    <t>(c) Il CVA può essere calcolato contratto per contratto, mentre il DVA va calcolato con rife-rimento all’intero portafoglio che la banca ha in essere con una certa controparte.</t>
  </si>
  <si>
    <t>(d) Il DVA può essere calcolato contratto per contratto, mentre il CVA va calcolato con rife-rimento all’intero portafoglio che la banca ha in essere con una certa controparte.</t>
  </si>
  <si>
    <t>Il CVA, che misura il costo dell’insolvenza della controparte, e il DVA, che misura il beneficio ottenuto dalla banca in caso di fallimento, non vanno calcolati contratto per contratto, ma con riferimento all’intero portafoglio in essere con una certa controparte.</t>
  </si>
  <si>
    <t xml:space="preserve">9.6. Supponete che una società possa fallire tra 1 anno o tra 2 anni. In entrambi i casi, la probabilità di fallimento è pari all’1,5%. </t>
  </si>
  <si>
    <t xml:space="preserve">9.7. Una banca ha in essere, con una certa controparte, tre contratti non assistiti da garanzie. Il valore corrente dei tre contratti, per la banca, è pari a +$10, −$20 e +$25 milioni. </t>
  </si>
  <si>
    <t>Se è stata sottoscritta la clausola di netting, qual è la massima perdita che la banca può subire nel caso in cui la controparte fallisca oggi?</t>
  </si>
  <si>
    <t>(d) $0.</t>
  </si>
  <si>
    <t>In base alla clausola di netting, i tre contratti vanno considerati alla stregua di un’unica transazione.</t>
  </si>
  <si>
    <t>9.8. Quale dei seguenti contratti comporta il maggior rischio di credito?</t>
  </si>
  <si>
    <t xml:space="preserve"> Il valore netto dei tre contratti, per la banca, è pari a +$15 (= +$10 −$20 +$25) milioni. Questo è il massimo importo che la banca potrebbe perdere nel caso in cui la controparte fallisca oggi. </t>
  </si>
  <si>
    <t>(a) il costo del funding initial margin;</t>
  </si>
  <si>
    <t>(b) il costo del funding variation margin;</t>
  </si>
  <si>
    <t>(c) il costo del capitale regolamentare;</t>
  </si>
  <si>
    <t>(d) nessuno dei costi sopra menzionati.</t>
  </si>
  <si>
    <t>FVA è l’acronimo di funding value adjustment. Riguarda il costo del funding variation mar-gin.</t>
  </si>
  <si>
    <t>9.10. MVA è l’acronimo di un aggiustamento che riguarda ...</t>
  </si>
  <si>
    <t>MVA è l’acronimo di margin value adjustment. Riguarda il costo del funding initial margin.</t>
  </si>
  <si>
    <t>9.11. KVA è l’acronimo di un aggiustamento che riguarda ...</t>
  </si>
  <si>
    <t>KVA è l’acronimo di capital value adjustment. Riguarda il costo del capitale regolamentare.</t>
  </si>
  <si>
    <t>9.12. CVA è l’acronimo di un aggiustamento che riguarda ...</t>
  </si>
  <si>
    <t>CVA è l’acronimo di credit value adjustment. Riguarda il costo del fallimento di una controparte.</t>
  </si>
  <si>
    <t>9.13. In teoria, secondo l’economia finanziaria, ...</t>
  </si>
  <si>
    <t>(a) il rendimento di ognuno degli investimenti di una società dovrebbe essere pari al «costo medio ponderato del capitale» (weighted average cost of capital);</t>
  </si>
  <si>
    <t>(b) il tasso di rendimento atteso richiesto per ogni investimento dovrebbe essere pari al «costo medio del debito» (average cost of debt);</t>
  </si>
  <si>
    <t>(c)  il tasso di rendimento atteso richiesto per ogni investimento aumenta col crescere del rischio dell’investimento;</t>
  </si>
  <si>
    <t>(d)  il tasso di rendimento atteso richiesto per ogni investimento diminuisce col crescere del rischio dell’investimento.</t>
  </si>
  <si>
    <t>In teoria, il tasso di rendimento atteso richiesto per ogni investimento è una funzione positiva del rischio, che non dipende dal costo del capitale con cui l’investimento viene finanziato.</t>
  </si>
  <si>
    <t>9.14. In teoria, secondo l’economia finanziaria, se cresce la quota del capitale azionario tra gli strumenti di provvista ...</t>
  </si>
  <si>
    <t>(a) diminuisce il tasso di rendimento richiesto sulle azioni e sulle obbligazioni;</t>
  </si>
  <si>
    <t>(b) diminuisce il tasso di rendimento richiesto sulle azioni, mentre aumenta quello sulle ob-bligazioni;</t>
  </si>
  <si>
    <t>(c) aumenta il tasso di rendimento richiesto sulle azioni, mentre diminuisce quello sulle ob-bligazioni;</t>
  </si>
  <si>
    <t>(d) aumenta il tasso di rendimento richiesto sulle azioni e sulle obbligazioni.</t>
  </si>
  <si>
    <t>Se cresce la quota del capitale azionario, le obbligazioni e le azioni diventano meno rischiose per l’investitore.</t>
  </si>
  <si>
    <t xml:space="preserve">9.15. Il DVA di una banca ... </t>
  </si>
  <si>
    <t>(a) dipende dalla probabilità d’insolvenza della banca;</t>
  </si>
  <si>
    <t>(b) dipende dalla probabilità d’insolvenza delle controparti della banca;</t>
  </si>
  <si>
    <t>(c) dipende dalle probabilità d’insolvenza della banca e delle sue controparti;</t>
  </si>
  <si>
    <t>(d) non dipende dalla probabilità d’insolvenza della banca o da quella delle sue controparti.</t>
  </si>
  <si>
    <t>Il DVA è pari al costo che la controparte subisce in caso di fallimento della banca (costo che rappresenta un beneficio per la banca). Ai fini del calcolo del DVA, è importante la probabilità d’insolvenza della banca.</t>
  </si>
  <si>
    <t>9.16. Quale delle seguenti affermazioni è corretta?</t>
  </si>
  <si>
    <t>(a) Il funding value adjustment (FVA) è sempre positivo.</t>
  </si>
  <si>
    <t>(b) Il funding value adjustment (FVA) è sempre negativo.</t>
  </si>
  <si>
    <t>(c) Il funding value adjustment (FVA) di ogni contratto  è inizialmente nullo.</t>
  </si>
  <si>
    <t xml:space="preserve">Il funding value adjustment (FVA) può essere positivo o negativo. </t>
  </si>
  <si>
    <t>Ad esempio, il funding value adjustment incrementale determinato dalla vendita di un’opzione, non assistita da garanzie, è negativo, mentre il funding value adjustment incrementale determinato dall’acquisto di un’opzione è positivo.</t>
  </si>
  <si>
    <t>9.17. Prima della crisi creditizia iniziata nel 2007, quale dei seguenti tassi veniva utilizzato dai derivatives traders per attualizzare i pagamenti dei derivati?</t>
  </si>
  <si>
    <t>9.18. Dopo l’inizio della crisi creditizia del 2007, quale dei seguenti tassi è stato utilizzato dai derivatives traders per attualizzare i pagamenti dei derivati assistiti da garanzie?</t>
  </si>
  <si>
    <t>Dopo l’inizio della crisi, il tasso utilizzato per le attualizzazioni nel mercato dei derivati assistiti da garanzie è stato l’OIS rate.</t>
  </si>
  <si>
    <t>9.20. Quale delle seguenti affermazioni è corretta, in prima approssimazione?</t>
  </si>
  <si>
    <t>(a) Il funding value adjustment (FVA) può essere ricavato in base al valore iniziale del deri-vato.</t>
  </si>
  <si>
    <t>(b) Il funding value adjustment (FVA) può essere ricavato contratto per contratto, senza considerare l’intero portafoglio dei derivati negoziati con una certa controparte.</t>
  </si>
  <si>
    <t>(c) In teoria, il funding value adjustment (FVA) dovrebbe dipendere dal costo della provvista della banca.</t>
  </si>
  <si>
    <t>La provvista (positiva o negativa) che dipende dai variation margins è additiva rispetto ai singoli contratti.</t>
  </si>
  <si>
    <t>Capitolo 9 XVAs</t>
  </si>
  <si>
    <t>Capitolo 2 Mercati dei Futures e Controparti Centralizzate</t>
  </si>
  <si>
    <t>Capitolo 18 Opzioni su Futures e Modello di Black</t>
  </si>
  <si>
    <t>Capitolo 22 Valore a Rischio ed Expected Shortfall</t>
  </si>
  <si>
    <t>Di solito, quando la vita residua aumenta da X a Y, il valore delle opzioni europee aumenta. Tuttavia, non è sempre così. Se ci si aspetta che venga pagato un dividendo elevato tra X e Y, il valore delle calls europee potrebbe diminuire.</t>
  </si>
  <si>
    <t>Il gestore dovrebbe comprare 200 [= $10.000.000 / ($500 × 100)] contratti. I contratti vanno comprati, e non venduti, perché devono offrire un payoff positivo quando il mercato scende.</t>
  </si>
  <si>
    <t>(b) Comprare 200 contratti.</t>
  </si>
  <si>
    <t>(d) Comprare 100 contratti.</t>
  </si>
  <si>
    <t>18.14. Solo una delle seguenti affermazioni è corretta. Quale?</t>
  </si>
  <si>
    <t>(a) Le stock options vengono liquidate giornalmente.</t>
  </si>
  <si>
    <t>(c) Le currency options vengono liquidate giornalmente.</t>
  </si>
  <si>
    <t>(c) La matrice ha tutti 1 sulla diagonale principale.</t>
  </si>
  <si>
    <t>Il motivo è che la richiesta di ulteriori garanzie in contanti o della risoluzione dei contratti viene effettuata da tutte le controparti allo stesso tempo, e questo può causare il fallimento della società.</t>
  </si>
  <si>
    <t>DVA è l’acronimo di debt (o debit) valuation adjustment.</t>
  </si>
  <si>
    <t>9.9. FVA è l’acronimo di un aggiustamento che riguarda ...</t>
  </si>
  <si>
    <t>Le quote di capitale allocate alle singole tranches sono: senior 85%, mezzanine 10%, equity 5% (i portafogli di mutui subprime hanno gli stessi tassi d’insolvenza).</t>
  </si>
  <si>
    <t xml:space="preserve">Le quote di capitale allocate alle singole tranches sono: senior 94,9% (rating AAA), mezzanine 0,1%  (rating BBB), equity 5% (rating C). I portafogli di mutui subprime hanno gli stessi tassi d’insolvenza. </t>
  </si>
  <si>
    <t xml:space="preserve">25.18. Il tasso di rendimento di un’obbligazione a 5 anni è pari al 5%. Il tasso swap a 5 anni e il tasso dei Treasuries a 5 anni sono pari, rispettivamente, al 4,5% e al 4,0%. </t>
  </si>
  <si>
    <t>Il gestore dovrebbe acquistare 100 [= 0,5 × $10.000.000 / ($500 × 100)] contratti. I contratti vanno acquistati perché devono offrire un payoff positivo quando il mercato scende.</t>
  </si>
  <si>
    <t>6.17. La quotazione di un futures sul Sofr a 3 mesi, relativo al trimestre che inizierà tra 4 anni, è pari a $96,50. Il corrispondente tasso forward, espresso con le stesse convenzioni del tasso futures, è pari al 3,397% annuo. Qual è l’aggiustamento per la convessità?</t>
  </si>
  <si>
    <t xml:space="preserve">7.16. Un interest rate swap, in cui si riceve il 5% (composto semestralmente) e si paga il Sofr a 6 mesi, ha 9 mesi di vita residua. </t>
  </si>
  <si>
    <t>Il tasso annuo calcolato in base ai tassi Sofr giornalieri osservati negli ultimi 3 mesi è pari al 4,85% (composto continuamente).</t>
  </si>
  <si>
    <t>Gli OIS spot zero rates a 3 e a 9 mesi sono pari, rispettivamente, al 5,3% e al 5,8% annuo (entrambi composti continuamente).</t>
  </si>
  <si>
    <t>Se il capitale nozionale è pari a $15.000.000, qual è il valore dello swap per la parte che riceve il fisso? Trascurate il rischio di credito e le regole di calcolo giorni.</t>
  </si>
  <si>
    <t>(b) −$92.393</t>
  </si>
  <si>
    <t>Il semestre relativo al primo pagamento variabile è già trascorso per metà.</t>
  </si>
  <si>
    <t xml:space="preserve"> Il tasso composto continuamente da utilizzare per stimare questo pagamento è pari al 5,075% [= (4,85% × 0,25 + 5,3% × 0,25) / 0,5].</t>
  </si>
  <si>
    <t xml:space="preserve"> Il tasso Sofr forward, composto continuamente, relativo al semestre compreso tra 3 e 9 mesi è pari al 6,05% [= (5,8% × 0,75 − 5,3% × 0,25) / (0,75 − 0,25)].</t>
  </si>
  <si>
    <t xml:space="preserve">I pagamenti fissi sono pari al 2,5% (= 5% / 2) del nozionale, ossia a $375.000 (= 2,5% × $15.000.000). </t>
  </si>
  <si>
    <t>Interessi fissi</t>
  </si>
  <si>
    <t>Interessi variabili</t>
  </si>
  <si>
    <t>I corrispondenti pagamenti variabili, da effettuare alle stesse date, vengono stimati capitalizzando per un semestre i tassi del 5,075% e del 6,05%.</t>
  </si>
  <si>
    <t xml:space="preserve">12.18. Tre opzioni europee, con strikes $60, $65 e $70, costano $18, $14 e $11, rispettivamente. </t>
  </si>
  <si>
    <t xml:space="preserve">Il payoff complessivo è quindi pari a $500. Il costo sostenuto per acquistare il butterfly spread lungo è pari a $100 (= 100 × $18 − 200 × $14 + 100 × $11). </t>
  </si>
  <si>
    <t xml:space="preserve">12.19. Tre opzioni europee, con strikes $60, $65 e $70, costano $18, $14 e $11, rispettivamente. </t>
  </si>
  <si>
    <t xml:space="preserve">In questi casi, il payoff complessivo è pari a $0. Il costo sostenuto per acquistare il butterfly spread lungo è pari a $100 (= 100 × $18 − 200 × $14 + 100 × $11). </t>
  </si>
  <si>
    <t>1.5. Considerate le dimensioni dei mercati dei derivati alla fine di dicembre del 2025, misurate in termini di valori nozionali dei contratti OTC e di valori delle attività sottostanti i derivati di borsa. Solo una delle seguenti affermazioni è corretta, in prima approssimazione. Quale?</t>
  </si>
  <si>
    <t>(c) Il mercato di borsa è pari a otto volte quello OTC.</t>
  </si>
  <si>
    <t>(d) Il mercato OTC è pari a otto volte quello di borsa.</t>
  </si>
  <si>
    <t xml:space="preserve">In base ai dati riportati nel Libro, alla fine di dicembre del 2025 le dimensioni del mercato OTC e del mercato di borsa erano pari, rispettivamente, a $844.578 miliardi e a $107.113 miliardi. </t>
  </si>
  <si>
    <t>Il rapporto tra le due dimensioni è pari a 7,88 (= $844.578 / $107.113). Pertanto, in prima approssimazione, il mercato OTC è pari a otto volte quello di borsa. La risposta corretta è quella sub (d).</t>
  </si>
  <si>
    <t>(a) ¢78.</t>
  </si>
  <si>
    <t>(b) ¢76.</t>
  </si>
  <si>
    <t>(c) ¢74.</t>
  </si>
  <si>
    <t>(d) ¢72.</t>
  </si>
  <si>
    <t xml:space="preserve">2.9. Il 2 novembre 2026, un hedger assume una posizione lunga su un futures al fine di coprire un’esposizione per il 1° marzo 2027. </t>
  </si>
  <si>
    <t>Il prezzo futures iniziale è di $60. Il 31 dicembre 2026, il prezzo futures è di $61. Il 1° marzo 2027 è di $64 e il contratto viene chiuso. Ogni contratto riguarda la consegna di 1.000 unità.</t>
  </si>
  <si>
    <t xml:space="preserve"> Supponete che si applichi l’hedge accounting, con imputazione del risultato della copertura al conto economico nello stesso esercizio dell’operazione coperta. Qual è il profitto di competenza dell’esercizio che va dal 1° gennaio al 31 dicembre 2027?</t>
  </si>
  <si>
    <t>2.10. Qual è la vostra risposta alla Domanda 2.9 se chi assume la posizione sul futures è uno speculatore piuttosto che un hedger e non si applica l’hedge accounting?</t>
  </si>
  <si>
    <t>In questo caso non si applica l’hedge accounting. I guadagni o le perdite vengono imputati al conto economico via via che maturano. Nel 2027, il prezzo futures aumenta da $61 a $64. Pertanto, il guadagno di competenza del 2027 è pari a $3.000: 1.000 × ($64 − $61) = $3.000. La risposta corretta è quella sub (c).</t>
  </si>
  <si>
    <t>(a) Quando aumenta la differenza tra il prezzo futures all’origine, nel momento in cui la copertura viene effettuata, e il prezzo futures alla data di chiusura della copertura.</t>
  </si>
  <si>
    <t>La base è la differenza tra il prezzo spot e il prezzo futures. Il rischio base deriva dall’incertezza sul valore della base alla data di chiusura della copertura. Questo rischio tende ad aumentare quando aumenta la distanza tra la data di chiusura del futures e il mese di scadenza. Pertanto, la risposta sub (c) non è corretta.</t>
  </si>
  <si>
    <t xml:space="preserve"> Il rischio base tende ad aumentare anche quando aumentano le differenze tra il sottostante del futures e l’attività da proteggere. Pertanto, la risposta sub (b) è quella corretta.</t>
  </si>
  <si>
    <t>Se tutte le società di una certa industria non si coprono, il prezzo del prodotto finale tende a ri-flettere i movimenti delle variabili di mercato rilevanti. Tentare di coprirsi da questi movimenti può essere rischioso.</t>
  </si>
  <si>
    <t xml:space="preserve">Il tasso forward a 6 mesi tra 1 anno è il tasso più basso, dato che la zero curve è inclinata verso il basso. Lo spot zero rate a 1 anno è superiore al tasso forward, ma inferiore al par yield a 1 anno. </t>
  </si>
  <si>
    <t>Il par yield è il tasso più elevato perché i pagamenti cedolari anteriori alla scadenza vengono attualizzati in base a tassi zero più alti di quello a 1 anno: per far sì che il coupon bond quoti alla pari, è quindi necessario un tasso cedolare superiore allo spot zero rate a 1 anno. Pertanto, Z &lt; Y &lt; X e la risposta sub (d) è quella corretta.</t>
  </si>
  <si>
    <t>Il tasso d’interesse privo di rischio è nullo. Qual è il valore corrente di una call con prezzo d’esercizio di $32 e scadenza tra 6 mesi?</t>
  </si>
  <si>
    <t>14.4. Se x segue un processo di Wiener, qual è la varianza di x tra t anni?</t>
  </si>
  <si>
    <t>La varianza della variazione di x in un intervallo di tempo dt è pari a dt. Il «tasso di varianza» (variance rate), ossia la varianza per unità di tempo, è quindi pari a 1. Pertanto, la varianza di x tra t anni è pari a t (= t × 1).</t>
  </si>
  <si>
    <t>(b) Le variazioni in due brevi periodi di tempo non sovrapposti sono indipendenti tra loro.</t>
  </si>
  <si>
    <t>(d) La deviazione standard in due periodi di tempo consecutivi è pari alla somma delle devia-zioni standard in ciascuno dei due sotto-periodi.</t>
  </si>
  <si>
    <t>(a) 0,0136</t>
  </si>
  <si>
    <t>(b) 0,0146</t>
  </si>
  <si>
    <t>(c) 0,0156</t>
  </si>
  <si>
    <t>(d) 0,0166</t>
  </si>
  <si>
    <t>Pertanto, la stima del gamma è 0,0156 [= (0,6 − 0,25)/(112,5 − 90)].</t>
  </si>
  <si>
    <t>L’EWMA è un caso particolare del GARCH(1,1), con α + β = 1 e ω = 0. Pertanto, la massima verosimiglianza calcolata con il GARCH(1,1) è almeno pari a quella calcolata con l’EWMA.</t>
  </si>
  <si>
    <t>5.20. Nelle ipotesi di arbitraggio considerate nel testo, solo una delle seguenti affermazioni riguardanti i beni di consumo immagazzinabili è corretta. Quale?</t>
  </si>
  <si>
    <t>(a) Non ci sono né limiti superiori né limiti inferiori per i prezzi futures.</t>
  </si>
  <si>
    <t>(c) C’è un limite superiore per i prezzi futures, ma non c’è un corrispondente limite inferiore.</t>
  </si>
  <si>
    <t xml:space="preserve">Se il prezzo futures di un bene di consumo supera il costo complessivo dell’acquisto a pronti, del finanziamento e dell’immagazzinamento fino alla scadenza, gli arbitraggisti possono comprare la merce a pronti e venderla a termine, bloccando un profitto. </t>
  </si>
  <si>
    <t xml:space="preserve">Questa possibilità impone un limite superiore al prezzo futures. </t>
  </si>
  <si>
    <t xml:space="preserve">La strategia opposta non è necessariamente praticabile: la merce può non essere disponibile per le vendite allo scoperto e chi la detiene per esigenze produttive può non voler rinunciare alla sua disponibilità immediata. </t>
  </si>
  <si>
    <t>Le argomentazioni di arbi-traggio non forniscono quindi un corrispondente limite inferiore. La risposta corretta è quella sub (c).</t>
  </si>
  <si>
    <t>(a) Il tasso futures calcolato in base alla quotazione del contratto è minore del corrispondente tasso forward.</t>
  </si>
  <si>
    <t>(b) Il tasso futures calcolato in base alla quotazione del contratto è maggiore del corrisponden-te tasso forward.</t>
  </si>
  <si>
    <t>(c) Il tasso futures calcolato in base alla quotazione del contratto è uguale al corrispondente tasso forward.</t>
  </si>
  <si>
    <t>(d) Il tasso futures calcolato in base alla quotazione del contratto può essere sia minore sia maggiore del corrispondente tasso forward.</t>
  </si>
  <si>
    <t>Per ottenere il tasso forward, si sottrae dal tasso futures l’«aggiustamento per la convessità» (convexity adjustment): tasso forward = tasso futures − c. Dato che, per ipotesi, c &gt; 0, il tasso forward è minore del tasso futures. Pertanto, la risposta corretta è quella sub (b).</t>
  </si>
  <si>
    <t>6.10. Considerate un futures sul Sofr a 3 mesi e supponete che l’aggiustamento per la convessità sia positivo. Solo una delle seguenti affermazioni è corretta. Quale?</t>
  </si>
  <si>
    <t>7.3. Considerate un interest rate swap, con decorrenza futura, in cui si scambia un tasso fisso con il Sofr a 3 mesi. Trascurando il rischio di credito, quale dei seguenti metodi di valutazione è appropriato?</t>
  </si>
  <si>
    <t>(a) Calcolare i pagamenti variabili in base ai corrispondenti Sofr a 3 mesi forward correnti e attualizzare i pagamenti netti in base agli OIS spot zero rates.</t>
  </si>
  <si>
    <t>(b) Calcolare tutti i pagamenti variabili utilizzando lo stesso Sofr a 3 mesi spot corrente e attua-lizzare i pagamenti netti in base agli OIS spot zero rates.</t>
  </si>
  <si>
    <t>(c) Calcolare i pagamenti variabili in base ai corrispondenti Sofr a 3 mesi forward correnti e attualizzare i pagamenti netti in base al tasso fisso contrattuale dello swap.</t>
  </si>
  <si>
    <t>(d) Calcolare tutti i pagamenti variabili utilizzando lo stesso Sofr a 3 mesi spot corrente e attua-lizzare i pagamenti netti in base al tasso fisso contrattuale dello swap.</t>
  </si>
  <si>
    <t xml:space="preserve">I pagamenti variabili vengono calcolati supponendo che i Sofr a 3 mesi forward correnti si realizzino nei rispettivi periodi di riferimento. </t>
  </si>
  <si>
    <t>I pagamenti netti vengono poi attualizzati in base agli OIS spot zero rates relativi alle rispettive date di pagamento. Il tasso fisso contrattuale serve a determinare i pagamenti fissi dello swap, non i tassi da utilizzare per l’attualizzazione. Pertanto, il metodo corretto è quello sub (a).</t>
  </si>
  <si>
    <t>7.15. Un overnight indexed swap (OIS), in cui si paga il tasso fisso del 3% annuo e si ricevono gli interessi calcolati capitalizzando giornalmente i tassi Sofr osservati durante ciascun periodo an-nuale, ha 3 anni di vita residua.</t>
  </si>
  <si>
    <t xml:space="preserve">I pagamenti vengono scambiati con frequenza annuale. Uno scambio di pagamenti è appena avvenuto. Gli OIS zero rates a 1, 2 e 3 anni sono pari, rispettivamente, al 2%, 3% e 4% annuo, con capitalizzazione annuale. </t>
  </si>
  <si>
    <t>Trascurando il rischio di credito e le regole di calcolo giorni, qual è il valore dello swap, in percentuale del capitale nozionale, per la parte che paga il fisso e riceve il variabile?</t>
  </si>
  <si>
    <t>7.17. Considerate un OIS basato sul Sofr, con pagamenti semestrali. Solo una delle seguenti affermazioni sul tasso variabile relativo a un certo semestre è corretta. Quale?</t>
  </si>
  <si>
    <t>(a) Si determina alla fine del semestre, sulla base dei tassi Sofr giornalieri osservati durante quel semestre.</t>
  </si>
  <si>
    <t>(b) Viene fissato all’inizio del semestre ed è pari al tasso Sofr overnight osservato in quel giorno.</t>
  </si>
  <si>
    <t>(c) Viene fissato al momento della negoziazione dello swap e rimane invariato per tutta la sua durata.</t>
  </si>
  <si>
    <t>(d) Si determina utilizzando i tassi Sofr giornalieri osservati nel semestre precedente.</t>
  </si>
  <si>
    <t xml:space="preserve">Il Sofr a 6 mesi viene calcolato capitalizzando giornalmente gli interessi in base ai tassi Sofr osservati durante il semestre di riferimento. </t>
  </si>
  <si>
    <t>È quindi noto solo quando sono stati osservati tutti i tassi giornalieri necessari per il calcolo, alla fine del semestre. Si tratta di un tasso «rivolto al passato» (backward looking), non di un tasso fissato all’inizio del periodo. Pertanto, la risposta corretta è quella sub (a).</t>
  </si>
  <si>
    <t>7.20. Considerate gli swaps indicizzati al Libor prima della sua cessazione. Quale delle seguenti frasi descrive meglio il tasso swap a 5 anni?</t>
  </si>
  <si>
    <t xml:space="preserve">Nell’interpretazione del tasso swap basata sul Libor, si considera una successione di prestiti a breve termine a soggetti che, all’inizio di ciascun prestito, hanno rating AA. </t>
  </si>
  <si>
    <t>Il debitore può cambiare da un periodo all’altro, così da mantenere invariato il merito di credito iniziale dei nuovi prestiti. In questo senso, il tasso è «continuamente aggiornato» (continually refreshed). La risposta corretta è quella sub (c).</t>
  </si>
  <si>
    <t>10.13. Solo una delle seguenti affermazioni sulle scadenze delle opzioni su azioni negoziate negli Stati Uniti è corretta. Quale?</t>
  </si>
  <si>
    <t>(a) Le opzioni su azioni hanno soltanto scadenze mensili.</t>
  </si>
  <si>
    <t>(b) Le Weeklys offrono scadenze settimanali, in aggiunta a quelle mensili standard.</t>
  </si>
  <si>
    <t>(c) Le LEAPS sono opzioni con scadenza non superiore a una settimana.</t>
  </si>
  <si>
    <t>(d) Le opzioni mensili standard scadono il primo giorno del mese.</t>
  </si>
  <si>
    <t>Oltre alle opzioni mensili standard, che scadono di regola il terzo venerdì del mese, vengono negoziate opzioni a breve termine con scadenze settimanali, dette Weeklys. Le LEAPS sono invece opzioni a più lungo termine. Pertanto, la risposta corretta è quella sub (b).</t>
  </si>
  <si>
    <t xml:space="preserve">18.20. Una call europea e una put europea, scritte sulla stessa attività, con prezzo d’esercizio di $20 e scadenza tra 1 anno, valgono rispettivamente $3 e $4. Il tasso d’interesse privo di rischio è pari al 5% annuo, composto continuamente. </t>
  </si>
  <si>
    <t>Se non ci sono opportunità di arbitraggio, qual è il prezzo futures a 1 anno dell’attività?</t>
  </si>
  <si>
    <t xml:space="preserve">I pagamenti vengono scambiati con frequenza semestrale. L’ultimo scambio è avvenuto 3 mesi fa e i prossimi avverranno tra 3 e 9 mesi. </t>
  </si>
  <si>
    <t>Il prezzo futures corrente è pari a $60. Ci sarà quindi la possibilità di prelevare $2.000 dal deposito di garanzia se il prezzo futures raggiunge i $62.</t>
  </si>
  <si>
    <t>Il costo post-copertura può anche essere calcolato come somma tra il prezzo futures del 1° marzo ($59) e la base del 1° giugno ($0,50)</t>
  </si>
  <si>
    <t xml:space="preserve">3.6. Una società ha un portafoglio del valore di $36 milioni con un beta di 1,2. Il prezzo futures dell’indice di mercato è $900. In borsa vengono negoziati futures scritti su 250 volte il prezzo spot dell’indice. </t>
  </si>
  <si>
    <t xml:space="preserve">3.7. Una società ha un portafoglio del valore di $36 milioni con un beta di 1,2. Il prezzo futures dell’indice di mercato è $900. In borsa vengono negoziati futures scritti su 250 volte il prezzo spot dell’indice. </t>
  </si>
  <si>
    <t>4.6. Lo zero rate a 6 mesi è pari all’8% annuo (composto semestralmente). Il prezzo di un coupon bond con scadenza tra 1 anno, valore nominale di $100 e tasso cedolare annuo del 6%, pagabile semestralmente, è di $97.</t>
  </si>
  <si>
    <t>4.7. La curva degli OIS zero rates è piatta al livello del 6% annuo.</t>
  </si>
  <si>
    <t>Qual è il valore corrente di un one-period OIS in cui si riceve il tasso fisso dell’8% annuo e si paga il tasso di riferimento overnight composto, su un capitale di $1.000, per il semestre che inizierà tra 2 anni? Il pagamento netto avverrà alla fine del semestre. Tutti i tassi sono composti semestralmente.</t>
  </si>
  <si>
    <t>Il valore corrente del one-period OIS è pari a $8,63.</t>
  </si>
  <si>
    <t>4.13. Prima della cessazione del Libor, solo una delle seguenti affermazioni era corretta. Quale?</t>
  </si>
  <si>
    <t>(a) Il Libor era un tasso d’interesse privo del rischio di credito.</t>
  </si>
  <si>
    <t>(b) A parità di scadenza, il Libor era più basso del corrispondente tasso sui Treasuries,</t>
  </si>
  <si>
    <t>(c) Era un tasso utilizzato per i finanziamenti tra banche.</t>
  </si>
  <si>
    <t>(d) Negli Stati Uniti, godeva di un trattamento fiscale favorevole.</t>
  </si>
  <si>
    <t>Il Libor era un tasso utilizzato per i finanziamenti interbancari.</t>
  </si>
  <si>
    <t>6.5. Il futures su T-bond è disegnato in modo da assegnare alla parte con la posizione corta diverse opzioni. Una sola delle seguenti opzioni non è prevista. Quale?</t>
  </si>
  <si>
    <t>6.6. Un trader assume una posizione lunga sul futures sul Sofr a 3 mesi. Quanto guadagna se il prezzo futures quotato aumenta di 6 punti base?</t>
  </si>
  <si>
    <t>6.18. Un trader utilizza il futures sul Sofr a 3 mesi per bloccare − per un semestre − il tasso d’interesse su $5 milioni. Quanti contratti sono necessari?</t>
  </si>
  <si>
    <t>Ogni futures sul Sofr a 3 mesi consente di bloccare il tasso futures su $1 milione per 3 mesi.</t>
  </si>
  <si>
    <t>In prima approssimazione, la sensitività di uno strumento a 6 mesi rispetto ai movimenti dei tassi d’interesse è doppia rispetto alla sensitività di uno strumento a 3 mesi perché la sua duration è pari al doppio. Pertanto, sono necessari 5 contratti per ciascuno dei due trimestri, ossia 10 contratti complessivamente.</t>
  </si>
  <si>
    <t>6.19. Negli Stati Uniti, qual è la scadenza più lunga dei futures sul Sofr a 3 mesi?</t>
  </si>
  <si>
    <t>I futures sul Sofr a 3 mesi hanno scadenze fino a 10 anni.</t>
  </si>
  <si>
    <t>7.1. Una società può investire fondi per 5 anni al Sofr a 3 mesi – 30 p.b. Il tasso swap a 5 anni è pari al 3%.  Se utilizza lo swap, qual è il tasso fisso che la società riesce a realizzare?</t>
  </si>
  <si>
    <t>La società riceve il Sofr a 3 mesi – 30 p.b. ed entra in uno swap in cui paga il Sofr a 3 mesi e riceve il 3%. Il flusso netto annuo che riceve è pari al 2,7%:</t>
  </si>
  <si>
    <t>Sofr a 3 mesi</t>
  </si>
  <si>
    <t>(a) Il tasso fisso che un market maker è pronto a pagare in cambio del Sofr a 3 mesi in uno swap a 5 anni.</t>
  </si>
  <si>
    <t>(b) Il tasso fisso che un market maker è pronto a ricevere in cambio del Sofr a 3 mesi in uno swap a 5 anni.</t>
  </si>
  <si>
    <t>7.6. Prima della cessazione del Libor, quale delle seguenti affermazioni era in genere corretta?</t>
  </si>
  <si>
    <t>(a) I tassi OIS erano più bassi dei corrispondenti tassi Libor.</t>
  </si>
  <si>
    <t>(b) I tassi OIS erano più elevati dei corrispondenti tassi Libor.</t>
  </si>
  <si>
    <t>(c) I tassi OIS erano a volte più bassi e a volte più elevati dei corrispondenti tassi Libor.</t>
  </si>
  <si>
    <t>(d) I tassi OIS erano uguali ai tassi Libor a 1 giorno.</t>
  </si>
  <si>
    <t>I tassi OIS erano più bassi dei corrispondenti tassi Libor. Erano “più vicini ai tassi d’interesse privi di rischio”.</t>
  </si>
  <si>
    <t>7.12. Una società entra in un interest rate swap in cui paga il fisso e riceve il Sofr a 3 mesi. Successivamente, i tassi d’interesse crescono. Solo una delle seguenti affermazioni è corretta. Quale?</t>
  </si>
  <si>
    <t>Se i tassi d’interesse aumentano, ci si aspetta che i tassi Sofr a 3 mesi siano più elevati, per cui il valore dello swap per la società aumenta.</t>
  </si>
  <si>
    <t>(d) Un contratto in cui si scambiano, tra 3 mesi, gli interessi calcolati in base a un tasso fisso con quelli ottenuti capitalizzando giornalmente gli interessi ai tassi overnight osservati durante i 3 mesi.</t>
  </si>
  <si>
    <t>L’overnight indexed swap a 3 mesi è un contratto in cui si scambiano, tra 3 mesi, gli interessi calcolati in base a un tasso fisso con quelli ottenuti capitalizzando giornalmente gli interessi ai tassi overnight osservati durante i 3 mesi.</t>
  </si>
  <si>
    <t>9.19. Prima della cessazione del Libor, quale delle seguenti affermazioni era in genere corretta?</t>
  </si>
  <si>
    <t>(a) I tassi OIS erano più bassi dei corrispondenti tassi Libor/swap.</t>
  </si>
  <si>
    <t>(b) I tassi OIS erano più elevati dei corrispondenti tassi Libor/swap.</t>
  </si>
  <si>
    <t>(c) I tassi OIS erano a volte più bassi e a volte più elevati dei corrispondenti tassi Libor/swap.</t>
  </si>
  <si>
    <t>I tassi OIS erano più bassi dei corrispondenti tassi Libor/swap quando entrambi avevano la stessa scadenza.</t>
  </si>
  <si>
    <t xml:space="preserve">Nei casi sub (a), (c) e (d), i profitti conseguiti sull’attività devono essere riconosciuti ai fini fiscali. Il proprietario non può differire il riconoscimento dei profitti attraverso le operazioni indicate. </t>
  </si>
  <si>
    <t xml:space="preserve">Il valore delle calls aumenta, mentre il valore delle puts diminuisce. Come viene spiegato nel testo, se i tassi d’interesse aumentano, tendono ad aumentare anche i tassi di crescita attesi dei prezzi delle azioni e i tassi di attualizzazione. </t>
  </si>
  <si>
    <t xml:space="preserve">Pertanto, il valore delle puts diminuisce, perché le puts vengono colpite sia dall’aumento del tasso di crescita atteso delle azioni sia dall’aumento dei tassi di attualizzazione. </t>
  </si>
  <si>
    <t xml:space="preserve">Nel caso delle calls, l’effetto positivo dovuto all’aumento del tasso di crescita atteso delle azioni prevale sull’effetto negativo dovuto all’aumento dei tassi di attualizzazione. Pertanto, il valore delle calls aumenta. </t>
  </si>
  <si>
    <t>(c) È necessario conoscere la differenza tra il tasso d’interesse interno e quello estero, ma non i livelli correnti di ognuno dei due tassi.</t>
  </si>
  <si>
    <t>Le futures-style options vengono liquidate giornalmente. Le opzioni ordinarie non vengono liquidate giornalmente.</t>
  </si>
  <si>
    <t>Il trader copre l’opzione quando il tasso di cambio è di $0,7005 e chiude la copertura, tornando a una posizione scoperta, quando il tasso di cambio è di $0,6995. Il valore dell’opzione è di $0,1. Solo una delle seguenti affermazioni non è corretta. Quale?</t>
  </si>
  <si>
    <t>(c) Il valore attuale dei profitti e delle perdite sulle compravendite dovrebbe essere all’incirca pari – in media – a $0,1 per ogni call venduta.</t>
  </si>
  <si>
    <t xml:space="preserve">Come si è visto nella risposta al test precedente, il VaR al 99% è pari a $0,14 milioni. Se la perdita è maggiore di $0,14 milioni, è ugualmente probabile che sia compresa tra $0,14 e $0,15 milioni. </t>
  </si>
  <si>
    <t>Pertanto, il valore atteso della perdita, condizionato dal fatto che la perdita sia maggiore di $0,14 milioni, è pari a $0,145 milioni. Questa è l’expected shortfall al 99%.</t>
  </si>
  <si>
    <t>22.15. Considerate un portafoglio di opzioni scritte su una stessa azione. Il portafoglio ha un delta di 12. Il prezzo dell’azione è di $10.</t>
  </si>
  <si>
    <t xml:space="preserve">22.16. Considerate un portafoglio di opzioni scritte su una stessa azione. Il portafoglio ha un delta di 0 e un gamma di 4/$1. Il prezzo dell’azione è di $10. </t>
  </si>
  <si>
    <t>La probabilità che la società non risulti insolvente nei primi 3 anni è pari al 90% (= 100% − 10%). Pertanto, la probabilità d’insolvenza nel 4° anno, condizionata dalla non insolvenza negli anni precedenti, è pari al 5%.</t>
  </si>
  <si>
    <t>24.9. Considerate gli asset swaps indicizzati al Libor prima della sua cessazione. Quale delle seguenti affermazioni era corretta?</t>
  </si>
  <si>
    <t>(a) L’asset swap spread misurava la differenza tra il bond yield e l’OIS rate.</t>
  </si>
  <si>
    <t>(b) L’asset swap spread misurava la differenza tra il bond yield e il Libor/swap rate.</t>
  </si>
  <si>
    <t>(d) Nessuna delle precedenti affermazioni era corretta.</t>
  </si>
  <si>
    <t>L’asset swap spread misurava la differenza tra il bond yield e il Libor/swap rate. Negli asset swaps si scambiava il tasso di rendimento ex ante dell’asset con il Libor maggiorato di uno spread.</t>
  </si>
  <si>
    <t>25.8. Come si chiamano i CDSs che offrono un payoff a ogni insolvenza di una delle reference entities?</t>
  </si>
  <si>
    <t>Nei total return swaps, il tasso di rendimento complessivo ex post su una certa attività (non quello promesso ex ante) viene scambiato con il tasso di riferimento overnight maggiorato di uno spread.</t>
  </si>
  <si>
    <t>25.16. Considerate un trader che compra protezione su una certa tranche di una CDO, il cui spread è pari a 55 punti base. La cedola fissa è pari a 60 punti base. Solo una delle seguenti affermazioni è corretta. Quale?</t>
  </si>
  <si>
    <t>Il valore delle stock options che erano at the money nel momento dell’assegnazione doveva essere riportato nelle note integrative dei bilanci. Non era richiesto che venissero spesate nel conto economico.</t>
  </si>
  <si>
    <t>Le stock options tendono ad accorciare l’orizzonte temporale dei managers. Le risposte sub (a), (b) e (d) sono corrette: i managers vogliono assegnare le stock options quando i prezzi sono bassi ed esercitarle quando i prezzi sono alti.</t>
  </si>
  <si>
    <t>(c) Negli asset swaps si scambiava il tasso di rendimento ex post dell’asset con il Libor maggiorato di uno spread.</t>
  </si>
  <si>
    <t>(a) Nei total return swaps, il tasso di rendimento complessivo ex post su una certa attività viene scambiato con il tasso di riferimento overnight maggiorato di uno spread.</t>
  </si>
  <si>
    <t>(b) Nei total return swaps, il tasso di rendimento complessivo ex ante su una certa attività viene scambiato con il tasso di riferimento overnight maggiorato di uno spread.</t>
  </si>
  <si>
    <t>(c) Nei total return swaps, il tasso di rendimento ex post su una certa attività, limitatamente alla quota rappresentata da capital gains/losses, viene scambiato con il tasso di riferimento overnight maggiorato di uno spread.</t>
  </si>
  <si>
    <t>(d) Nei total return swaps, il tasso di rendimento ex post su una certa attività, limitatamente alla quota rappresentata dal reddito distribuito, viene scambiato con il tasso di riferimento overnight maggiorato di uno spread.</t>
  </si>
  <si>
    <r>
      <t xml:space="preserve">(a) Le opzioni asiatiche sono opzioni il cui </t>
    </r>
    <r>
      <rPr>
        <i/>
        <sz val="10.5"/>
        <rFont val="Times New Roman"/>
        <family val="1"/>
      </rPr>
      <t>payoff</t>
    </r>
    <r>
      <rPr>
        <sz val="10.5"/>
        <rFont val="Times New Roman"/>
        <family val="1"/>
      </rPr>
      <t xml:space="preserve"> dipende dal fatto che una certa barriera venga attraversata oppure no.</t>
    </r>
  </si>
  <si>
    <r>
      <t xml:space="preserve">(b) Le opzioni asiatiche sono opzioni il cui </t>
    </r>
    <r>
      <rPr>
        <i/>
        <sz val="10.5"/>
        <rFont val="Times New Roman"/>
        <family val="1"/>
      </rPr>
      <t>payoff</t>
    </r>
    <r>
      <rPr>
        <sz val="10.5"/>
        <rFont val="Times New Roman"/>
        <family val="1"/>
      </rPr>
      <t xml:space="preserve"> dipende dal valore medio di una variabile, osservata in un certo intervallo di tempo.</t>
    </r>
  </si>
  <si>
    <r>
      <t xml:space="preserve">(d) Le opzioni asiatiche sono opzioni con </t>
    </r>
    <r>
      <rPr>
        <i/>
        <sz val="10.5"/>
        <rFont val="Times New Roman"/>
        <family val="1"/>
      </rPr>
      <t>payoff</t>
    </r>
    <r>
      <rPr>
        <sz val="10.5"/>
        <rFont val="Times New Roman"/>
        <family val="1"/>
      </rPr>
      <t xml:space="preserve"> fuori standard.</t>
    </r>
  </si>
  <si>
    <r>
      <t>S</t>
    </r>
    <r>
      <rPr>
        <i/>
        <vertAlign val="subscript"/>
        <sz val="10.5"/>
        <rFont val="Times New Roman"/>
        <family val="1"/>
      </rPr>
      <t>τ</t>
    </r>
  </si>
  <si>
    <r>
      <t>S</t>
    </r>
    <r>
      <rPr>
        <i/>
        <vertAlign val="subscript"/>
        <sz val="10.5"/>
        <rFont val="Times New Roman"/>
        <family val="1"/>
      </rPr>
      <t>T</t>
    </r>
  </si>
  <si>
    <r>
      <t>max(</t>
    </r>
    <r>
      <rPr>
        <i/>
        <sz val="10.5"/>
        <rFont val="Times New Roman"/>
        <family val="1"/>
      </rPr>
      <t>S</t>
    </r>
    <r>
      <rPr>
        <vertAlign val="subscript"/>
        <sz val="10.5"/>
        <rFont val="Times New Roman"/>
        <family val="1"/>
      </rPr>
      <t>τ</t>
    </r>
    <r>
      <rPr>
        <sz val="10.5"/>
        <rFont val="Times New Roman"/>
        <family val="1"/>
      </rPr>
      <t xml:space="preserve"> – </t>
    </r>
    <r>
      <rPr>
        <i/>
        <sz val="10.5"/>
        <rFont val="Times New Roman"/>
        <family val="1"/>
      </rPr>
      <t>K</t>
    </r>
    <r>
      <rPr>
        <sz val="10.5"/>
        <rFont val="Times New Roman"/>
        <family val="1"/>
      </rPr>
      <t xml:space="preserve">, </t>
    </r>
    <r>
      <rPr>
        <i/>
        <sz val="10.5"/>
        <rFont val="Times New Roman"/>
        <family val="1"/>
      </rPr>
      <t>S</t>
    </r>
    <r>
      <rPr>
        <i/>
        <vertAlign val="subscript"/>
        <sz val="10.5"/>
        <rFont val="Times New Roman"/>
        <family val="1"/>
      </rPr>
      <t>T</t>
    </r>
    <r>
      <rPr>
        <sz val="10.5"/>
        <rFont val="Times New Roman"/>
        <family val="1"/>
      </rPr>
      <t xml:space="preserve"> –</t>
    </r>
    <r>
      <rPr>
        <i/>
        <sz val="10.5"/>
        <rFont val="Times New Roman"/>
        <family val="1"/>
      </rPr>
      <t xml:space="preserve"> K</t>
    </r>
    <r>
      <rPr>
        <sz val="10.5"/>
        <rFont val="Times New Roman"/>
        <family val="1"/>
      </rPr>
      <t>)</t>
    </r>
  </si>
  <si>
    <r>
      <t xml:space="preserve">(a) </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S</t>
    </r>
    <r>
      <rPr>
        <i/>
        <vertAlign val="subscript"/>
        <sz val="10.5"/>
        <rFont val="Times New Roman"/>
        <family val="1"/>
      </rPr>
      <t>min</t>
    </r>
  </si>
  <si>
    <r>
      <t xml:space="preserve">(b) </t>
    </r>
    <r>
      <rPr>
        <i/>
        <sz val="10.5"/>
        <rFont val="Times New Roman"/>
        <family val="1"/>
      </rPr>
      <t>S</t>
    </r>
    <r>
      <rPr>
        <i/>
        <vertAlign val="subscript"/>
        <sz val="10.5"/>
        <rFont val="Times New Roman"/>
        <family val="1"/>
      </rPr>
      <t>max</t>
    </r>
    <r>
      <rPr>
        <sz val="10.5"/>
        <rFont val="Times New Roman"/>
        <family val="1"/>
      </rPr>
      <t xml:space="preserve"> – </t>
    </r>
    <r>
      <rPr>
        <i/>
        <sz val="10.5"/>
        <rFont val="Times New Roman"/>
        <family val="1"/>
      </rPr>
      <t>S</t>
    </r>
    <r>
      <rPr>
        <i/>
        <vertAlign val="subscript"/>
        <sz val="10.5"/>
        <rFont val="Times New Roman"/>
        <family val="1"/>
      </rPr>
      <t>T</t>
    </r>
  </si>
  <si>
    <r>
      <t>(c) max(</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min</t>
    </r>
    <r>
      <rPr>
        <sz val="10.5"/>
        <rFont val="Times New Roman"/>
        <family val="1"/>
      </rPr>
      <t>, 0)</t>
    </r>
  </si>
  <si>
    <r>
      <t>(d) max(</t>
    </r>
    <r>
      <rPr>
        <i/>
        <sz val="10.5"/>
        <rFont val="Times New Roman"/>
        <family val="1"/>
      </rPr>
      <t>S</t>
    </r>
    <r>
      <rPr>
        <i/>
        <vertAlign val="subscript"/>
        <sz val="10.5"/>
        <rFont val="Times New Roman"/>
        <family val="1"/>
      </rPr>
      <t>max</t>
    </r>
    <r>
      <rPr>
        <sz val="10.5"/>
        <rFont val="Times New Roman"/>
        <family val="1"/>
      </rPr>
      <t xml:space="preserve"> – </t>
    </r>
    <r>
      <rPr>
        <i/>
        <sz val="10.5"/>
        <rFont val="Times New Roman"/>
        <family val="1"/>
      </rPr>
      <t>K</t>
    </r>
    <r>
      <rPr>
        <sz val="10.5"/>
        <rFont val="Times New Roman"/>
        <family val="1"/>
      </rPr>
      <t>, 0)</t>
    </r>
  </si>
  <si>
    <r>
      <t xml:space="preserve">Il payoff di una </t>
    </r>
    <r>
      <rPr>
        <i/>
        <sz val="10.5"/>
        <rFont val="Times New Roman"/>
        <family val="1"/>
      </rPr>
      <t>floating lookback call</t>
    </r>
    <r>
      <rPr>
        <sz val="10.5"/>
        <rFont val="Times New Roman"/>
        <family val="1"/>
      </rPr>
      <t xml:space="preserve"> è pari a S</t>
    </r>
    <r>
      <rPr>
        <vertAlign val="subscript"/>
        <sz val="10.5"/>
        <rFont val="Times New Roman"/>
        <family val="1"/>
      </rPr>
      <t>T</t>
    </r>
    <r>
      <rPr>
        <sz val="10.5"/>
        <rFont val="Times New Roman"/>
        <family val="1"/>
      </rPr>
      <t xml:space="preserve"> </t>
    </r>
    <r>
      <rPr>
        <sz val="10.5"/>
        <rFont val="Times New Roman"/>
        <family val="1"/>
      </rPr>
      <t>−</t>
    </r>
    <r>
      <rPr>
        <sz val="10.5"/>
        <rFont val="Times New Roman"/>
        <family val="1"/>
      </rPr>
      <t xml:space="preserve"> </t>
    </r>
    <r>
      <rPr>
        <i/>
        <sz val="10.5"/>
        <rFont val="Times New Roman"/>
        <family val="1"/>
      </rPr>
      <t>S</t>
    </r>
    <r>
      <rPr>
        <i/>
        <vertAlign val="subscript"/>
        <sz val="10.5"/>
        <rFont val="Times New Roman"/>
        <family val="1"/>
      </rPr>
      <t>min</t>
    </r>
    <r>
      <rPr>
        <sz val="10.5"/>
        <rFont val="Times New Roman"/>
        <family val="1"/>
      </rPr>
      <t>.</t>
    </r>
  </si>
  <si>
    <r>
      <t>Il payoff di una fixed lookback put è pari a max(</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min</t>
    </r>
    <r>
      <rPr>
        <i/>
        <sz val="10.5"/>
        <rFont val="Times New Roman"/>
        <family val="1"/>
      </rPr>
      <t>,</t>
    </r>
    <r>
      <rPr>
        <sz val="10.5"/>
        <rFont val="Times New Roman"/>
        <family val="1"/>
      </rPr>
      <t xml:space="preserve"> 0).</t>
    </r>
  </si>
  <si>
    <r>
      <t xml:space="preserve">Una call europea lunga equivale a una asset-or-nothing call lunga [che vale </t>
    </r>
    <r>
      <rPr>
        <i/>
        <sz val="10.5"/>
        <rFont val="Times New Roman"/>
        <family val="1"/>
      </rPr>
      <t>S</t>
    </r>
    <r>
      <rPr>
        <vertAlign val="subscript"/>
        <sz val="10.5"/>
        <rFont val="Times New Roman"/>
        <family val="1"/>
      </rPr>
      <t>0</t>
    </r>
    <r>
      <rPr>
        <sz val="10.5"/>
        <rFont val="Times New Roman"/>
        <family val="1"/>
      </rPr>
      <t xml:space="preserve">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più una cash-or-nothing call corta [che vale –</t>
    </r>
    <r>
      <rPr>
        <i/>
        <sz val="10.5"/>
        <rFont val="Times New Roman"/>
        <family val="1"/>
      </rPr>
      <t>Ke</t>
    </r>
    <r>
      <rPr>
        <i/>
        <vertAlign val="superscript"/>
        <sz val="10.5"/>
        <rFont val="Times New Roman"/>
        <family val="1"/>
      </rPr>
      <t>-rT</t>
    </r>
    <r>
      <rPr>
        <i/>
        <sz val="10.5"/>
        <rFont val="Times New Roman"/>
        <family val="1"/>
      </rPr>
      <t>N</t>
    </r>
    <r>
      <rPr>
        <sz val="10.5"/>
        <rFont val="Times New Roman"/>
        <family val="1"/>
      </rPr>
      <t>(</t>
    </r>
    <r>
      <rPr>
        <i/>
        <sz val="10.5"/>
        <rFont val="Times New Roman"/>
        <family val="1"/>
      </rPr>
      <t>d</t>
    </r>
    <r>
      <rPr>
        <vertAlign val="subscript"/>
        <sz val="10.5"/>
        <rFont val="Times New Roman"/>
        <family val="1"/>
      </rPr>
      <t>2</t>
    </r>
    <r>
      <rPr>
        <sz val="10.5"/>
        <rFont val="Times New Roman"/>
        <family val="1"/>
      </rPr>
      <t>)].</t>
    </r>
  </si>
  <si>
    <r>
      <t>Una put europea corta equivale a una cash-or-nothing put corta [che vale –</t>
    </r>
    <r>
      <rPr>
        <i/>
        <sz val="10.5"/>
        <rFont val="Times New Roman"/>
        <family val="1"/>
      </rPr>
      <t>Ke</t>
    </r>
    <r>
      <rPr>
        <i/>
        <vertAlign val="superscript"/>
        <sz val="10.5"/>
        <rFont val="Times New Roman"/>
        <family val="1"/>
      </rPr>
      <t>-rT</t>
    </r>
    <r>
      <rPr>
        <i/>
        <sz val="10.5"/>
        <rFont val="Times New Roman"/>
        <family val="1"/>
      </rPr>
      <t>N</t>
    </r>
    <r>
      <rPr>
        <sz val="10.5"/>
        <rFont val="Times New Roman"/>
        <family val="1"/>
      </rPr>
      <t>(−</t>
    </r>
    <r>
      <rPr>
        <i/>
        <sz val="10.5"/>
        <rFont val="Times New Roman"/>
        <family val="1"/>
      </rPr>
      <t>d</t>
    </r>
    <r>
      <rPr>
        <vertAlign val="subscript"/>
        <sz val="10.5"/>
        <rFont val="Times New Roman"/>
        <family val="1"/>
      </rPr>
      <t>2</t>
    </r>
    <r>
      <rPr>
        <sz val="10.5"/>
        <rFont val="Times New Roman"/>
        <family val="1"/>
      </rPr>
      <t xml:space="preserve">)] più una asset-or-nothing put lunga [che vale </t>
    </r>
    <r>
      <rPr>
        <i/>
        <sz val="10.5"/>
        <rFont val="Times New Roman"/>
        <family val="1"/>
      </rPr>
      <t>S</t>
    </r>
    <r>
      <rPr>
        <vertAlign val="subscript"/>
        <sz val="10.5"/>
        <rFont val="Times New Roman"/>
        <family val="1"/>
      </rPr>
      <t>0</t>
    </r>
    <r>
      <rPr>
        <sz val="10.5"/>
        <rFont val="Times New Roman"/>
        <family val="1"/>
      </rPr>
      <t xml:space="preserve">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t>
    </r>
  </si>
  <si>
    <r>
      <t xml:space="preserve">(a) $99,25 × </t>
    </r>
    <r>
      <rPr>
        <i/>
        <sz val="10.5"/>
        <rFont val="Times New Roman"/>
        <family val="1"/>
      </rPr>
      <t>N</t>
    </r>
    <r>
      <rPr>
        <sz val="10.5"/>
        <rFont val="Times New Roman"/>
        <family val="1"/>
      </rPr>
      <t>(−0,1375)</t>
    </r>
  </si>
  <si>
    <r>
      <t xml:space="preserve">(b) $99,25 × </t>
    </r>
    <r>
      <rPr>
        <i/>
        <sz val="10.5"/>
        <rFont val="Times New Roman"/>
        <family val="1"/>
      </rPr>
      <t>N</t>
    </r>
    <r>
      <rPr>
        <sz val="10.5"/>
        <rFont val="Times New Roman"/>
        <family val="1"/>
      </rPr>
      <t>(0,1375)</t>
    </r>
  </si>
  <si>
    <r>
      <t xml:space="preserve">(c) $99,25 × </t>
    </r>
    <r>
      <rPr>
        <i/>
        <sz val="10.5"/>
        <rFont val="Times New Roman"/>
        <family val="1"/>
      </rPr>
      <t>N</t>
    </r>
    <r>
      <rPr>
        <sz val="10.5"/>
        <rFont val="Times New Roman"/>
        <family val="1"/>
      </rPr>
      <t>(−0,0625)</t>
    </r>
  </si>
  <si>
    <r>
      <t xml:space="preserve">(d) $99,25 × </t>
    </r>
    <r>
      <rPr>
        <i/>
        <sz val="10.5"/>
        <rFont val="Times New Roman"/>
        <family val="1"/>
      </rPr>
      <t>N</t>
    </r>
    <r>
      <rPr>
        <sz val="10.5"/>
        <rFont val="Times New Roman"/>
        <family val="1"/>
      </rPr>
      <t>(0,0625)</t>
    </r>
  </si>
  <si>
    <r>
      <t xml:space="preserve">Pertanto, il valore corrente della cash-or-nothing call è pari a $99,25 × </t>
    </r>
    <r>
      <rPr>
        <i/>
        <sz val="10.5"/>
        <rFont val="Times New Roman"/>
        <family val="1"/>
      </rPr>
      <t>N</t>
    </r>
    <r>
      <rPr>
        <sz val="10.5"/>
        <rFont val="Times New Roman"/>
        <family val="1"/>
      </rPr>
      <t>(−0,0625).</t>
    </r>
  </si>
  <si>
    <r>
      <t>S</t>
    </r>
    <r>
      <rPr>
        <vertAlign val="subscript"/>
        <sz val="10.5"/>
        <rFont val="Times New Roman"/>
        <family val="1"/>
      </rPr>
      <t>0</t>
    </r>
  </si>
  <si>
    <r>
      <t>Ke</t>
    </r>
    <r>
      <rPr>
        <i/>
        <vertAlign val="superscript"/>
        <sz val="10.5"/>
        <rFont val="Times New Roman"/>
        <family val="1"/>
      </rPr>
      <t>−rT</t>
    </r>
  </si>
  <si>
    <r>
      <t>d</t>
    </r>
    <r>
      <rPr>
        <vertAlign val="subscript"/>
        <sz val="10.5"/>
        <rFont val="Times New Roman"/>
        <family val="1"/>
      </rPr>
      <t>2</t>
    </r>
  </si>
  <si>
    <r>
      <t>Tutte le affermazioni sub (a), (b) e (c) sono corrette. Il payoff di una gap call è</t>
    </r>
    <r>
      <rPr>
        <i/>
        <sz val="10.5"/>
        <rFont val="Times New Roman"/>
        <family val="1"/>
      </rPr>
      <t xml:space="preserve"> 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xml:space="preserve"> con </t>
    </r>
    <r>
      <rPr>
        <i/>
        <sz val="10.5"/>
        <rFont val="Times New Roman"/>
        <family val="1"/>
      </rPr>
      <t>S</t>
    </r>
    <r>
      <rPr>
        <i/>
        <vertAlign val="subscript"/>
        <sz val="10.5"/>
        <rFont val="Times New Roman"/>
        <family val="1"/>
      </rPr>
      <t>T</t>
    </r>
    <r>
      <rPr>
        <sz val="10.5"/>
        <rFont val="Times New Roman"/>
        <family val="1"/>
      </rPr>
      <t xml:space="preserve"> &gt; </t>
    </r>
    <r>
      <rPr>
        <i/>
        <sz val="10.5"/>
        <rFont val="Times New Roman"/>
        <family val="1"/>
      </rPr>
      <t>H</t>
    </r>
    <r>
      <rPr>
        <sz val="10.5"/>
        <rFont val="Times New Roman"/>
        <family val="1"/>
      </rPr>
      <t xml:space="preserve">. Il payoff di una gap put è </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T</t>
    </r>
    <r>
      <rPr>
        <i/>
        <sz val="10.5"/>
        <rFont val="Times New Roman"/>
        <family val="1"/>
      </rPr>
      <t xml:space="preserve"> </t>
    </r>
    <r>
      <rPr>
        <sz val="10.5"/>
        <rFont val="Times New Roman"/>
        <family val="1"/>
      </rPr>
      <t xml:space="preserve">con </t>
    </r>
    <r>
      <rPr>
        <i/>
        <sz val="10.5"/>
        <rFont val="Times New Roman"/>
        <family val="1"/>
      </rPr>
      <t>S</t>
    </r>
    <r>
      <rPr>
        <i/>
        <vertAlign val="subscript"/>
        <sz val="10.5"/>
        <rFont val="Times New Roman"/>
        <family val="1"/>
      </rPr>
      <t>T</t>
    </r>
    <r>
      <rPr>
        <sz val="10.5"/>
        <rFont val="Times New Roman"/>
        <family val="1"/>
      </rPr>
      <t xml:space="preserve"> &lt; </t>
    </r>
    <r>
      <rPr>
        <i/>
        <sz val="10.5"/>
        <rFont val="Times New Roman"/>
        <family val="1"/>
      </rPr>
      <t>H</t>
    </r>
    <r>
      <rPr>
        <sz val="10.5"/>
        <rFont val="Times New Roman"/>
        <family val="1"/>
      </rPr>
      <t>.</t>
    </r>
  </si>
  <si>
    <r>
      <t>La replica statica delle opzioni consiste nel trovare un portafoglio che compensi le variazioni di valore delle opzioni americane in un «contorno» (boundary) dello spazio {</t>
    </r>
    <r>
      <rPr>
        <i/>
        <sz val="10.5"/>
        <rFont val="Times New Roman"/>
        <family val="1"/>
      </rPr>
      <t>S</t>
    </r>
    <r>
      <rPr>
        <sz val="10.5"/>
        <rFont val="Times New Roman"/>
        <family val="1"/>
      </rPr>
      <t xml:space="preserve">, </t>
    </r>
    <r>
      <rPr>
        <i/>
        <sz val="10.5"/>
        <rFont val="Times New Roman"/>
        <family val="1"/>
      </rPr>
      <t>t</t>
    </r>
    <r>
      <rPr>
        <sz val="10.5"/>
        <rFont val="Times New Roman"/>
        <family val="1"/>
      </rPr>
      <t xml:space="preserve">} che si è certi di raggiungere. </t>
    </r>
  </si>
  <si>
    <r>
      <t xml:space="preserve">(a) Il compratore del </t>
    </r>
    <r>
      <rPr>
        <i/>
        <sz val="10.5"/>
        <rFont val="Times New Roman"/>
        <family val="1"/>
      </rPr>
      <t>forward</t>
    </r>
    <r>
      <rPr>
        <sz val="10.5"/>
        <rFont val="Times New Roman"/>
        <family val="1"/>
      </rPr>
      <t xml:space="preserve"> riceve il </t>
    </r>
    <r>
      <rPr>
        <i/>
        <sz val="10.5"/>
        <rFont val="Times New Roman"/>
        <family val="1"/>
      </rPr>
      <t>payoff</t>
    </r>
    <r>
      <rPr>
        <sz val="10.5"/>
        <rFont val="Times New Roman"/>
        <family val="1"/>
      </rPr>
      <t xml:space="preserve"> del CDS nel momento in cui si verifica l’insolvenza.</t>
    </r>
  </si>
  <si>
    <r>
      <t xml:space="preserve">(b) Il compratore del </t>
    </r>
    <r>
      <rPr>
        <i/>
        <sz val="10.5"/>
        <rFont val="Times New Roman"/>
        <family val="1"/>
      </rPr>
      <t>forward</t>
    </r>
    <r>
      <rPr>
        <sz val="10.5"/>
        <rFont val="Times New Roman"/>
        <family val="1"/>
      </rPr>
      <t xml:space="preserve"> riceve il </t>
    </r>
    <r>
      <rPr>
        <i/>
        <sz val="10.5"/>
        <rFont val="Times New Roman"/>
        <family val="1"/>
      </rPr>
      <t>payoff</t>
    </r>
    <r>
      <rPr>
        <sz val="10.5"/>
        <rFont val="Times New Roman"/>
        <family val="1"/>
      </rPr>
      <t xml:space="preserve"> del CDS alla fine del 1° anno.</t>
    </r>
  </si>
  <si>
    <r>
      <t xml:space="preserve">(c) Il compratore del </t>
    </r>
    <r>
      <rPr>
        <i/>
        <sz val="10.5"/>
        <rFont val="Times New Roman"/>
        <family val="1"/>
      </rPr>
      <t>forward</t>
    </r>
    <r>
      <rPr>
        <sz val="10.5"/>
        <rFont val="Times New Roman"/>
        <family val="1"/>
      </rPr>
      <t xml:space="preserve"> riceve il </t>
    </r>
    <r>
      <rPr>
        <i/>
        <sz val="10.5"/>
        <rFont val="Times New Roman"/>
        <family val="1"/>
      </rPr>
      <t>payoff</t>
    </r>
    <r>
      <rPr>
        <sz val="10.5"/>
        <rFont val="Times New Roman"/>
        <family val="1"/>
      </rPr>
      <t xml:space="preserve"> del CDS alla fine del 6° anno.</t>
    </r>
  </si>
  <si>
    <r>
      <t xml:space="preserve">(d) Il contratto </t>
    </r>
    <r>
      <rPr>
        <i/>
        <sz val="10.5"/>
        <rFont val="Times New Roman"/>
        <family val="1"/>
      </rPr>
      <t>forward</t>
    </r>
    <r>
      <rPr>
        <sz val="10.5"/>
        <rFont val="Times New Roman"/>
        <family val="1"/>
      </rPr>
      <t xml:space="preserve"> cessa di esistere.</t>
    </r>
  </si>
  <si>
    <r>
      <t xml:space="preserve">(a) Aumenta il valore sia della </t>
    </r>
    <r>
      <rPr>
        <i/>
        <sz val="10.5"/>
        <rFont val="Times New Roman"/>
        <family val="1"/>
      </rPr>
      <t>senior tranche</t>
    </r>
    <r>
      <rPr>
        <sz val="10.5"/>
        <rFont val="Times New Roman"/>
        <family val="1"/>
      </rPr>
      <t xml:space="preserve"> sia dell’</t>
    </r>
    <r>
      <rPr>
        <i/>
        <sz val="10.5"/>
        <rFont val="Times New Roman"/>
        <family val="1"/>
      </rPr>
      <t>equity tranche</t>
    </r>
    <r>
      <rPr>
        <sz val="10.5"/>
        <rFont val="Times New Roman"/>
        <family val="1"/>
      </rPr>
      <t>.</t>
    </r>
  </si>
  <si>
    <r>
      <t xml:space="preserve">(b) Diminuisce il valore sia della </t>
    </r>
    <r>
      <rPr>
        <i/>
        <sz val="10.5"/>
        <rFont val="Times New Roman"/>
        <family val="1"/>
      </rPr>
      <t>senior tranche</t>
    </r>
    <r>
      <rPr>
        <sz val="10.5"/>
        <rFont val="Times New Roman"/>
        <family val="1"/>
      </rPr>
      <t xml:space="preserve"> sia dell’</t>
    </r>
    <r>
      <rPr>
        <i/>
        <sz val="10.5"/>
        <rFont val="Times New Roman"/>
        <family val="1"/>
      </rPr>
      <t>equity tranche</t>
    </r>
    <r>
      <rPr>
        <sz val="10.5"/>
        <rFont val="Times New Roman"/>
        <family val="1"/>
      </rPr>
      <t>.</t>
    </r>
  </si>
  <si>
    <r>
      <t xml:space="preserve">(c) Diminuisce il valore della </t>
    </r>
    <r>
      <rPr>
        <i/>
        <sz val="10.5"/>
        <rFont val="Times New Roman"/>
        <family val="1"/>
      </rPr>
      <t>senior tranche</t>
    </r>
    <r>
      <rPr>
        <sz val="10.5"/>
        <rFont val="Times New Roman"/>
        <family val="1"/>
      </rPr>
      <t xml:space="preserve"> e aumenta quello dell’</t>
    </r>
    <r>
      <rPr>
        <i/>
        <sz val="10.5"/>
        <rFont val="Times New Roman"/>
        <family val="1"/>
      </rPr>
      <t>equity tranche</t>
    </r>
    <r>
      <rPr>
        <sz val="10.5"/>
        <rFont val="Times New Roman"/>
        <family val="1"/>
      </rPr>
      <t>.</t>
    </r>
  </si>
  <si>
    <r>
      <t xml:space="preserve">(d) Aumenta il valore della </t>
    </r>
    <r>
      <rPr>
        <i/>
        <sz val="10.5"/>
        <rFont val="Times New Roman"/>
        <family val="1"/>
      </rPr>
      <t>senior tranche</t>
    </r>
    <r>
      <rPr>
        <sz val="10.5"/>
        <rFont val="Times New Roman"/>
        <family val="1"/>
      </rPr>
      <t xml:space="preserve"> e diminuisce quello dell’</t>
    </r>
    <r>
      <rPr>
        <i/>
        <sz val="10.5"/>
        <rFont val="Times New Roman"/>
        <family val="1"/>
      </rPr>
      <t>equity tranche</t>
    </r>
    <r>
      <rPr>
        <sz val="10.5"/>
        <rFont val="Times New Roman"/>
        <family val="1"/>
      </rPr>
      <t>.</t>
    </r>
  </si>
  <si>
    <r>
      <t xml:space="preserve">Aumenta il valore della protezione sulla </t>
    </r>
    <r>
      <rPr>
        <i/>
        <sz val="10.5"/>
        <rFont val="Times New Roman"/>
        <family val="1"/>
      </rPr>
      <t>senior tranche</t>
    </r>
    <r>
      <rPr>
        <sz val="10.5"/>
        <rFont val="Times New Roman"/>
        <family val="1"/>
      </rPr>
      <t xml:space="preserve"> e diminuisce quello della protezione sull’</t>
    </r>
    <r>
      <rPr>
        <i/>
        <sz val="10.5"/>
        <rFont val="Times New Roman"/>
        <family val="1"/>
      </rPr>
      <t>equity tranche</t>
    </r>
    <r>
      <rPr>
        <sz val="10.5"/>
        <rFont val="Times New Roman"/>
        <family val="1"/>
      </rPr>
      <t xml:space="preserve">. La perdita attesa complessiva delle </t>
    </r>
    <r>
      <rPr>
        <i/>
        <sz val="10.5"/>
        <rFont val="Times New Roman"/>
        <family val="1"/>
      </rPr>
      <t>tranches</t>
    </r>
    <r>
      <rPr>
        <sz val="10.5"/>
        <rFont val="Times New Roman"/>
        <family val="1"/>
      </rPr>
      <t xml:space="preserve"> resta inalterata.</t>
    </r>
  </si>
  <si>
    <r>
      <t xml:space="preserve">(d) </t>
    </r>
    <r>
      <rPr>
        <i/>
        <sz val="10.5"/>
        <rFont val="Times New Roman"/>
        <family val="1"/>
      </rPr>
      <t>n</t>
    </r>
    <r>
      <rPr>
        <sz val="10.5"/>
        <rFont val="Times New Roman"/>
        <family val="1"/>
      </rPr>
      <t>-to-default CDSs.</t>
    </r>
  </si>
  <si>
    <r>
      <t xml:space="preserve">Il payoff di un CDS ordinario è pari al prodotto tra il payoff del corrispondente binary CDS e (1 − </t>
    </r>
    <r>
      <rPr>
        <i/>
        <sz val="10.5"/>
        <rFont val="Times New Roman"/>
        <family val="1"/>
      </rPr>
      <t>R</t>
    </r>
    <r>
      <rPr>
        <sz val="10.5"/>
        <rFont val="Times New Roman"/>
        <family val="1"/>
      </rPr>
      <t xml:space="preserve">), dove </t>
    </r>
    <r>
      <rPr>
        <i/>
        <sz val="10.5"/>
        <rFont val="Times New Roman"/>
        <family val="1"/>
      </rPr>
      <t>R</t>
    </r>
    <r>
      <rPr>
        <sz val="10.5"/>
        <rFont val="Times New Roman"/>
        <family val="1"/>
      </rPr>
      <t xml:space="preserve"> è il recovery rate. Pertanto, nel nostro caso, il CDS spread del binary CDS è pari a 200 [= 120 / (1 − 0,4)] punti base.</t>
    </r>
  </si>
  <si>
    <r>
      <t>s</t>
    </r>
    <r>
      <rPr>
        <i/>
        <vertAlign val="subscript"/>
        <sz val="10.5"/>
        <rFont val="Times New Roman"/>
        <family val="1"/>
      </rPr>
      <t>b</t>
    </r>
  </si>
  <si>
    <r>
      <t xml:space="preserve">25.13. La CDS-bond basis è pari alla differenza tra </t>
    </r>
    <r>
      <rPr>
        <b/>
        <i/>
        <sz val="10.5"/>
        <rFont val="Times New Roman"/>
        <family val="1"/>
      </rPr>
      <t>X</t>
    </r>
    <r>
      <rPr>
        <b/>
        <sz val="10.5"/>
        <rFont val="Times New Roman"/>
        <family val="1"/>
      </rPr>
      <t xml:space="preserve"> e </t>
    </r>
    <r>
      <rPr>
        <b/>
        <i/>
        <sz val="10.5"/>
        <rFont val="Times New Roman"/>
        <family val="1"/>
      </rPr>
      <t>Y</t>
    </r>
    <r>
      <rPr>
        <b/>
        <sz val="10.5"/>
        <rFont val="Times New Roman"/>
        <family val="1"/>
      </rPr>
      <t xml:space="preserve">. Cosa sono </t>
    </r>
    <r>
      <rPr>
        <b/>
        <i/>
        <sz val="10.5"/>
        <rFont val="Times New Roman"/>
        <family val="1"/>
      </rPr>
      <t>X</t>
    </r>
    <r>
      <rPr>
        <b/>
        <sz val="10.5"/>
        <rFont val="Times New Roman"/>
        <family val="1"/>
      </rPr>
      <t xml:space="preserve"> e </t>
    </r>
    <r>
      <rPr>
        <b/>
        <i/>
        <sz val="10.5"/>
        <rFont val="Times New Roman"/>
        <family val="1"/>
      </rPr>
      <t>Y</t>
    </r>
    <r>
      <rPr>
        <b/>
        <sz val="10.5"/>
        <rFont val="Times New Roman"/>
        <family val="1"/>
      </rPr>
      <t>?</t>
    </r>
  </si>
  <si>
    <r>
      <t xml:space="preserve">(a) </t>
    </r>
    <r>
      <rPr>
        <i/>
        <sz val="10.5"/>
        <rFont val="Times New Roman"/>
        <family val="1"/>
      </rPr>
      <t>X</t>
    </r>
    <r>
      <rPr>
        <sz val="10.5"/>
        <rFont val="Times New Roman"/>
        <family val="1"/>
      </rPr>
      <t xml:space="preserve"> è il CDS spread, mentre </t>
    </r>
    <r>
      <rPr>
        <i/>
        <sz val="10.5"/>
        <rFont val="Times New Roman"/>
        <family val="1"/>
      </rPr>
      <t>Y</t>
    </r>
    <r>
      <rPr>
        <sz val="10.5"/>
        <rFont val="Times New Roman"/>
        <family val="1"/>
      </rPr>
      <t xml:space="preserve"> è la differenza tra il bond yield e lo swap rate.</t>
    </r>
  </si>
  <si>
    <r>
      <t xml:space="preserve">(b) </t>
    </r>
    <r>
      <rPr>
        <i/>
        <sz val="10.5"/>
        <rFont val="Times New Roman"/>
        <family val="1"/>
      </rPr>
      <t>X</t>
    </r>
    <r>
      <rPr>
        <sz val="10.5"/>
        <rFont val="Times New Roman"/>
        <family val="1"/>
      </rPr>
      <t xml:space="preserve"> è la differenza tra il bond yield e lo swap rate, mentre </t>
    </r>
    <r>
      <rPr>
        <i/>
        <sz val="10.5"/>
        <rFont val="Times New Roman"/>
        <family val="1"/>
      </rPr>
      <t>Y</t>
    </r>
    <r>
      <rPr>
        <sz val="10.5"/>
        <rFont val="Times New Roman"/>
        <family val="1"/>
      </rPr>
      <t xml:space="preserve"> è il CDS spread.</t>
    </r>
  </si>
  <si>
    <r>
      <t xml:space="preserve">(c) </t>
    </r>
    <r>
      <rPr>
        <i/>
        <sz val="10.5"/>
        <rFont val="Times New Roman"/>
        <family val="1"/>
      </rPr>
      <t>X</t>
    </r>
    <r>
      <rPr>
        <sz val="10.5"/>
        <rFont val="Times New Roman"/>
        <family val="1"/>
      </rPr>
      <t xml:space="preserve"> è il CDS spread, mentre</t>
    </r>
    <r>
      <rPr>
        <i/>
        <sz val="10.5"/>
        <rFont val="Times New Roman"/>
        <family val="1"/>
      </rPr>
      <t xml:space="preserve"> Y</t>
    </r>
    <r>
      <rPr>
        <sz val="10.5"/>
        <rFont val="Times New Roman"/>
        <family val="1"/>
      </rPr>
      <t xml:space="preserve"> è la differenza tra il bond yield e il Treasury rate.</t>
    </r>
  </si>
  <si>
    <r>
      <t xml:space="preserve">(d) </t>
    </r>
    <r>
      <rPr>
        <i/>
        <sz val="10.5"/>
        <rFont val="Times New Roman"/>
        <family val="1"/>
      </rPr>
      <t>X</t>
    </r>
    <r>
      <rPr>
        <sz val="10.5"/>
        <rFont val="Times New Roman"/>
        <family val="1"/>
      </rPr>
      <t xml:space="preserve"> è la differenza tra il bond yield e il Treasury rate, mentre </t>
    </r>
    <r>
      <rPr>
        <i/>
        <sz val="10.5"/>
        <rFont val="Times New Roman"/>
        <family val="1"/>
      </rPr>
      <t>Y</t>
    </r>
    <r>
      <rPr>
        <sz val="10.5"/>
        <rFont val="Times New Roman"/>
        <family val="1"/>
      </rPr>
      <t xml:space="preserve"> è il CDS spread.</t>
    </r>
  </si>
  <si>
    <r>
      <t xml:space="preserve">(a) C’è un </t>
    </r>
    <r>
      <rPr>
        <i/>
        <sz val="10.5"/>
        <rFont val="Times New Roman"/>
        <family val="1"/>
      </rPr>
      <t>payoff</t>
    </r>
    <r>
      <rPr>
        <sz val="10.5"/>
        <rFont val="Times New Roman"/>
        <family val="1"/>
      </rPr>
      <t xml:space="preserve"> solo quando si verifica la terza insolvenza.</t>
    </r>
  </si>
  <si>
    <r>
      <t xml:space="preserve">(b) C’è un </t>
    </r>
    <r>
      <rPr>
        <i/>
        <sz val="10.5"/>
        <rFont val="Times New Roman"/>
        <family val="1"/>
      </rPr>
      <t>payoff</t>
    </r>
    <r>
      <rPr>
        <sz val="10.5"/>
        <rFont val="Times New Roman"/>
        <family val="1"/>
      </rPr>
      <t xml:space="preserve"> solo quando falliscono la prima, la seconda e la terza delle 10 società sottostanti.</t>
    </r>
  </si>
  <si>
    <r>
      <t xml:space="preserve">(c) C’è un </t>
    </r>
    <r>
      <rPr>
        <i/>
        <sz val="10.5"/>
        <rFont val="Times New Roman"/>
        <family val="1"/>
      </rPr>
      <t>payoff</t>
    </r>
    <r>
      <rPr>
        <sz val="10.5"/>
        <rFont val="Times New Roman"/>
        <family val="1"/>
      </rPr>
      <t xml:space="preserve"> solo quando falliscono la terza, la quarta, la quinta, ..., la decima delle 10 società sottostanti.</t>
    </r>
  </si>
  <si>
    <r>
      <t>Q</t>
    </r>
    <r>
      <rPr>
        <vertAlign val="subscript"/>
        <sz val="10.5"/>
        <rFont val="Times New Roman"/>
        <family val="1"/>
      </rPr>
      <t>1</t>
    </r>
  </si>
  <si>
    <r>
      <t>q</t>
    </r>
    <r>
      <rPr>
        <vertAlign val="subscript"/>
        <sz val="10.5"/>
        <rFont val="Times New Roman"/>
        <family val="1"/>
      </rPr>
      <t>1</t>
    </r>
  </si>
  <si>
    <r>
      <t>S</t>
    </r>
    <r>
      <rPr>
        <vertAlign val="subscript"/>
        <sz val="10.5"/>
        <rFont val="Times New Roman"/>
        <family val="1"/>
      </rPr>
      <t>1</t>
    </r>
  </si>
  <si>
    <r>
      <t>λ</t>
    </r>
    <r>
      <rPr>
        <vertAlign val="subscript"/>
        <sz val="10.5"/>
        <rFont val="Times New Roman"/>
        <family val="1"/>
      </rPr>
      <t>1</t>
    </r>
  </si>
  <si>
    <r>
      <t>Q</t>
    </r>
    <r>
      <rPr>
        <vertAlign val="subscript"/>
        <sz val="10.5"/>
        <rFont val="Times New Roman"/>
        <family val="1"/>
      </rPr>
      <t>2</t>
    </r>
    <r>
      <rPr>
        <sz val="10.5"/>
        <rFont val="Times New Roman"/>
        <family val="1"/>
      </rPr>
      <t/>
    </r>
  </si>
  <si>
    <r>
      <t>q</t>
    </r>
    <r>
      <rPr>
        <vertAlign val="subscript"/>
        <sz val="10.5"/>
        <rFont val="Times New Roman"/>
        <family val="1"/>
      </rPr>
      <t>2</t>
    </r>
    <r>
      <rPr>
        <sz val="10.5"/>
        <rFont val="Times New Roman"/>
        <family val="1"/>
      </rPr>
      <t/>
    </r>
  </si>
  <si>
    <r>
      <t>S</t>
    </r>
    <r>
      <rPr>
        <vertAlign val="subscript"/>
        <sz val="10.5"/>
        <rFont val="Times New Roman"/>
        <family val="1"/>
      </rPr>
      <t>2</t>
    </r>
    <r>
      <rPr>
        <sz val="10.5"/>
        <rFont val="Times New Roman"/>
        <family val="1"/>
      </rPr>
      <t/>
    </r>
  </si>
  <si>
    <r>
      <t>λ</t>
    </r>
    <r>
      <rPr>
        <vertAlign val="subscript"/>
        <sz val="10.5"/>
        <rFont val="Times New Roman"/>
        <family val="1"/>
      </rPr>
      <t>2</t>
    </r>
    <r>
      <rPr>
        <sz val="10.5"/>
        <rFont val="Times New Roman"/>
        <family val="1"/>
      </rPr>
      <t/>
    </r>
  </si>
  <si>
    <r>
      <t>Q</t>
    </r>
    <r>
      <rPr>
        <vertAlign val="subscript"/>
        <sz val="10.5"/>
        <rFont val="Times New Roman"/>
        <family val="1"/>
      </rPr>
      <t>3</t>
    </r>
    <r>
      <rPr>
        <sz val="10.5"/>
        <rFont val="Times New Roman"/>
        <family val="1"/>
      </rPr>
      <t/>
    </r>
  </si>
  <si>
    <r>
      <t>q</t>
    </r>
    <r>
      <rPr>
        <vertAlign val="subscript"/>
        <sz val="10.5"/>
        <rFont val="Times New Roman"/>
        <family val="1"/>
      </rPr>
      <t>3</t>
    </r>
    <r>
      <rPr>
        <sz val="10.5"/>
        <rFont val="Times New Roman"/>
        <family val="1"/>
      </rPr>
      <t/>
    </r>
  </si>
  <si>
    <r>
      <t>S</t>
    </r>
    <r>
      <rPr>
        <vertAlign val="subscript"/>
        <sz val="10.5"/>
        <rFont val="Times New Roman"/>
        <family val="1"/>
      </rPr>
      <t>3</t>
    </r>
    <r>
      <rPr>
        <sz val="10.5"/>
        <rFont val="Times New Roman"/>
        <family val="1"/>
      </rPr>
      <t/>
    </r>
  </si>
  <si>
    <r>
      <t>λ</t>
    </r>
    <r>
      <rPr>
        <vertAlign val="subscript"/>
        <sz val="10.5"/>
        <rFont val="Times New Roman"/>
        <family val="1"/>
      </rPr>
      <t>3</t>
    </r>
    <r>
      <rPr>
        <sz val="10.5"/>
        <rFont val="Times New Roman"/>
        <family val="1"/>
      </rPr>
      <t/>
    </r>
  </si>
  <si>
    <r>
      <t>Q</t>
    </r>
    <r>
      <rPr>
        <vertAlign val="subscript"/>
        <sz val="10.5"/>
        <rFont val="Times New Roman"/>
        <family val="1"/>
      </rPr>
      <t>4</t>
    </r>
    <r>
      <rPr>
        <sz val="10.5"/>
        <rFont val="Times New Roman"/>
        <family val="1"/>
      </rPr>
      <t/>
    </r>
  </si>
  <si>
    <r>
      <t>q</t>
    </r>
    <r>
      <rPr>
        <vertAlign val="subscript"/>
        <sz val="10.5"/>
        <rFont val="Times New Roman"/>
        <family val="1"/>
      </rPr>
      <t>4</t>
    </r>
    <r>
      <rPr>
        <sz val="10.5"/>
        <rFont val="Times New Roman"/>
        <family val="1"/>
      </rPr>
      <t/>
    </r>
  </si>
  <si>
    <r>
      <t>S</t>
    </r>
    <r>
      <rPr>
        <vertAlign val="subscript"/>
        <sz val="10.5"/>
        <rFont val="Times New Roman"/>
        <family val="1"/>
      </rPr>
      <t>4</t>
    </r>
    <r>
      <rPr>
        <sz val="10.5"/>
        <rFont val="Times New Roman"/>
        <family val="1"/>
      </rPr>
      <t/>
    </r>
  </si>
  <si>
    <r>
      <t>λ</t>
    </r>
    <r>
      <rPr>
        <vertAlign val="subscript"/>
        <sz val="10.5"/>
        <rFont val="Times New Roman"/>
        <family val="1"/>
      </rPr>
      <t>4</t>
    </r>
    <r>
      <rPr>
        <sz val="10.5"/>
        <rFont val="Times New Roman"/>
        <family val="1"/>
      </rPr>
      <t/>
    </r>
  </si>
  <si>
    <r>
      <t xml:space="preserve">(d) Le probabilità neutrali verso il rischio non possono essere stimate sulla base dei CDS </t>
    </r>
    <r>
      <rPr>
        <i/>
        <sz val="10.5"/>
        <rFont val="Times New Roman"/>
        <family val="1"/>
      </rPr>
      <t>spreads</t>
    </r>
    <r>
      <rPr>
        <sz val="10.5"/>
        <rFont val="Times New Roman"/>
        <family val="1"/>
      </rPr>
      <t>.</t>
    </r>
  </si>
  <si>
    <r>
      <t xml:space="preserve">La probabilità di sopravvivenza fino alla fine del 2° anno è pari al 98,02% (= </t>
    </r>
    <r>
      <rPr>
        <i/>
        <sz val="10.5"/>
        <rFont val="Times New Roman"/>
        <family val="1"/>
      </rPr>
      <t>e</t>
    </r>
    <r>
      <rPr>
        <vertAlign val="superscript"/>
        <sz val="10.5"/>
        <rFont val="Times New Roman"/>
        <family val="1"/>
      </rPr>
      <t>−0,01×2</t>
    </r>
    <r>
      <rPr>
        <sz val="10.5"/>
        <rFont val="Times New Roman"/>
        <family val="1"/>
      </rPr>
      <t>). La probabilità, non condizionata, di fallire entro la fine del 2° anno è quindi pari all’1,98% (= 1 − 0,9802).</t>
    </r>
  </si>
  <si>
    <r>
      <rPr>
        <i/>
        <sz val="10.5"/>
        <rFont val="Times New Roman"/>
        <family val="1"/>
      </rPr>
      <t>V</t>
    </r>
    <r>
      <rPr>
        <sz val="10.5"/>
        <rFont val="Times New Roman"/>
        <family val="1"/>
      </rPr>
      <t>(</t>
    </r>
    <r>
      <rPr>
        <i/>
        <sz val="10.5"/>
        <rFont val="Times New Roman"/>
        <family val="1"/>
      </rPr>
      <t>T</t>
    </r>
    <r>
      <rPr>
        <sz val="10.5"/>
        <rFont val="Times New Roman"/>
        <family val="1"/>
      </rPr>
      <t>)</t>
    </r>
  </si>
  <si>
    <r>
      <rPr>
        <i/>
        <sz val="10.5"/>
        <rFont val="Times New Roman"/>
        <family val="1"/>
      </rPr>
      <t>Q</t>
    </r>
    <r>
      <rPr>
        <sz val="10.5"/>
        <rFont val="Times New Roman"/>
        <family val="1"/>
      </rPr>
      <t>(</t>
    </r>
    <r>
      <rPr>
        <i/>
        <sz val="10.5"/>
        <rFont val="Times New Roman"/>
        <family val="1"/>
      </rPr>
      <t>T</t>
    </r>
    <r>
      <rPr>
        <sz val="10.5"/>
        <rFont val="Times New Roman"/>
        <family val="1"/>
      </rPr>
      <t>)</t>
    </r>
  </si>
  <si>
    <r>
      <t xml:space="preserve">L’hazard rate medio, </t>
    </r>
    <r>
      <rPr>
        <i/>
        <sz val="10.5"/>
        <rFont val="Times New Roman"/>
        <family val="1"/>
      </rPr>
      <t>λ</t>
    </r>
    <r>
      <rPr>
        <sz val="10.5"/>
        <rFont val="Times New Roman"/>
        <family val="1"/>
      </rPr>
      <t xml:space="preserve">, è pari al credit spread diviso per il complemento a 1 del recovery rate. In questo caso si ha </t>
    </r>
    <r>
      <rPr>
        <i/>
        <sz val="10.5"/>
        <rFont val="Times New Roman"/>
        <family val="1"/>
      </rPr>
      <t>λ</t>
    </r>
    <r>
      <rPr>
        <sz val="10.5"/>
        <rFont val="Times New Roman"/>
        <family val="1"/>
      </rPr>
      <t xml:space="preserve"> = 2,5%.</t>
    </r>
  </si>
  <si>
    <r>
      <t xml:space="preserve">(a) Il </t>
    </r>
    <r>
      <rPr>
        <i/>
        <sz val="10.5"/>
        <rFont val="Times New Roman"/>
        <family val="1"/>
      </rPr>
      <t>time to default</t>
    </r>
    <r>
      <rPr>
        <sz val="10.5"/>
        <rFont val="Times New Roman"/>
        <family val="1"/>
      </rPr>
      <t xml:space="preserve"> si distribuisce in modo normale.</t>
    </r>
  </si>
  <si>
    <r>
      <t xml:space="preserve">(b) Il </t>
    </r>
    <r>
      <rPr>
        <i/>
        <sz val="10.5"/>
        <rFont val="Times New Roman"/>
        <family val="1"/>
      </rPr>
      <t>time to default</t>
    </r>
    <r>
      <rPr>
        <sz val="10.5"/>
        <rFont val="Times New Roman"/>
        <family val="1"/>
      </rPr>
      <t xml:space="preserve"> si distribuisce in modo log-normale.</t>
    </r>
  </si>
  <si>
    <r>
      <t xml:space="preserve">(c) Il </t>
    </r>
    <r>
      <rPr>
        <i/>
        <sz val="10.5"/>
        <rFont val="Times New Roman"/>
        <family val="1"/>
      </rPr>
      <t>time to default</t>
    </r>
    <r>
      <rPr>
        <sz val="10.5"/>
        <rFont val="Times New Roman"/>
        <family val="1"/>
      </rPr>
      <t xml:space="preserve"> viene trasformato in una variabile casuale normale.</t>
    </r>
  </si>
  <si>
    <r>
      <t xml:space="preserve">(d) Il </t>
    </r>
    <r>
      <rPr>
        <i/>
        <sz val="10.5"/>
        <rFont val="Times New Roman"/>
        <family val="1"/>
      </rPr>
      <t>time to default</t>
    </r>
    <r>
      <rPr>
        <sz val="10.5"/>
        <rFont val="Times New Roman"/>
        <family val="1"/>
      </rPr>
      <t xml:space="preserve"> viene trasformato in una variabile casuale log-normale.</t>
    </r>
  </si>
  <si>
    <r>
      <t xml:space="preserve">(a) Il </t>
    </r>
    <r>
      <rPr>
        <i/>
        <sz val="10.5"/>
        <rFont val="Times New Roman"/>
        <family val="1"/>
      </rPr>
      <t>netting</t>
    </r>
    <r>
      <rPr>
        <sz val="10.5"/>
        <rFont val="Times New Roman"/>
        <family val="1"/>
      </rPr>
      <t xml:space="preserve"> comporta sempre la riduzione dell’esposizione di una società verso una sua controparte.</t>
    </r>
  </si>
  <si>
    <r>
      <t xml:space="preserve">(b) Il </t>
    </r>
    <r>
      <rPr>
        <i/>
        <sz val="10.5"/>
        <rFont val="Times New Roman"/>
        <family val="1"/>
      </rPr>
      <t>netting</t>
    </r>
    <r>
      <rPr>
        <sz val="10.5"/>
        <rFont val="Times New Roman"/>
        <family val="1"/>
      </rPr>
      <t xml:space="preserve"> fa sì che l’esposizione di una società verso una sua controparte si riduca o resti inalterata.</t>
    </r>
  </si>
  <si>
    <r>
      <t xml:space="preserve">(c) Il </t>
    </r>
    <r>
      <rPr>
        <i/>
        <sz val="10.5"/>
        <rFont val="Times New Roman"/>
        <family val="1"/>
      </rPr>
      <t>netting</t>
    </r>
    <r>
      <rPr>
        <sz val="10.5"/>
        <rFont val="Times New Roman"/>
        <family val="1"/>
      </rPr>
      <t xml:space="preserve"> comporta sempre l’aumento dell’esposizione di una società verso una sua controparte.</t>
    </r>
  </si>
  <si>
    <r>
      <t xml:space="preserve">(d) Il </t>
    </r>
    <r>
      <rPr>
        <i/>
        <sz val="10.5"/>
        <rFont val="Times New Roman"/>
        <family val="1"/>
      </rPr>
      <t>netting</t>
    </r>
    <r>
      <rPr>
        <sz val="10.5"/>
        <rFont val="Times New Roman"/>
        <family val="1"/>
      </rPr>
      <t xml:space="preserve"> può comportare la riduzione o l’aumento dell’esposizione di una società verso una sua controparte.</t>
    </r>
  </si>
  <si>
    <r>
      <t xml:space="preserve">(d) I downgrade triggers rappresentano una lama a doppio taglio. Se </t>
    </r>
    <r>
      <rPr>
        <i/>
        <sz val="10.5"/>
        <rFont val="Times New Roman"/>
        <family val="1"/>
      </rPr>
      <t>A</t>
    </r>
    <r>
      <rPr>
        <sz val="10.5"/>
        <rFont val="Times New Roman"/>
        <family val="1"/>
      </rPr>
      <t xml:space="preserve"> ha un downgrade trigger per </t>
    </r>
    <r>
      <rPr>
        <i/>
        <sz val="10.5"/>
        <rFont val="Times New Roman"/>
        <family val="1"/>
      </rPr>
      <t>B</t>
    </r>
    <r>
      <rPr>
        <sz val="10.5"/>
        <rFont val="Times New Roman"/>
        <family val="1"/>
      </rPr>
      <t xml:space="preserve">, </t>
    </r>
    <r>
      <rPr>
        <i/>
        <sz val="10.5"/>
        <rFont val="Times New Roman"/>
        <family val="1"/>
      </rPr>
      <t>B</t>
    </r>
    <r>
      <rPr>
        <sz val="10.5"/>
        <rFont val="Times New Roman"/>
        <family val="1"/>
      </rPr>
      <t xml:space="preserve"> ha un downgrade trigger per </t>
    </r>
    <r>
      <rPr>
        <i/>
        <sz val="10.5"/>
        <rFont val="Times New Roman"/>
        <family val="1"/>
      </rPr>
      <t>A</t>
    </r>
    <r>
      <rPr>
        <sz val="10.5"/>
        <rFont val="Times New Roman"/>
        <family val="1"/>
      </rPr>
      <t>.</t>
    </r>
  </si>
  <si>
    <r>
      <t>Se si tiene conto del rischio di credito, il valore dell’opzione è pari a $5,71 (= $6</t>
    </r>
    <r>
      <rPr>
        <i/>
        <sz val="10.5"/>
        <rFont val="Times New Roman"/>
        <family val="1"/>
      </rPr>
      <t>e</t>
    </r>
    <r>
      <rPr>
        <vertAlign val="superscript"/>
        <sz val="10.5"/>
        <rFont val="Times New Roman"/>
        <family val="1"/>
      </rPr>
      <t>−0.01×5</t>
    </r>
    <r>
      <rPr>
        <sz val="10.5"/>
        <rFont val="Times New Roman"/>
        <family val="1"/>
      </rPr>
      <t>). Pertanto, il CVA è pari a $0,29 (= $6 − $5,71) per ogni opzione acquistata.</t>
    </r>
  </si>
  <si>
    <r>
      <t xml:space="preserve">L’hazard rate medio, </t>
    </r>
    <r>
      <rPr>
        <i/>
        <sz val="10.5"/>
        <rFont val="Times New Roman"/>
        <family val="1"/>
      </rPr>
      <t>λ</t>
    </r>
    <r>
      <rPr>
        <vertAlign val="subscript"/>
        <sz val="10.5"/>
        <rFont val="Times New Roman"/>
        <family val="1"/>
      </rPr>
      <t>5</t>
    </r>
    <r>
      <rPr>
        <sz val="10.5"/>
        <rFont val="Times New Roman"/>
        <family val="1"/>
      </rPr>
      <t xml:space="preserve">, per i primi 5 anni è pari al credit spread a 5 anni diviso per il complemento a 1 del recovery rate. In questo caso si ha </t>
    </r>
    <r>
      <rPr>
        <i/>
        <sz val="10.5"/>
        <rFont val="Times New Roman"/>
        <family val="1"/>
      </rPr>
      <t>λ</t>
    </r>
    <r>
      <rPr>
        <vertAlign val="subscript"/>
        <sz val="10.5"/>
        <rFont val="Times New Roman"/>
        <family val="1"/>
      </rPr>
      <t>5</t>
    </r>
    <r>
      <rPr>
        <sz val="10.5"/>
        <rFont val="Times New Roman"/>
        <family val="1"/>
      </rPr>
      <t xml:space="preserve"> = 5%.</t>
    </r>
  </si>
  <si>
    <r>
      <t xml:space="preserve">Pertanto, la probabilità di sopravvivenza, </t>
    </r>
    <r>
      <rPr>
        <i/>
        <sz val="10.5"/>
        <rFont val="Times New Roman"/>
        <family val="1"/>
      </rPr>
      <t>V</t>
    </r>
    <r>
      <rPr>
        <vertAlign val="subscript"/>
        <sz val="10.5"/>
        <rFont val="Times New Roman"/>
        <family val="1"/>
      </rPr>
      <t>5</t>
    </r>
    <r>
      <rPr>
        <sz val="10.5"/>
        <rFont val="Times New Roman"/>
        <family val="1"/>
      </rPr>
      <t>, fino alla fine del 5° anno è pari al 77,88%.</t>
    </r>
  </si>
  <si>
    <r>
      <t xml:space="preserve">L’hazard rate medio, </t>
    </r>
    <r>
      <rPr>
        <i/>
        <sz val="10.5"/>
        <rFont val="Times New Roman"/>
        <family val="1"/>
      </rPr>
      <t>λ</t>
    </r>
    <r>
      <rPr>
        <vertAlign val="subscript"/>
        <sz val="10.5"/>
        <rFont val="Times New Roman"/>
        <family val="1"/>
      </rPr>
      <t>6</t>
    </r>
    <r>
      <rPr>
        <sz val="10.5"/>
        <rFont val="Times New Roman"/>
        <family val="1"/>
      </rPr>
      <t>, per i primi 6 anni è pari al 5,5%.</t>
    </r>
  </si>
  <si>
    <r>
      <t xml:space="preserve">Pertanto, la probabilità di sopravvivenza, </t>
    </r>
    <r>
      <rPr>
        <i/>
        <sz val="10.5"/>
        <rFont val="Times New Roman"/>
        <family val="1"/>
      </rPr>
      <t>V</t>
    </r>
    <r>
      <rPr>
        <vertAlign val="subscript"/>
        <sz val="10.5"/>
        <rFont val="Times New Roman"/>
        <family val="1"/>
      </rPr>
      <t>6</t>
    </r>
    <r>
      <rPr>
        <sz val="10.5"/>
        <rFont val="Times New Roman"/>
        <family val="1"/>
      </rPr>
      <t>, fino alla fine del 6° anno è pari al 71,89%.</t>
    </r>
  </si>
  <si>
    <r>
      <rPr>
        <i/>
        <sz val="10.5"/>
        <rFont val="Times New Roman"/>
        <family val="1"/>
      </rPr>
      <t>s</t>
    </r>
    <r>
      <rPr>
        <vertAlign val="subscript"/>
        <sz val="10.5"/>
        <rFont val="Times New Roman"/>
        <family val="1"/>
      </rPr>
      <t>5</t>
    </r>
  </si>
  <si>
    <r>
      <rPr>
        <i/>
        <sz val="10.5"/>
        <rFont val="Times New Roman"/>
        <family val="1"/>
      </rPr>
      <t>s</t>
    </r>
    <r>
      <rPr>
        <vertAlign val="subscript"/>
        <sz val="10.5"/>
        <rFont val="Times New Roman"/>
        <family val="1"/>
      </rPr>
      <t>6</t>
    </r>
    <r>
      <rPr>
        <sz val="10.5"/>
        <color theme="1"/>
        <rFont val="Times New Roman"/>
        <family val="1"/>
      </rPr>
      <t/>
    </r>
  </si>
  <si>
    <r>
      <rPr>
        <i/>
        <sz val="10.5"/>
        <rFont val="Times New Roman"/>
        <family val="1"/>
      </rPr>
      <t>T</t>
    </r>
    <r>
      <rPr>
        <vertAlign val="subscript"/>
        <sz val="10.5"/>
        <rFont val="Times New Roman"/>
        <family val="1"/>
      </rPr>
      <t>5</t>
    </r>
  </si>
  <si>
    <r>
      <rPr>
        <i/>
        <sz val="10.5"/>
        <rFont val="Times New Roman"/>
        <family val="1"/>
      </rPr>
      <t>T</t>
    </r>
    <r>
      <rPr>
        <vertAlign val="subscript"/>
        <sz val="10.5"/>
        <rFont val="Times New Roman"/>
        <family val="1"/>
      </rPr>
      <t>6</t>
    </r>
    <r>
      <rPr>
        <sz val="10.5"/>
        <color theme="1"/>
        <rFont val="Times New Roman"/>
        <family val="1"/>
      </rPr>
      <t/>
    </r>
  </si>
  <si>
    <r>
      <rPr>
        <i/>
        <sz val="10.5"/>
        <rFont val="Times New Roman"/>
        <family val="1"/>
      </rPr>
      <t>λ</t>
    </r>
    <r>
      <rPr>
        <vertAlign val="subscript"/>
        <sz val="10.5"/>
        <rFont val="Times New Roman"/>
        <family val="1"/>
      </rPr>
      <t>5</t>
    </r>
  </si>
  <si>
    <r>
      <rPr>
        <i/>
        <sz val="10.5"/>
        <rFont val="Times New Roman"/>
        <family val="1"/>
      </rPr>
      <t>λ</t>
    </r>
    <r>
      <rPr>
        <vertAlign val="subscript"/>
        <sz val="10.5"/>
        <rFont val="Times New Roman"/>
        <family val="1"/>
      </rPr>
      <t>6</t>
    </r>
    <r>
      <rPr>
        <sz val="10.5"/>
        <color theme="1"/>
        <rFont val="Times New Roman"/>
        <family val="1"/>
      </rPr>
      <t/>
    </r>
  </si>
  <si>
    <r>
      <rPr>
        <i/>
        <sz val="10.5"/>
        <rFont val="Times New Roman"/>
        <family val="1"/>
      </rPr>
      <t>V</t>
    </r>
    <r>
      <rPr>
        <vertAlign val="subscript"/>
        <sz val="10.5"/>
        <rFont val="Times New Roman"/>
        <family val="1"/>
      </rPr>
      <t>5</t>
    </r>
  </si>
  <si>
    <r>
      <rPr>
        <i/>
        <sz val="10.5"/>
        <rFont val="Times New Roman"/>
        <family val="1"/>
      </rPr>
      <t>V</t>
    </r>
    <r>
      <rPr>
        <vertAlign val="subscript"/>
        <sz val="10.5"/>
        <rFont val="Times New Roman"/>
        <family val="1"/>
      </rPr>
      <t>6</t>
    </r>
    <r>
      <rPr>
        <sz val="10.5"/>
        <color theme="1"/>
        <rFont val="Times New Roman"/>
        <family val="1"/>
      </rPr>
      <t/>
    </r>
  </si>
  <si>
    <r>
      <rPr>
        <i/>
        <sz val="10.5"/>
        <rFont val="Times New Roman"/>
        <family val="1"/>
      </rPr>
      <t>q</t>
    </r>
    <r>
      <rPr>
        <vertAlign val="subscript"/>
        <sz val="10.5"/>
        <rFont val="Times New Roman"/>
        <family val="1"/>
      </rPr>
      <t>6</t>
    </r>
  </si>
  <si>
    <r>
      <t>Per definire il modello GARCH(1, 1) sono necessari 3 parametri: omega (</t>
    </r>
    <r>
      <rPr>
        <i/>
        <sz val="10.5"/>
        <rFont val="Times New Roman"/>
        <family val="1"/>
      </rPr>
      <t>ω</t>
    </r>
    <r>
      <rPr>
        <sz val="10.5"/>
        <rFont val="Times New Roman"/>
        <family val="1"/>
      </rPr>
      <t>), alfa (</t>
    </r>
    <r>
      <rPr>
        <i/>
        <sz val="10.5"/>
        <rFont val="Times New Roman"/>
        <family val="1"/>
      </rPr>
      <t>α</t>
    </r>
    <r>
      <rPr>
        <sz val="10.5"/>
        <rFont val="Times New Roman"/>
        <family val="1"/>
      </rPr>
      <t>) e beta (</t>
    </r>
    <r>
      <rPr>
        <i/>
        <sz val="10.5"/>
        <rFont val="Times New Roman"/>
        <family val="1"/>
      </rPr>
      <t>β</t>
    </r>
    <r>
      <rPr>
        <sz val="10.5"/>
        <rFont val="Times New Roman"/>
        <family val="1"/>
      </rPr>
      <t>).</t>
    </r>
  </si>
  <si>
    <r>
      <t xml:space="preserve">23.3. Alla fine di giovedì, la volatilità giornaliera del titolo </t>
    </r>
    <r>
      <rPr>
        <b/>
        <i/>
        <sz val="10.5"/>
        <rFont val="Times New Roman"/>
        <family val="1"/>
      </rPr>
      <t>A</t>
    </r>
    <r>
      <rPr>
        <b/>
        <sz val="10.5"/>
        <rFont val="Times New Roman"/>
        <family val="1"/>
      </rPr>
      <t xml:space="preserve"> è pari al 2%. Venerdì, il tasso di rendimento giornaliero di </t>
    </r>
    <r>
      <rPr>
        <b/>
        <i/>
        <sz val="10.5"/>
        <rFont val="Times New Roman"/>
        <family val="1"/>
      </rPr>
      <t>A</t>
    </r>
    <r>
      <rPr>
        <b/>
        <sz val="10.5"/>
        <rFont val="Times New Roman"/>
        <family val="1"/>
      </rPr>
      <t xml:space="preserve"> è pari al 3%. Utilizzate il modello EWMA con </t>
    </r>
    <r>
      <rPr>
        <b/>
        <i/>
        <sz val="10.5"/>
        <rFont val="Times New Roman"/>
        <family val="1"/>
      </rPr>
      <t>λ</t>
    </r>
    <r>
      <rPr>
        <b/>
        <sz val="10.5"/>
        <rFont val="Times New Roman"/>
        <family val="1"/>
      </rPr>
      <t xml:space="preserve"> = 0,9. Qual è la stima della volatilità di </t>
    </r>
    <r>
      <rPr>
        <b/>
        <i/>
        <sz val="10.5"/>
        <rFont val="Times New Roman"/>
        <family val="1"/>
      </rPr>
      <t>A</t>
    </r>
    <r>
      <rPr>
        <b/>
        <sz val="10.5"/>
        <rFont val="Times New Roman"/>
        <family val="1"/>
      </rPr>
      <t xml:space="preserve"> alla fine di venerdì?</t>
    </r>
  </si>
  <si>
    <r>
      <t xml:space="preserve">Alla fine di venerdì, la varianza del tasso di rendimento giornaliero di </t>
    </r>
    <r>
      <rPr>
        <i/>
        <sz val="10.5"/>
        <rFont val="Times New Roman"/>
        <family val="1"/>
      </rPr>
      <t>A</t>
    </r>
    <r>
      <rPr>
        <sz val="10.5"/>
        <rFont val="Times New Roman"/>
        <family val="1"/>
      </rPr>
      <t xml:space="preserve"> è pari a 0,00045 [= 0,9 × 0,02</t>
    </r>
    <r>
      <rPr>
        <vertAlign val="superscript"/>
        <sz val="10.5"/>
        <rFont val="Times New Roman"/>
        <family val="1"/>
      </rPr>
      <t>2</t>
    </r>
    <r>
      <rPr>
        <sz val="10.5"/>
        <rFont val="Times New Roman"/>
        <family val="1"/>
      </rPr>
      <t xml:space="preserve"> + (1 − 0,9) × 0,03</t>
    </r>
    <r>
      <rPr>
        <vertAlign val="superscript"/>
        <sz val="10.5"/>
        <rFont val="Times New Roman"/>
        <family val="1"/>
      </rPr>
      <t>2</t>
    </r>
    <r>
      <rPr>
        <sz val="10.5"/>
        <rFont val="Times New Roman"/>
        <family val="1"/>
      </rPr>
      <t>]. Pertanto, la volatilità è pari al 2,12%.</t>
    </r>
  </si>
  <si>
    <r>
      <t>σ</t>
    </r>
    <r>
      <rPr>
        <i/>
        <vertAlign val="subscript"/>
        <sz val="10.5"/>
        <rFont val="Times New Roman"/>
        <family val="1"/>
      </rPr>
      <t>t</t>
    </r>
  </si>
  <si>
    <r>
      <t>u</t>
    </r>
    <r>
      <rPr>
        <i/>
        <vertAlign val="subscript"/>
        <sz val="10.5"/>
        <rFont val="Times New Roman"/>
        <family val="1"/>
      </rPr>
      <t>t</t>
    </r>
  </si>
  <si>
    <r>
      <t>σ</t>
    </r>
    <r>
      <rPr>
        <vertAlign val="superscript"/>
        <sz val="10.5"/>
        <rFont val="Times New Roman"/>
        <family val="1"/>
      </rPr>
      <t>2</t>
    </r>
    <r>
      <rPr>
        <i/>
        <vertAlign val="subscript"/>
        <sz val="10.5"/>
        <rFont val="Times New Roman"/>
        <family val="1"/>
      </rPr>
      <t>t</t>
    </r>
    <r>
      <rPr>
        <vertAlign val="subscript"/>
        <sz val="10.5"/>
        <rFont val="Times New Roman"/>
        <family val="1"/>
      </rPr>
      <t>+1</t>
    </r>
  </si>
  <si>
    <r>
      <t>σ</t>
    </r>
    <r>
      <rPr>
        <i/>
        <vertAlign val="subscript"/>
        <sz val="10.5"/>
        <rFont val="Times New Roman"/>
        <family val="1"/>
      </rPr>
      <t>t</t>
    </r>
    <r>
      <rPr>
        <vertAlign val="subscript"/>
        <sz val="10.5"/>
        <rFont val="Times New Roman"/>
        <family val="1"/>
      </rPr>
      <t>+1</t>
    </r>
  </si>
  <si>
    <r>
      <t xml:space="preserve">23.4. Alla fine di giovedì, la volatilità giornaliera del titolo </t>
    </r>
    <r>
      <rPr>
        <b/>
        <i/>
        <sz val="10.5"/>
        <rFont val="Times New Roman"/>
        <family val="1"/>
      </rPr>
      <t>B</t>
    </r>
    <r>
      <rPr>
        <b/>
        <sz val="10.5"/>
        <rFont val="Times New Roman"/>
        <family val="1"/>
      </rPr>
      <t xml:space="preserve"> è pari all’1%. Venerdì, il tasso di rendimento giornaliero di </t>
    </r>
    <r>
      <rPr>
        <b/>
        <i/>
        <sz val="10.5"/>
        <rFont val="Times New Roman"/>
        <family val="1"/>
      </rPr>
      <t>B</t>
    </r>
    <r>
      <rPr>
        <b/>
        <sz val="10.5"/>
        <rFont val="Times New Roman"/>
        <family val="1"/>
      </rPr>
      <t xml:space="preserve"> è pari allo 0%. Utilizzate il modello EWMA con </t>
    </r>
    <r>
      <rPr>
        <b/>
        <i/>
        <sz val="10.5"/>
        <rFont val="Times New Roman"/>
        <family val="1"/>
      </rPr>
      <t>λ</t>
    </r>
    <r>
      <rPr>
        <b/>
        <sz val="10.5"/>
        <rFont val="Times New Roman"/>
        <family val="1"/>
      </rPr>
      <t xml:space="preserve"> = 0,9. Qual è la stima della volatilità di </t>
    </r>
    <r>
      <rPr>
        <b/>
        <i/>
        <sz val="10.5"/>
        <rFont val="Times New Roman"/>
        <family val="1"/>
      </rPr>
      <t>B</t>
    </r>
    <r>
      <rPr>
        <b/>
        <sz val="10.5"/>
        <rFont val="Times New Roman"/>
        <family val="1"/>
      </rPr>
      <t xml:space="preserve"> alla fine di venerdì?</t>
    </r>
  </si>
  <si>
    <r>
      <t xml:space="preserve">Alla fine di venerdì, la varianza del tasso di rendimento giornaliero di </t>
    </r>
    <r>
      <rPr>
        <i/>
        <sz val="10.5"/>
        <rFont val="Times New Roman"/>
        <family val="1"/>
      </rPr>
      <t>B</t>
    </r>
    <r>
      <rPr>
        <sz val="10.5"/>
        <rFont val="Times New Roman"/>
        <family val="1"/>
      </rPr>
      <t xml:space="preserve"> è pari a 0,00009 [= 0,9 × 0,01</t>
    </r>
    <r>
      <rPr>
        <vertAlign val="superscript"/>
        <sz val="10.5"/>
        <rFont val="Times New Roman"/>
        <family val="1"/>
      </rPr>
      <t>2</t>
    </r>
    <r>
      <rPr>
        <sz val="10.5"/>
        <rFont val="Times New Roman"/>
        <family val="1"/>
      </rPr>
      <t xml:space="preserve"> + (1 − 0,9) × 0,00</t>
    </r>
    <r>
      <rPr>
        <vertAlign val="superscript"/>
        <sz val="10.5"/>
        <rFont val="Times New Roman"/>
        <family val="1"/>
      </rPr>
      <t>2</t>
    </r>
    <r>
      <rPr>
        <sz val="10.5"/>
        <rFont val="Times New Roman"/>
        <family val="1"/>
      </rPr>
      <t>]. Pertanto, la volatilità è pari all0 0,95%.</t>
    </r>
  </si>
  <si>
    <r>
      <t xml:space="preserve">23.5. Alla fine di giovedì, la covarianza tra i tassi di rendimento dei titoli </t>
    </r>
    <r>
      <rPr>
        <b/>
        <i/>
        <sz val="10.5"/>
        <rFont val="Times New Roman"/>
        <family val="1"/>
      </rPr>
      <t>A</t>
    </r>
    <r>
      <rPr>
        <b/>
        <sz val="10.5"/>
        <rFont val="Times New Roman"/>
        <family val="1"/>
      </rPr>
      <t xml:space="preserve"> e </t>
    </r>
    <r>
      <rPr>
        <b/>
        <i/>
        <sz val="10.5"/>
        <rFont val="Times New Roman"/>
        <family val="1"/>
      </rPr>
      <t>B</t>
    </r>
    <r>
      <rPr>
        <b/>
        <sz val="10.5"/>
        <rFont val="Times New Roman"/>
        <family val="1"/>
      </rPr>
      <t xml:space="preserve"> è di 0,0001. </t>
    </r>
  </si>
  <si>
    <r>
      <t xml:space="preserve">Venerdì, i tassi di rendimento giornalieri di </t>
    </r>
    <r>
      <rPr>
        <b/>
        <i/>
        <sz val="10.5"/>
        <rFont val="Times New Roman"/>
        <family val="1"/>
      </rPr>
      <t>A</t>
    </r>
    <r>
      <rPr>
        <b/>
        <sz val="10.5"/>
        <rFont val="Times New Roman"/>
        <family val="1"/>
      </rPr>
      <t xml:space="preserve"> e </t>
    </r>
    <r>
      <rPr>
        <b/>
        <i/>
        <sz val="10.5"/>
        <rFont val="Times New Roman"/>
        <family val="1"/>
      </rPr>
      <t>B</t>
    </r>
    <r>
      <rPr>
        <b/>
        <sz val="10.5"/>
        <rFont val="Times New Roman"/>
        <family val="1"/>
      </rPr>
      <t xml:space="preserve"> sono pari, rispettivamente, al 3% e allo 0%. Utilizzate il modello EWMA con </t>
    </r>
    <r>
      <rPr>
        <b/>
        <i/>
        <sz val="10.5"/>
        <rFont val="Times New Roman"/>
        <family val="1"/>
      </rPr>
      <t>λ</t>
    </r>
    <r>
      <rPr>
        <b/>
        <sz val="10.5"/>
        <rFont val="Times New Roman"/>
        <family val="1"/>
      </rPr>
      <t xml:space="preserve"> = 0,9. Qual è la stima della covarianza tra i tassi di rendimento dei due titoli alla fine di venerdì?</t>
    </r>
  </si>
  <si>
    <r>
      <t xml:space="preserve">Alla fine di venerdì, la covarianza tra i tassi di rendimento di </t>
    </r>
    <r>
      <rPr>
        <i/>
        <sz val="10.5"/>
        <rFont val="Times New Roman"/>
        <family val="1"/>
      </rPr>
      <t>A</t>
    </r>
    <r>
      <rPr>
        <sz val="10.5"/>
        <rFont val="Times New Roman"/>
        <family val="1"/>
      </rPr>
      <t xml:space="preserve"> e </t>
    </r>
    <r>
      <rPr>
        <i/>
        <sz val="10.5"/>
        <rFont val="Times New Roman"/>
        <family val="1"/>
      </rPr>
      <t>B</t>
    </r>
    <r>
      <rPr>
        <sz val="10.5"/>
        <rFont val="Times New Roman"/>
        <family val="1"/>
      </rPr>
      <t xml:space="preserve"> è pari a 0,000090.</t>
    </r>
  </si>
  <si>
    <r>
      <t>σ</t>
    </r>
    <r>
      <rPr>
        <i/>
        <vertAlign val="subscript"/>
        <sz val="10.5"/>
        <rFont val="Times New Roman"/>
        <family val="1"/>
      </rPr>
      <t>A, B</t>
    </r>
  </si>
  <si>
    <r>
      <t>u</t>
    </r>
    <r>
      <rPr>
        <i/>
        <vertAlign val="subscript"/>
        <sz val="10.5"/>
        <rFont val="Times New Roman"/>
        <family val="1"/>
      </rPr>
      <t>A</t>
    </r>
  </si>
  <si>
    <r>
      <t>u</t>
    </r>
    <r>
      <rPr>
        <i/>
        <vertAlign val="subscript"/>
        <sz val="10.5"/>
        <rFont val="Times New Roman"/>
        <family val="1"/>
      </rPr>
      <t>B</t>
    </r>
  </si>
  <si>
    <r>
      <t>23.6. Considerate la covarianza tra</t>
    </r>
    <r>
      <rPr>
        <b/>
        <i/>
        <sz val="10.5"/>
        <rFont val="Times New Roman"/>
        <family val="1"/>
      </rPr>
      <t xml:space="preserve"> X</t>
    </r>
    <r>
      <rPr>
        <b/>
        <sz val="10.5"/>
        <rFont val="Times New Roman"/>
        <family val="1"/>
      </rPr>
      <t xml:space="preserve"> e </t>
    </r>
    <r>
      <rPr>
        <b/>
        <i/>
        <sz val="10.5"/>
        <rFont val="Times New Roman"/>
        <family val="1"/>
      </rPr>
      <t>Y</t>
    </r>
    <r>
      <rPr>
        <b/>
        <sz val="10.5"/>
        <rFont val="Times New Roman"/>
        <family val="1"/>
      </rPr>
      <t>. Solo una delle seguenti affermazioni è corretta. Quale?</t>
    </r>
  </si>
  <si>
    <r>
      <t xml:space="preserve">(a) La covarianza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è pari alla correlazione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per la varianza di </t>
    </r>
    <r>
      <rPr>
        <i/>
        <sz val="10.5"/>
        <rFont val="Times New Roman"/>
        <family val="1"/>
      </rPr>
      <t>X</t>
    </r>
    <r>
      <rPr>
        <sz val="10.5"/>
        <rFont val="Times New Roman"/>
        <family val="1"/>
      </rPr>
      <t xml:space="preserve"> per la varianza di </t>
    </r>
    <r>
      <rPr>
        <i/>
        <sz val="10.5"/>
        <rFont val="Times New Roman"/>
        <family val="1"/>
      </rPr>
      <t>Y</t>
    </r>
    <r>
      <rPr>
        <sz val="10.5"/>
        <rFont val="Times New Roman"/>
        <family val="1"/>
      </rPr>
      <t>.</t>
    </r>
  </si>
  <si>
    <r>
      <t xml:space="preserve">(b) La covarianza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è pari alla varianza di </t>
    </r>
    <r>
      <rPr>
        <i/>
        <sz val="10.5"/>
        <rFont val="Times New Roman"/>
        <family val="1"/>
      </rPr>
      <t>X</t>
    </r>
    <r>
      <rPr>
        <sz val="10.5"/>
        <rFont val="Times New Roman"/>
        <family val="1"/>
      </rPr>
      <t xml:space="preserve"> per la varianza di </t>
    </r>
    <r>
      <rPr>
        <i/>
        <sz val="10.5"/>
        <rFont val="Times New Roman"/>
        <family val="1"/>
      </rPr>
      <t>Y.</t>
    </r>
  </si>
  <si>
    <r>
      <t xml:space="preserve">(c) La covarianza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è pari alla correlazione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divisa per il prodotto tra la de-viazione standard di </t>
    </r>
    <r>
      <rPr>
        <i/>
        <sz val="10.5"/>
        <rFont val="Times New Roman"/>
        <family val="1"/>
      </rPr>
      <t>X</t>
    </r>
    <r>
      <rPr>
        <sz val="10.5"/>
        <rFont val="Times New Roman"/>
        <family val="1"/>
      </rPr>
      <t xml:space="preserve"> e la deviazione standard di </t>
    </r>
    <r>
      <rPr>
        <i/>
        <sz val="10.5"/>
        <rFont val="Times New Roman"/>
        <family val="1"/>
      </rPr>
      <t>Y.</t>
    </r>
  </si>
  <si>
    <r>
      <t xml:space="preserve">(d) La covarianza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è pari alla correlazione tra </t>
    </r>
    <r>
      <rPr>
        <i/>
        <sz val="10.5"/>
        <rFont val="Times New Roman"/>
        <family val="1"/>
      </rPr>
      <t>X</t>
    </r>
    <r>
      <rPr>
        <sz val="10.5"/>
        <rFont val="Times New Roman"/>
        <family val="1"/>
      </rPr>
      <t xml:space="preserve"> e </t>
    </r>
    <r>
      <rPr>
        <i/>
        <sz val="10.5"/>
        <rFont val="Times New Roman"/>
        <family val="1"/>
      </rPr>
      <t>Y</t>
    </r>
    <r>
      <rPr>
        <sz val="10.5"/>
        <rFont val="Times New Roman"/>
        <family val="1"/>
      </rPr>
      <t xml:space="preserve"> moltiplicata per il prodotto tra la deviazione standard di </t>
    </r>
    <r>
      <rPr>
        <i/>
        <sz val="10.5"/>
        <rFont val="Times New Roman"/>
        <family val="1"/>
      </rPr>
      <t>X</t>
    </r>
    <r>
      <rPr>
        <sz val="10.5"/>
        <rFont val="Times New Roman"/>
        <family val="1"/>
      </rPr>
      <t xml:space="preserve"> e la deviazione standard di </t>
    </r>
    <r>
      <rPr>
        <i/>
        <sz val="10.5"/>
        <rFont val="Times New Roman"/>
        <family val="1"/>
      </rPr>
      <t>Y.</t>
    </r>
  </si>
  <si>
    <r>
      <t>σ</t>
    </r>
    <r>
      <rPr>
        <vertAlign val="subscript"/>
        <sz val="10.5"/>
        <rFont val="Times New Roman"/>
        <family val="1"/>
      </rPr>
      <t>12</t>
    </r>
    <r>
      <rPr>
        <i/>
        <vertAlign val="subscript"/>
        <sz val="10.5"/>
        <rFont val="Times New Roman"/>
        <family val="1"/>
      </rPr>
      <t>m</t>
    </r>
  </si>
  <si>
    <r>
      <t>σ</t>
    </r>
    <r>
      <rPr>
        <vertAlign val="subscript"/>
        <sz val="10.5"/>
        <rFont val="Times New Roman"/>
        <family val="1"/>
      </rPr>
      <t>3</t>
    </r>
    <r>
      <rPr>
        <i/>
        <vertAlign val="subscript"/>
        <sz val="10.5"/>
        <rFont val="Times New Roman"/>
        <family val="1"/>
      </rPr>
      <t>m</t>
    </r>
  </si>
  <si>
    <r>
      <t xml:space="preserve">23.15. I parametri di un GARCH(1, 1) sono </t>
    </r>
    <r>
      <rPr>
        <b/>
        <i/>
        <sz val="10.5"/>
        <rFont val="Times New Roman"/>
        <family val="1"/>
      </rPr>
      <t>ω</t>
    </r>
    <r>
      <rPr>
        <b/>
        <sz val="10.5"/>
        <rFont val="Times New Roman"/>
        <family val="1"/>
      </rPr>
      <t xml:space="preserve">  = 0,000002, </t>
    </r>
    <r>
      <rPr>
        <b/>
        <i/>
        <sz val="10.5"/>
        <rFont val="Times New Roman"/>
        <family val="1"/>
      </rPr>
      <t>α</t>
    </r>
    <r>
      <rPr>
        <b/>
        <sz val="10.5"/>
        <rFont val="Times New Roman"/>
        <family val="1"/>
      </rPr>
      <t xml:space="preserve"> = 0,04 e </t>
    </r>
    <r>
      <rPr>
        <b/>
        <i/>
        <sz val="10.5"/>
        <rFont val="Times New Roman"/>
        <family val="1"/>
      </rPr>
      <t>β</t>
    </r>
    <r>
      <rPr>
        <b/>
        <sz val="10.5"/>
        <rFont val="Times New Roman"/>
        <family val="1"/>
      </rPr>
      <t xml:space="preserve"> = 0,95. Il livello corrente della volatilità giornaliera è dell’1%. Qual è la nuova stima della volatilità dopo aver osservato un tasso di rendimento giornaliero pari al 2%?</t>
    </r>
  </si>
  <si>
    <r>
      <t>Il nuovo tasso di varianza è pari a 0,000113 (= 0,000002 + 0,04 × 0,02</t>
    </r>
    <r>
      <rPr>
        <vertAlign val="superscript"/>
        <sz val="10.5"/>
        <rFont val="Times New Roman"/>
        <family val="1"/>
      </rPr>
      <t>2</t>
    </r>
    <r>
      <rPr>
        <sz val="10.5"/>
        <rFont val="Times New Roman"/>
        <family val="1"/>
      </rPr>
      <t xml:space="preserve"> + 0,95 × 0,01</t>
    </r>
    <r>
      <rPr>
        <vertAlign val="superscript"/>
        <sz val="10.5"/>
        <rFont val="Times New Roman"/>
        <family val="1"/>
      </rPr>
      <t>2</t>
    </r>
    <r>
      <rPr>
        <sz val="10.5"/>
        <rFont val="Times New Roman"/>
        <family val="1"/>
      </rPr>
      <t>). Pertanto, la nuova stima della volatilità è pari all’1,06%.</t>
    </r>
  </si>
  <si>
    <r>
      <t>σ</t>
    </r>
    <r>
      <rPr>
        <vertAlign val="superscript"/>
        <sz val="10.5"/>
        <rFont val="Times New Roman"/>
        <family val="1"/>
      </rPr>
      <t>2</t>
    </r>
  </si>
  <si>
    <r>
      <t xml:space="preserve">23.16. I parametri di un GARCH(1, 1) sono </t>
    </r>
    <r>
      <rPr>
        <b/>
        <i/>
        <sz val="10.5"/>
        <rFont val="Times New Roman"/>
        <family val="1"/>
      </rPr>
      <t>ω</t>
    </r>
    <r>
      <rPr>
        <b/>
        <sz val="10.5"/>
        <rFont val="Times New Roman"/>
        <family val="1"/>
      </rPr>
      <t xml:space="preserve">  = 0,000002, </t>
    </r>
    <r>
      <rPr>
        <b/>
        <i/>
        <sz val="10.5"/>
        <rFont val="Times New Roman"/>
        <family val="1"/>
      </rPr>
      <t>α</t>
    </r>
    <r>
      <rPr>
        <b/>
        <sz val="10.5"/>
        <rFont val="Times New Roman"/>
        <family val="1"/>
      </rPr>
      <t xml:space="preserve"> = 0,04 e </t>
    </r>
    <r>
      <rPr>
        <b/>
        <i/>
        <sz val="10.5"/>
        <rFont val="Times New Roman"/>
        <family val="1"/>
      </rPr>
      <t>β</t>
    </r>
    <r>
      <rPr>
        <b/>
        <sz val="10.5"/>
        <rFont val="Times New Roman"/>
        <family val="1"/>
      </rPr>
      <t xml:space="preserve"> = 0,95. Qual è la volatilità media di lungo periodo?</t>
    </r>
  </si>
  <si>
    <r>
      <t>V</t>
    </r>
    <r>
      <rPr>
        <i/>
        <vertAlign val="subscript"/>
        <sz val="10.5"/>
        <rFont val="Times New Roman"/>
        <family val="1"/>
      </rPr>
      <t>L</t>
    </r>
  </si>
  <si>
    <r>
      <t>σ</t>
    </r>
    <r>
      <rPr>
        <i/>
        <vertAlign val="subscript"/>
        <sz val="10.5"/>
        <rFont val="Times New Roman"/>
        <family val="1"/>
      </rPr>
      <t>L</t>
    </r>
  </si>
  <si>
    <r>
      <t xml:space="preserve">23.17. I parametri di un GARCH(1, 1) sono </t>
    </r>
    <r>
      <rPr>
        <b/>
        <i/>
        <sz val="10.5"/>
        <rFont val="Times New Roman"/>
        <family val="1"/>
      </rPr>
      <t>ω</t>
    </r>
    <r>
      <rPr>
        <b/>
        <sz val="10.5"/>
        <rFont val="Times New Roman"/>
        <family val="1"/>
      </rPr>
      <t xml:space="preserve">  = 0,000002, </t>
    </r>
    <r>
      <rPr>
        <b/>
        <i/>
        <sz val="10.5"/>
        <rFont val="Times New Roman"/>
        <family val="1"/>
      </rPr>
      <t>α</t>
    </r>
    <r>
      <rPr>
        <b/>
        <sz val="10.5"/>
        <rFont val="Times New Roman"/>
        <family val="1"/>
      </rPr>
      <t xml:space="preserve"> = 0,04 e </t>
    </r>
    <r>
      <rPr>
        <b/>
        <i/>
        <sz val="10.5"/>
        <rFont val="Times New Roman"/>
        <family val="1"/>
      </rPr>
      <t>β</t>
    </r>
    <r>
      <rPr>
        <b/>
        <sz val="10.5"/>
        <rFont val="Times New Roman"/>
        <family val="1"/>
      </rPr>
      <t xml:space="preserve"> = 0,95. Il livello corrente della volatilità giornaliera è dell’1%. Qual è la volatilità attesa tra 20 giorni?</t>
    </r>
  </si>
  <si>
    <r>
      <t>Il tasso di varianza medio di lungo periodo è pari a 0,0002 [= 0,000002/(1 − 0,04 − 0,95)]. Il tasso di varianza atteso tra 20 giorni è pari 0,000118 [= 0,0002 + (0,04 + 0,95)</t>
    </r>
    <r>
      <rPr>
        <vertAlign val="superscript"/>
        <sz val="10.5"/>
        <rFont val="Times New Roman"/>
        <family val="1"/>
      </rPr>
      <t>20</t>
    </r>
    <r>
      <rPr>
        <sz val="10.5"/>
        <rFont val="Times New Roman"/>
        <family val="1"/>
      </rPr>
      <t xml:space="preserve"> × (0,01</t>
    </r>
    <r>
      <rPr>
        <vertAlign val="superscript"/>
        <sz val="10.5"/>
        <rFont val="Times New Roman"/>
        <family val="1"/>
      </rPr>
      <t>2</t>
    </r>
    <r>
      <rPr>
        <sz val="10.5"/>
        <rFont val="Times New Roman"/>
        <family val="1"/>
      </rPr>
      <t xml:space="preserve"> − 0,0002)]. Pertanto, la volatilità attesa tra 20 giorni è pari all’1,09%:</t>
    </r>
  </si>
  <si>
    <r>
      <t>σ</t>
    </r>
    <r>
      <rPr>
        <vertAlign val="superscript"/>
        <sz val="10.5"/>
        <rFont val="Times New Roman"/>
        <family val="1"/>
      </rPr>
      <t>2</t>
    </r>
    <r>
      <rPr>
        <vertAlign val="subscript"/>
        <sz val="10.5"/>
        <rFont val="Times New Roman"/>
        <family val="1"/>
      </rPr>
      <t>20</t>
    </r>
  </si>
  <si>
    <r>
      <t>σ</t>
    </r>
    <r>
      <rPr>
        <vertAlign val="subscript"/>
        <sz val="10.5"/>
        <rFont val="Times New Roman"/>
        <family val="1"/>
      </rPr>
      <t>20</t>
    </r>
  </si>
  <si>
    <r>
      <t xml:space="preserve">23.19. I parametri di un GARCH(1, 1) sono </t>
    </r>
    <r>
      <rPr>
        <b/>
        <i/>
        <sz val="10.5"/>
        <rFont val="Times New Roman"/>
        <family val="1"/>
      </rPr>
      <t>ω</t>
    </r>
    <r>
      <rPr>
        <b/>
        <sz val="10.5"/>
        <rFont val="Times New Roman"/>
        <family val="1"/>
      </rPr>
      <t xml:space="preserve">  = 0,000002, </t>
    </r>
    <r>
      <rPr>
        <b/>
        <i/>
        <sz val="10.5"/>
        <rFont val="Times New Roman"/>
        <family val="1"/>
      </rPr>
      <t>α</t>
    </r>
    <r>
      <rPr>
        <b/>
        <sz val="10.5"/>
        <rFont val="Times New Roman"/>
        <family val="1"/>
      </rPr>
      <t xml:space="preserve"> = 0,04 e </t>
    </r>
    <r>
      <rPr>
        <b/>
        <i/>
        <sz val="10.5"/>
        <rFont val="Times New Roman"/>
        <family val="1"/>
      </rPr>
      <t>β</t>
    </r>
    <r>
      <rPr>
        <b/>
        <sz val="10.5"/>
        <rFont val="Times New Roman"/>
        <family val="1"/>
      </rPr>
      <t xml:space="preserve"> = 0,95. Qual è il reversion rate verso il tasso di varianza medio di lungo periodo?</t>
    </r>
  </si>
  <si>
    <r>
      <t xml:space="preserve">La «velocità di aggiustamento» (reversion rate) verso il tasso di varianza medio di lungo periodo, </t>
    </r>
    <r>
      <rPr>
        <i/>
        <sz val="10.5"/>
        <rFont val="Times New Roman"/>
        <family val="1"/>
      </rPr>
      <t>V</t>
    </r>
    <r>
      <rPr>
        <i/>
        <vertAlign val="subscript"/>
        <sz val="10.5"/>
        <rFont val="Times New Roman"/>
        <family val="1"/>
      </rPr>
      <t>L</t>
    </r>
    <r>
      <rPr>
        <sz val="10.5"/>
        <rFont val="Times New Roman"/>
        <family val="1"/>
      </rPr>
      <t xml:space="preserve">, è pari a 1 − </t>
    </r>
    <r>
      <rPr>
        <i/>
        <sz val="10.5"/>
        <rFont val="Times New Roman"/>
        <family val="1"/>
      </rPr>
      <t>α</t>
    </r>
    <r>
      <rPr>
        <sz val="10.5"/>
        <rFont val="Times New Roman"/>
        <family val="1"/>
      </rPr>
      <t xml:space="preserve"> − </t>
    </r>
    <r>
      <rPr>
        <i/>
        <sz val="10.5"/>
        <rFont val="Times New Roman"/>
        <family val="1"/>
      </rPr>
      <t>β</t>
    </r>
    <r>
      <rPr>
        <sz val="10.5"/>
        <rFont val="Times New Roman"/>
        <family val="1"/>
      </rPr>
      <t xml:space="preserve">. Nel nostro caso, 1 − </t>
    </r>
    <r>
      <rPr>
        <i/>
        <sz val="10.5"/>
        <rFont val="Times New Roman"/>
        <family val="1"/>
      </rPr>
      <t>α</t>
    </r>
    <r>
      <rPr>
        <sz val="10.5"/>
        <rFont val="Times New Roman"/>
        <family val="1"/>
      </rPr>
      <t xml:space="preserve"> − </t>
    </r>
    <r>
      <rPr>
        <i/>
        <sz val="10.5"/>
        <rFont val="Times New Roman"/>
        <family val="1"/>
      </rPr>
      <t xml:space="preserve">β </t>
    </r>
    <r>
      <rPr>
        <sz val="10.5"/>
        <rFont val="Times New Roman"/>
        <family val="1"/>
      </rPr>
      <t>= 1 − 0,04 − 0,95 = 1,0%.</t>
    </r>
  </si>
  <si>
    <r>
      <t xml:space="preserve">1 − </t>
    </r>
    <r>
      <rPr>
        <i/>
        <sz val="10.5"/>
        <rFont val="Times New Roman"/>
        <family val="1"/>
      </rPr>
      <t>α</t>
    </r>
    <r>
      <rPr>
        <sz val="10.5"/>
        <rFont val="Times New Roman"/>
        <family val="1"/>
      </rPr>
      <t xml:space="preserve"> − </t>
    </r>
    <r>
      <rPr>
        <i/>
        <sz val="10.5"/>
        <rFont val="Times New Roman"/>
        <family val="1"/>
      </rPr>
      <t>β</t>
    </r>
  </si>
  <si>
    <r>
      <t xml:space="preserve">La «velocità di aggiustamento» (reversion rate) verso il tasso di varianza medio di lungo pe-riodo, </t>
    </r>
    <r>
      <rPr>
        <i/>
        <sz val="10.5"/>
        <rFont val="Times New Roman"/>
        <family val="1"/>
      </rPr>
      <t>V</t>
    </r>
    <r>
      <rPr>
        <i/>
        <vertAlign val="subscript"/>
        <sz val="10.5"/>
        <rFont val="Times New Roman"/>
        <family val="1"/>
      </rPr>
      <t>L</t>
    </r>
    <r>
      <rPr>
        <sz val="10.5"/>
        <rFont val="Times New Roman"/>
        <family val="1"/>
      </rPr>
      <t xml:space="preserve">, è pari a 1 − </t>
    </r>
    <r>
      <rPr>
        <i/>
        <sz val="10.5"/>
        <rFont val="Times New Roman"/>
        <family val="1"/>
      </rPr>
      <t>α</t>
    </r>
    <r>
      <rPr>
        <sz val="10.5"/>
        <rFont val="Times New Roman"/>
        <family val="1"/>
      </rPr>
      <t xml:space="preserve"> − </t>
    </r>
    <r>
      <rPr>
        <i/>
        <sz val="10.5"/>
        <rFont val="Times New Roman"/>
        <family val="1"/>
      </rPr>
      <t>β</t>
    </r>
    <r>
      <rPr>
        <sz val="10.5"/>
        <rFont val="Times New Roman"/>
        <family val="1"/>
      </rPr>
      <t xml:space="preserve">. L’EWMA è un caso particolare del GARCH(1,1) in cui </t>
    </r>
    <r>
      <rPr>
        <i/>
        <sz val="10.5"/>
        <rFont val="Times New Roman"/>
        <family val="1"/>
      </rPr>
      <t>ω</t>
    </r>
    <r>
      <rPr>
        <sz val="10.5"/>
        <rFont val="Times New Roman"/>
        <family val="1"/>
      </rPr>
      <t xml:space="preserve"> = 0 e </t>
    </r>
    <r>
      <rPr>
        <i/>
        <sz val="10.5"/>
        <rFont val="Times New Roman"/>
        <family val="1"/>
      </rPr>
      <t>α</t>
    </r>
    <r>
      <rPr>
        <sz val="10.5"/>
        <rFont val="Times New Roman"/>
        <family val="1"/>
      </rPr>
      <t xml:space="preserve"> + </t>
    </r>
    <r>
      <rPr>
        <i/>
        <sz val="10.5"/>
        <rFont val="Times New Roman"/>
        <family val="1"/>
      </rPr>
      <t>β</t>
    </r>
    <r>
      <rPr>
        <sz val="10.5"/>
        <rFont val="Times New Roman"/>
        <family val="1"/>
      </rPr>
      <t xml:space="preserve"> = 1. Pertanto, il reversion rate dell’EWMA è nullo.</t>
    </r>
  </si>
  <si>
    <r>
      <t xml:space="preserve">Secondo l’Emendamento del 1996, il capitele minimo a fronte dei rischi di mercato doveva essere pari a </t>
    </r>
    <r>
      <rPr>
        <i/>
        <sz val="10.5"/>
        <rFont val="Times New Roman"/>
        <family val="1"/>
      </rPr>
      <t xml:space="preserve">k </t>
    </r>
    <r>
      <rPr>
        <sz val="10.5"/>
        <rFont val="Times New Roman"/>
        <family val="1"/>
      </rPr>
      <t>volte il VaR decadale al 99%, con</t>
    </r>
    <r>
      <rPr>
        <i/>
        <sz val="10.5"/>
        <rFont val="Times New Roman"/>
        <family val="1"/>
      </rPr>
      <t xml:space="preserve"> k</t>
    </r>
    <r>
      <rPr>
        <sz val="10.5"/>
        <rFont val="Times New Roman"/>
        <family val="1"/>
      </rPr>
      <t xml:space="preserve"> pari almeno a 3.</t>
    </r>
  </si>
  <si>
    <r>
      <t xml:space="preserve">22.7. Il titolo A ha una volatilità giornaliera dell’1,5% mentre il titolo </t>
    </r>
    <r>
      <rPr>
        <b/>
        <i/>
        <sz val="10.5"/>
        <rFont val="Times New Roman"/>
        <family val="1"/>
      </rPr>
      <t>B</t>
    </r>
    <r>
      <rPr>
        <b/>
        <sz val="10.5"/>
        <rFont val="Times New Roman"/>
        <family val="1"/>
      </rPr>
      <t xml:space="preserve"> ha una volatilità giornaliera dell’1,0%. La correlazione tra i tassi di rendimento dei due titoli è di 0,8. </t>
    </r>
  </si>
  <si>
    <r>
      <t xml:space="preserve">Un investitore ha investito $2.000 nel titolo </t>
    </r>
    <r>
      <rPr>
        <b/>
        <i/>
        <sz val="10.5"/>
        <rFont val="Times New Roman"/>
        <family val="1"/>
      </rPr>
      <t>A</t>
    </r>
    <r>
      <rPr>
        <b/>
        <sz val="10.5"/>
        <rFont val="Times New Roman"/>
        <family val="1"/>
      </rPr>
      <t xml:space="preserve"> e $5.000 nel titolo </t>
    </r>
    <r>
      <rPr>
        <b/>
        <i/>
        <sz val="10.5"/>
        <rFont val="Times New Roman"/>
        <family val="1"/>
      </rPr>
      <t>B</t>
    </r>
    <r>
      <rPr>
        <b/>
        <sz val="10.5"/>
        <rFont val="Times New Roman"/>
        <family val="1"/>
      </rPr>
      <t xml:space="preserve">. Qual è il VaR giornaliero al 99%? </t>
    </r>
  </si>
  <si>
    <r>
      <t xml:space="preserve">Assumete che i tassi di rendimento si distribuiscano secondo una normale bivariata. Tenete presente che </t>
    </r>
    <r>
      <rPr>
        <b/>
        <i/>
        <sz val="10.5"/>
        <rFont val="Times New Roman"/>
        <family val="1"/>
      </rPr>
      <t>N</t>
    </r>
    <r>
      <rPr>
        <b/>
        <sz val="10.5"/>
        <rFont val="Times New Roman"/>
        <family val="1"/>
      </rPr>
      <t>(−2,326) = 1%.</t>
    </r>
  </si>
  <si>
    <r>
      <t xml:space="preserve">Le deviazioni standard delle variazioni giornaliere nel valore delle posizioni sul titolo </t>
    </r>
    <r>
      <rPr>
        <i/>
        <sz val="10.5"/>
        <rFont val="Times New Roman"/>
        <family val="1"/>
      </rPr>
      <t>A</t>
    </r>
    <r>
      <rPr>
        <sz val="10.5"/>
        <rFont val="Times New Roman"/>
        <family val="1"/>
      </rPr>
      <t xml:space="preserve"> e sul titolo </t>
    </r>
    <r>
      <rPr>
        <i/>
        <sz val="10.5"/>
        <rFont val="Times New Roman"/>
        <family val="1"/>
      </rPr>
      <t>B</t>
    </r>
    <r>
      <rPr>
        <sz val="10.5"/>
        <rFont val="Times New Roman"/>
        <family val="1"/>
      </rPr>
      <t xml:space="preserve"> sono pari, rispettivamente, a $30 (= $2.000 × 0,015) e a $50 (= $5.000 × 0,010). La varianza della variazione di valore dell’intero portafoglio è pari a $5.800.</t>
    </r>
  </si>
  <si>
    <r>
      <rPr>
        <i/>
        <sz val="10.5"/>
        <rFont val="Times New Roman"/>
        <family val="1"/>
      </rPr>
      <t>σ</t>
    </r>
    <r>
      <rPr>
        <i/>
        <vertAlign val="subscript"/>
        <sz val="10.5"/>
        <rFont val="Times New Roman"/>
        <family val="1"/>
      </rPr>
      <t>A</t>
    </r>
  </si>
  <si>
    <r>
      <rPr>
        <i/>
        <sz val="10.5"/>
        <rFont val="Times New Roman"/>
        <family val="1"/>
      </rPr>
      <t>σ</t>
    </r>
    <r>
      <rPr>
        <i/>
        <vertAlign val="subscript"/>
        <sz val="10.5"/>
        <rFont val="Times New Roman"/>
        <family val="1"/>
      </rPr>
      <t>B</t>
    </r>
  </si>
  <si>
    <r>
      <t>size</t>
    </r>
    <r>
      <rPr>
        <sz val="10.5"/>
        <rFont val="Times New Roman"/>
        <family val="1"/>
      </rPr>
      <t>_</t>
    </r>
    <r>
      <rPr>
        <i/>
        <sz val="10.5"/>
        <rFont val="Times New Roman"/>
        <family val="1"/>
      </rPr>
      <t>A</t>
    </r>
  </si>
  <si>
    <r>
      <t>size</t>
    </r>
    <r>
      <rPr>
        <sz val="10.5"/>
        <rFont val="Times New Roman"/>
        <family val="1"/>
      </rPr>
      <t>_</t>
    </r>
    <r>
      <rPr>
        <i/>
        <sz val="10.5"/>
        <rFont val="Times New Roman"/>
        <family val="1"/>
      </rPr>
      <t>B</t>
    </r>
  </si>
  <si>
    <r>
      <t>std(</t>
    </r>
    <r>
      <rPr>
        <sz val="10.5"/>
        <rFont val="Times New Roman"/>
        <family val="1"/>
      </rPr>
      <t>Δ</t>
    </r>
    <r>
      <rPr>
        <i/>
        <sz val="10.5"/>
        <rFont val="Times New Roman"/>
        <family val="1"/>
      </rPr>
      <t>V</t>
    </r>
    <r>
      <rPr>
        <i/>
        <vertAlign val="subscript"/>
        <sz val="10.5"/>
        <rFont val="Times New Roman"/>
        <family val="1"/>
      </rPr>
      <t>A</t>
    </r>
    <r>
      <rPr>
        <sz val="10.5"/>
        <rFont val="Times New Roman"/>
        <family val="1"/>
      </rPr>
      <t>)</t>
    </r>
  </si>
  <si>
    <r>
      <t>std(</t>
    </r>
    <r>
      <rPr>
        <sz val="10.5"/>
        <rFont val="Times New Roman"/>
        <family val="1"/>
      </rPr>
      <t>Δ</t>
    </r>
    <r>
      <rPr>
        <i/>
        <sz val="10.5"/>
        <rFont val="Times New Roman"/>
        <family val="1"/>
      </rPr>
      <t>V</t>
    </r>
    <r>
      <rPr>
        <i/>
        <vertAlign val="subscript"/>
        <sz val="10.5"/>
        <rFont val="Times New Roman"/>
        <family val="1"/>
      </rPr>
      <t>B</t>
    </r>
    <r>
      <rPr>
        <sz val="10.5"/>
        <rFont val="Times New Roman"/>
        <family val="1"/>
      </rPr>
      <t>)</t>
    </r>
  </si>
  <si>
    <r>
      <t>std(</t>
    </r>
    <r>
      <rPr>
        <sz val="10.5"/>
        <rFont val="Times New Roman"/>
        <family val="1"/>
      </rPr>
      <t>Δ</t>
    </r>
    <r>
      <rPr>
        <i/>
        <sz val="10.5"/>
        <rFont val="Times New Roman"/>
        <family val="1"/>
      </rPr>
      <t>V</t>
    </r>
    <r>
      <rPr>
        <sz val="10.5"/>
        <rFont val="Times New Roman"/>
        <family val="1"/>
      </rPr>
      <t>)</t>
    </r>
  </si>
  <si>
    <r>
      <rPr>
        <i/>
        <sz val="10.5"/>
        <rFont val="Times New Roman"/>
        <family val="1"/>
      </rPr>
      <t>N</t>
    </r>
    <r>
      <rPr>
        <vertAlign val="superscript"/>
        <sz val="10.5"/>
        <rFont val="Times New Roman"/>
        <family val="1"/>
      </rPr>
      <t>−1</t>
    </r>
    <r>
      <rPr>
        <sz val="10.5"/>
        <rFont val="Times New Roman"/>
        <family val="1"/>
      </rPr>
      <t>(</t>
    </r>
    <r>
      <rPr>
        <i/>
        <sz val="10.5"/>
        <rFont val="Times New Roman"/>
        <family val="1"/>
      </rPr>
      <t>α</t>
    </r>
    <r>
      <rPr>
        <sz val="10.5"/>
        <rFont val="Times New Roman"/>
        <family val="1"/>
      </rPr>
      <t>)</t>
    </r>
  </si>
  <si>
    <r>
      <t>Solo una delle seguenti equazioni rappresenta la relazione approssimata che lega la variazione di valore del portafoglio, Δ</t>
    </r>
    <r>
      <rPr>
        <b/>
        <i/>
        <sz val="10.5"/>
        <rFont val="Times New Roman"/>
        <family val="1"/>
      </rPr>
      <t>P</t>
    </r>
    <r>
      <rPr>
        <b/>
        <sz val="10.5"/>
        <rFont val="Times New Roman"/>
        <family val="1"/>
      </rPr>
      <t>, al tasso di rendimento giornaliero, Δ</t>
    </r>
    <r>
      <rPr>
        <b/>
        <i/>
        <sz val="10.5"/>
        <rFont val="Times New Roman"/>
        <family val="1"/>
      </rPr>
      <t>x</t>
    </r>
    <r>
      <rPr>
        <b/>
        <sz val="10.5"/>
        <rFont val="Times New Roman"/>
        <family val="1"/>
      </rPr>
      <t>, dell’azione. Quale?</t>
    </r>
  </si>
  <si>
    <r>
      <t>(a) Δ</t>
    </r>
    <r>
      <rPr>
        <i/>
        <sz val="10.5"/>
        <rFont val="Times New Roman"/>
        <family val="1"/>
      </rPr>
      <t>P</t>
    </r>
    <r>
      <rPr>
        <sz val="10.5"/>
        <rFont val="Times New Roman"/>
        <family val="1"/>
      </rPr>
      <t xml:space="preserve"> = $12 Δ</t>
    </r>
    <r>
      <rPr>
        <i/>
        <sz val="10.5"/>
        <rFont val="Times New Roman"/>
        <family val="1"/>
      </rPr>
      <t>x</t>
    </r>
    <r>
      <rPr>
        <sz val="10.5"/>
        <rFont val="Times New Roman"/>
        <family val="1"/>
      </rPr>
      <t>.</t>
    </r>
  </si>
  <si>
    <r>
      <t>(b) Δ</t>
    </r>
    <r>
      <rPr>
        <i/>
        <sz val="10.5"/>
        <rFont val="Times New Roman"/>
        <family val="1"/>
      </rPr>
      <t>P</t>
    </r>
    <r>
      <rPr>
        <sz val="10.5"/>
        <rFont val="Times New Roman"/>
        <family val="1"/>
      </rPr>
      <t xml:space="preserve"> = $1,2 Δ</t>
    </r>
    <r>
      <rPr>
        <i/>
        <sz val="10.5"/>
        <rFont val="Times New Roman"/>
        <family val="1"/>
      </rPr>
      <t>x</t>
    </r>
    <r>
      <rPr>
        <sz val="10.5"/>
        <rFont val="Times New Roman"/>
        <family val="1"/>
      </rPr>
      <t>.</t>
    </r>
  </si>
  <si>
    <r>
      <t>(c) Δ</t>
    </r>
    <r>
      <rPr>
        <i/>
        <sz val="10.5"/>
        <rFont val="Times New Roman"/>
        <family val="1"/>
      </rPr>
      <t>P</t>
    </r>
    <r>
      <rPr>
        <sz val="10.5"/>
        <rFont val="Times New Roman"/>
        <family val="1"/>
      </rPr>
      <t xml:space="preserve"> = $120 Δ</t>
    </r>
    <r>
      <rPr>
        <i/>
        <sz val="10.5"/>
        <rFont val="Times New Roman"/>
        <family val="1"/>
      </rPr>
      <t>x</t>
    </r>
    <r>
      <rPr>
        <sz val="10.5"/>
        <rFont val="Times New Roman"/>
        <family val="1"/>
      </rPr>
      <t>.</t>
    </r>
  </si>
  <si>
    <r>
      <t>(d) Δ</t>
    </r>
    <r>
      <rPr>
        <i/>
        <sz val="10.5"/>
        <rFont val="Times New Roman"/>
        <family val="1"/>
      </rPr>
      <t>P</t>
    </r>
    <r>
      <rPr>
        <sz val="10.5"/>
        <rFont val="Times New Roman"/>
        <family val="1"/>
      </rPr>
      <t xml:space="preserve"> = $22 Δ</t>
    </r>
    <r>
      <rPr>
        <i/>
        <sz val="10.5"/>
        <rFont val="Times New Roman"/>
        <family val="1"/>
      </rPr>
      <t>x</t>
    </r>
    <r>
      <rPr>
        <sz val="10.5"/>
        <rFont val="Times New Roman"/>
        <family val="1"/>
      </rPr>
      <t>.</t>
    </r>
  </si>
  <si>
    <r>
      <t xml:space="preserve">Sia </t>
    </r>
    <r>
      <rPr>
        <i/>
        <sz val="10.5"/>
        <rFont val="Times New Roman"/>
        <family val="1"/>
      </rPr>
      <t>S</t>
    </r>
    <r>
      <rPr>
        <sz val="10.5"/>
        <rFont val="Times New Roman"/>
        <family val="1"/>
      </rPr>
      <t xml:space="preserve"> il prezzo dell’azione e Δ</t>
    </r>
    <r>
      <rPr>
        <i/>
        <sz val="10.5"/>
        <rFont val="Times New Roman"/>
        <family val="1"/>
      </rPr>
      <t>S</t>
    </r>
    <r>
      <rPr>
        <sz val="10.5"/>
        <rFont val="Times New Roman"/>
        <family val="1"/>
      </rPr>
      <t xml:space="preserve"> la variazione del prezzo dell’azione. In base alla definizione del delta, si ha Δ</t>
    </r>
    <r>
      <rPr>
        <i/>
        <sz val="10.5"/>
        <rFont val="Times New Roman"/>
        <family val="1"/>
      </rPr>
      <t>P</t>
    </r>
    <r>
      <rPr>
        <sz val="10.5"/>
        <rFont val="Times New Roman"/>
        <family val="1"/>
      </rPr>
      <t xml:space="preserve"> = 12 Δ</t>
    </r>
    <r>
      <rPr>
        <i/>
        <sz val="10.5"/>
        <rFont val="Times New Roman"/>
        <family val="1"/>
      </rPr>
      <t>S</t>
    </r>
    <r>
      <rPr>
        <sz val="10.5"/>
        <rFont val="Times New Roman"/>
        <family val="1"/>
      </rPr>
      <t>. In altri termini, Δ</t>
    </r>
    <r>
      <rPr>
        <i/>
        <sz val="10.5"/>
        <rFont val="Times New Roman"/>
        <family val="1"/>
      </rPr>
      <t>P</t>
    </r>
    <r>
      <rPr>
        <sz val="10.5"/>
        <rFont val="Times New Roman"/>
        <family val="1"/>
      </rPr>
      <t xml:space="preserve"> = 12 × </t>
    </r>
    <r>
      <rPr>
        <i/>
        <sz val="10.5"/>
        <rFont val="Times New Roman"/>
        <family val="1"/>
      </rPr>
      <t>S</t>
    </r>
    <r>
      <rPr>
        <sz val="10.5"/>
        <rFont val="Times New Roman"/>
        <family val="1"/>
      </rPr>
      <t xml:space="preserve"> × (Δ</t>
    </r>
    <r>
      <rPr>
        <i/>
        <sz val="10.5"/>
        <rFont val="Times New Roman"/>
        <family val="1"/>
      </rPr>
      <t>S/S</t>
    </r>
    <r>
      <rPr>
        <sz val="10.5"/>
        <rFont val="Times New Roman"/>
        <family val="1"/>
      </rPr>
      <t xml:space="preserve">) = 12 × </t>
    </r>
    <r>
      <rPr>
        <i/>
        <sz val="10.5"/>
        <rFont val="Times New Roman"/>
        <family val="1"/>
      </rPr>
      <t>S</t>
    </r>
    <r>
      <rPr>
        <sz val="10.5"/>
        <rFont val="Times New Roman"/>
        <family val="1"/>
      </rPr>
      <t xml:space="preserve"> × Δ</t>
    </r>
    <r>
      <rPr>
        <i/>
        <sz val="10.5"/>
        <rFont val="Times New Roman"/>
        <family val="1"/>
      </rPr>
      <t>x</t>
    </r>
    <r>
      <rPr>
        <sz val="10.5"/>
        <rFont val="Times New Roman"/>
        <family val="1"/>
      </rPr>
      <t xml:space="preserve"> = $120 Δ</t>
    </r>
    <r>
      <rPr>
        <i/>
        <sz val="10.5"/>
        <rFont val="Times New Roman"/>
        <family val="1"/>
      </rPr>
      <t>x</t>
    </r>
    <r>
      <rPr>
        <sz val="10.5"/>
        <rFont val="Times New Roman"/>
        <family val="1"/>
      </rPr>
      <t>. Pertanto, la risposta corretta è quella sub (c).</t>
    </r>
  </si>
  <si>
    <r>
      <t>(a) $4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t>
    </r>
  </si>
  <si>
    <r>
      <t>(b) $2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t>
    </r>
  </si>
  <si>
    <r>
      <t>(c) $20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t>
    </r>
  </si>
  <si>
    <r>
      <t>(d) $200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t>
    </r>
  </si>
  <si>
    <r>
      <t xml:space="preserve">Sia </t>
    </r>
    <r>
      <rPr>
        <i/>
        <sz val="10.5"/>
        <rFont val="Times New Roman"/>
        <family val="1"/>
      </rPr>
      <t>S</t>
    </r>
    <r>
      <rPr>
        <sz val="10.5"/>
        <rFont val="Times New Roman"/>
        <family val="1"/>
      </rPr>
      <t xml:space="preserve"> il prezzo dell’azione e Δ</t>
    </r>
    <r>
      <rPr>
        <i/>
        <sz val="10.5"/>
        <rFont val="Times New Roman"/>
        <family val="1"/>
      </rPr>
      <t>S</t>
    </r>
    <r>
      <rPr>
        <sz val="10.5"/>
        <rFont val="Times New Roman"/>
        <family val="1"/>
      </rPr>
      <t xml:space="preserve"> la variazione del prezzo dell’azione. Dato che il delta è nullo, in base all’espansione in serie di Taylor e alla definizione del gamma si ha Δ</t>
    </r>
    <r>
      <rPr>
        <i/>
        <sz val="10.5"/>
        <rFont val="Times New Roman"/>
        <family val="1"/>
      </rPr>
      <t>P</t>
    </r>
    <r>
      <rPr>
        <sz val="10.5"/>
        <rFont val="Times New Roman"/>
        <family val="1"/>
      </rPr>
      <t xml:space="preserve"> = ½ × (4/$1) × (Δ</t>
    </r>
    <r>
      <rPr>
        <i/>
        <sz val="10.5"/>
        <rFont val="Times New Roman"/>
        <family val="1"/>
      </rPr>
      <t>S</t>
    </r>
    <r>
      <rPr>
        <sz val="10.5"/>
        <rFont val="Times New Roman"/>
        <family val="1"/>
      </rPr>
      <t>)</t>
    </r>
    <r>
      <rPr>
        <vertAlign val="superscript"/>
        <sz val="10.5"/>
        <rFont val="Times New Roman"/>
        <family val="1"/>
      </rPr>
      <t>2</t>
    </r>
    <r>
      <rPr>
        <sz val="10.5"/>
        <rFont val="Times New Roman"/>
        <family val="1"/>
      </rPr>
      <t xml:space="preserve">. </t>
    </r>
  </si>
  <si>
    <r>
      <t>In altri termini, Δ</t>
    </r>
    <r>
      <rPr>
        <i/>
        <sz val="10.5"/>
        <rFont val="Times New Roman"/>
        <family val="1"/>
      </rPr>
      <t>P</t>
    </r>
    <r>
      <rPr>
        <sz val="10.5"/>
        <rFont val="Times New Roman"/>
        <family val="1"/>
      </rPr>
      <t xml:space="preserve"> = ½ × (4/$1) × </t>
    </r>
    <r>
      <rPr>
        <i/>
        <sz val="10.5"/>
        <rFont val="Times New Roman"/>
        <family val="1"/>
      </rPr>
      <t>S</t>
    </r>
    <r>
      <rPr>
        <vertAlign val="superscript"/>
        <sz val="10.5"/>
        <rFont val="Times New Roman"/>
        <family val="1"/>
      </rPr>
      <t>2</t>
    </r>
    <r>
      <rPr>
        <sz val="10.5"/>
        <rFont val="Times New Roman"/>
        <family val="1"/>
      </rPr>
      <t xml:space="preserve"> × (Δ</t>
    </r>
    <r>
      <rPr>
        <i/>
        <sz val="10.5"/>
        <rFont val="Times New Roman"/>
        <family val="1"/>
      </rPr>
      <t>S</t>
    </r>
    <r>
      <rPr>
        <sz val="10.5"/>
        <rFont val="Times New Roman"/>
        <family val="1"/>
      </rPr>
      <t>/</t>
    </r>
    <r>
      <rPr>
        <i/>
        <sz val="10.5"/>
        <rFont val="Times New Roman"/>
        <family val="1"/>
      </rPr>
      <t>S</t>
    </r>
    <r>
      <rPr>
        <sz val="10.5"/>
        <rFont val="Times New Roman"/>
        <family val="1"/>
      </rPr>
      <t>)</t>
    </r>
    <r>
      <rPr>
        <vertAlign val="superscript"/>
        <sz val="10.5"/>
        <rFont val="Times New Roman"/>
        <family val="1"/>
      </rPr>
      <t>2</t>
    </r>
    <r>
      <rPr>
        <sz val="10.5"/>
        <rFont val="Times New Roman"/>
        <family val="1"/>
      </rPr>
      <t xml:space="preserve"> = (2/$1) × ($10)</t>
    </r>
    <r>
      <rPr>
        <vertAlign val="superscript"/>
        <sz val="10.5"/>
        <rFont val="Times New Roman"/>
        <family val="1"/>
      </rPr>
      <t>2</t>
    </r>
    <r>
      <rPr>
        <sz val="10.5"/>
        <rFont val="Times New Roman"/>
        <family val="1"/>
      </rPr>
      <t xml:space="preserve"> ×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 xml:space="preserve"> = $200 (Δ</t>
    </r>
    <r>
      <rPr>
        <i/>
        <sz val="10.5"/>
        <rFont val="Times New Roman"/>
        <family val="1"/>
      </rPr>
      <t>x</t>
    </r>
    <r>
      <rPr>
        <sz val="10.5"/>
        <rFont val="Times New Roman"/>
        <family val="1"/>
      </rPr>
      <t>)</t>
    </r>
    <r>
      <rPr>
        <vertAlign val="superscript"/>
        <sz val="10.5"/>
        <rFont val="Times New Roman"/>
        <family val="1"/>
      </rPr>
      <t>2</t>
    </r>
    <r>
      <rPr>
        <sz val="10.5"/>
        <rFont val="Times New Roman"/>
        <family val="1"/>
      </rPr>
      <t>. Pertanto, la risposta corretta è quella sub (d).</t>
    </r>
  </si>
  <si>
    <r>
      <t xml:space="preserve">Il numero dei nodi finali in un albero binomiale a </t>
    </r>
    <r>
      <rPr>
        <i/>
        <sz val="10.5"/>
        <rFont val="Times New Roman"/>
        <family val="1"/>
      </rPr>
      <t>n</t>
    </r>
    <r>
      <rPr>
        <sz val="10.5"/>
        <rFont val="Times New Roman"/>
        <family val="1"/>
      </rPr>
      <t xml:space="preserve"> stadi è pari a </t>
    </r>
    <r>
      <rPr>
        <i/>
        <sz val="10.5"/>
        <rFont val="Times New Roman"/>
        <family val="1"/>
      </rPr>
      <t>n</t>
    </r>
    <r>
      <rPr>
        <sz val="10.5"/>
        <rFont val="Times New Roman"/>
        <family val="1"/>
      </rPr>
      <t xml:space="preserve"> + 1. Pertanto, la risposta corretta per un albero a </t>
    </r>
    <r>
      <rPr>
        <i/>
        <sz val="10.5"/>
        <rFont val="Times New Roman"/>
        <family val="1"/>
      </rPr>
      <t>n</t>
    </r>
    <r>
      <rPr>
        <sz val="10.5"/>
        <rFont val="Times New Roman"/>
        <family val="1"/>
      </rPr>
      <t xml:space="preserve"> = 5 stadi, è 6 (= 5 + 1).</t>
    </r>
  </si>
  <si>
    <r>
      <t xml:space="preserve">21.3. Considerate il parametro </t>
    </r>
    <r>
      <rPr>
        <b/>
        <i/>
        <sz val="10.5"/>
        <rFont val="Times New Roman"/>
        <family val="1"/>
      </rPr>
      <t>u</t>
    </r>
    <r>
      <rPr>
        <b/>
        <sz val="10.5"/>
        <rFont val="Times New Roman"/>
        <family val="1"/>
      </rPr>
      <t xml:space="preserve"> nell’albero binomiale di Cox-Ross-Rubinstein. Solo una delle seguenti affermazioni è corretta. Quale?</t>
    </r>
  </si>
  <si>
    <r>
      <t xml:space="preserve">Nell’albero binomiale di Cox-Ross-Rubinstein, il parametro </t>
    </r>
    <r>
      <rPr>
        <i/>
        <sz val="10.5"/>
        <rFont val="Times New Roman"/>
        <family val="1"/>
      </rPr>
      <t>u</t>
    </r>
    <r>
      <rPr>
        <sz val="10.5"/>
        <rFont val="Times New Roman"/>
        <family val="1"/>
      </rPr>
      <t xml:space="preserve"> è dato dalla seguente formula:</t>
    </r>
  </si>
  <si>
    <r>
      <t xml:space="preserve">Pertanto, </t>
    </r>
    <r>
      <rPr>
        <i/>
        <sz val="10.5"/>
        <rFont val="Times New Roman"/>
        <family val="1"/>
      </rPr>
      <t>u</t>
    </r>
    <r>
      <rPr>
        <sz val="10.5"/>
        <rFont val="Times New Roman"/>
        <family val="1"/>
      </rPr>
      <t xml:space="preserve"> dipende dalla volatilità, ma non dal tasso d’interesse.</t>
    </r>
  </si>
  <si>
    <r>
      <t xml:space="preserve">Il numero dei sentieri temporali in un albero binomiale a </t>
    </r>
    <r>
      <rPr>
        <i/>
        <sz val="10.5"/>
        <rFont val="Times New Roman"/>
        <family val="1"/>
      </rPr>
      <t>n</t>
    </r>
    <r>
      <rPr>
        <sz val="10.5"/>
        <rFont val="Times New Roman"/>
        <family val="1"/>
      </rPr>
      <t xml:space="preserve"> stadi è pari a 2</t>
    </r>
    <r>
      <rPr>
        <i/>
        <sz val="10.5"/>
        <rFont val="Times New Roman"/>
        <family val="1"/>
      </rPr>
      <t>n</t>
    </r>
    <r>
      <rPr>
        <sz val="10.5"/>
        <rFont val="Times New Roman"/>
        <family val="1"/>
      </rPr>
      <t xml:space="preserve">. Pertanto, la risposta corretta per un albero a </t>
    </r>
    <r>
      <rPr>
        <i/>
        <sz val="10.5"/>
        <rFont val="Times New Roman"/>
        <family val="1"/>
      </rPr>
      <t>n</t>
    </r>
    <r>
      <rPr>
        <sz val="10.5"/>
        <rFont val="Times New Roman"/>
        <family val="1"/>
      </rPr>
      <t xml:space="preserve"> = 4 stadi, è 16 (= 2</t>
    </r>
    <r>
      <rPr>
        <vertAlign val="superscript"/>
        <sz val="10.5"/>
        <rFont val="Times New Roman"/>
        <family val="1"/>
      </rPr>
      <t>4</t>
    </r>
    <r>
      <rPr>
        <sz val="10.5"/>
        <rFont val="Times New Roman"/>
        <family val="1"/>
      </rPr>
      <t>).</t>
    </r>
  </si>
  <si>
    <r>
      <t xml:space="preserve">(a) I parametri </t>
    </r>
    <r>
      <rPr>
        <i/>
        <sz val="10.5"/>
        <rFont val="Times New Roman"/>
        <family val="1"/>
      </rPr>
      <t>u</t>
    </r>
    <r>
      <rPr>
        <sz val="10.5"/>
        <rFont val="Times New Roman"/>
        <family val="1"/>
      </rPr>
      <t xml:space="preserve"> e </t>
    </r>
    <r>
      <rPr>
        <i/>
        <sz val="10.5"/>
        <rFont val="Times New Roman"/>
        <family val="1"/>
      </rPr>
      <t>p</t>
    </r>
    <r>
      <rPr>
        <sz val="10.5"/>
        <rFont val="Times New Roman"/>
        <family val="1"/>
      </rPr>
      <t xml:space="preserve"> cambiano.</t>
    </r>
  </si>
  <si>
    <r>
      <t xml:space="preserve">(b) Il parametro </t>
    </r>
    <r>
      <rPr>
        <i/>
        <sz val="10.5"/>
        <rFont val="Times New Roman"/>
        <family val="1"/>
      </rPr>
      <t>p</t>
    </r>
    <r>
      <rPr>
        <sz val="10.5"/>
        <rFont val="Times New Roman"/>
        <family val="1"/>
      </rPr>
      <t xml:space="preserve"> cambia, ma </t>
    </r>
    <r>
      <rPr>
        <i/>
        <sz val="10.5"/>
        <rFont val="Times New Roman"/>
        <family val="1"/>
      </rPr>
      <t>u</t>
    </r>
    <r>
      <rPr>
        <sz val="10.5"/>
        <rFont val="Times New Roman"/>
        <family val="1"/>
      </rPr>
      <t xml:space="preserve"> no.</t>
    </r>
  </si>
  <si>
    <r>
      <t xml:space="preserve">(c) Il parametro </t>
    </r>
    <r>
      <rPr>
        <i/>
        <sz val="10.5"/>
        <rFont val="Times New Roman"/>
        <family val="1"/>
      </rPr>
      <t>u</t>
    </r>
    <r>
      <rPr>
        <sz val="10.5"/>
        <rFont val="Times New Roman"/>
        <family val="1"/>
      </rPr>
      <t xml:space="preserve"> cambia, ma </t>
    </r>
    <r>
      <rPr>
        <i/>
        <sz val="10.5"/>
        <rFont val="Times New Roman"/>
        <family val="1"/>
      </rPr>
      <t>p</t>
    </r>
    <r>
      <rPr>
        <sz val="10.5"/>
        <rFont val="Times New Roman"/>
        <family val="1"/>
      </rPr>
      <t xml:space="preserve"> no.</t>
    </r>
  </si>
  <si>
    <r>
      <t xml:space="preserve">(d) Non cambiano né </t>
    </r>
    <r>
      <rPr>
        <i/>
        <sz val="10.5"/>
        <rFont val="Times New Roman"/>
        <family val="1"/>
      </rPr>
      <t>u</t>
    </r>
    <r>
      <rPr>
        <sz val="10.5"/>
        <rFont val="Times New Roman"/>
        <family val="1"/>
      </rPr>
      <t xml:space="preserve"> né </t>
    </r>
    <r>
      <rPr>
        <i/>
        <sz val="10.5"/>
        <rFont val="Times New Roman"/>
        <family val="1"/>
      </rPr>
      <t>p</t>
    </r>
    <r>
      <rPr>
        <sz val="10.5"/>
        <rFont val="Times New Roman"/>
        <family val="1"/>
      </rPr>
      <t>.</t>
    </r>
  </si>
  <si>
    <r>
      <t xml:space="preserve">La formula per </t>
    </r>
    <r>
      <rPr>
        <i/>
        <sz val="10.5"/>
        <rFont val="Times New Roman"/>
        <family val="1"/>
      </rPr>
      <t xml:space="preserve">p </t>
    </r>
    <r>
      <rPr>
        <sz val="10.5"/>
        <rFont val="Times New Roman"/>
        <family val="1"/>
      </rPr>
      <t xml:space="preserve">cambia, ma quella per </t>
    </r>
    <r>
      <rPr>
        <i/>
        <sz val="10.5"/>
        <rFont val="Times New Roman"/>
        <family val="1"/>
      </rPr>
      <t>u</t>
    </r>
    <r>
      <rPr>
        <sz val="10.5"/>
        <rFont val="Times New Roman"/>
        <family val="1"/>
      </rPr>
      <t xml:space="preserve"> no.</t>
    </r>
  </si>
  <si>
    <r>
      <t xml:space="preserve">(a) Rendere </t>
    </r>
    <r>
      <rPr>
        <i/>
        <sz val="10.5"/>
        <rFont val="Times New Roman"/>
        <family val="1"/>
      </rPr>
      <t>u</t>
    </r>
    <r>
      <rPr>
        <sz val="10.5"/>
        <rFont val="Times New Roman"/>
        <family val="1"/>
      </rPr>
      <t xml:space="preserve"> funzione del tempo.</t>
    </r>
  </si>
  <si>
    <r>
      <t xml:space="preserve">(b) Rendere </t>
    </r>
    <r>
      <rPr>
        <i/>
        <sz val="10.5"/>
        <rFont val="Times New Roman"/>
        <family val="1"/>
      </rPr>
      <t>p</t>
    </r>
    <r>
      <rPr>
        <sz val="10.5"/>
        <rFont val="Times New Roman"/>
        <family val="1"/>
      </rPr>
      <t xml:space="preserve"> funzione del tempo.</t>
    </r>
  </si>
  <si>
    <r>
      <t xml:space="preserve">(c) Rendere </t>
    </r>
    <r>
      <rPr>
        <i/>
        <sz val="10.5"/>
        <rFont val="Times New Roman"/>
        <family val="1"/>
      </rPr>
      <t>u</t>
    </r>
    <r>
      <rPr>
        <sz val="10.5"/>
        <rFont val="Times New Roman"/>
        <family val="1"/>
      </rPr>
      <t xml:space="preserve"> e </t>
    </r>
    <r>
      <rPr>
        <i/>
        <sz val="10.5"/>
        <rFont val="Times New Roman"/>
        <family val="1"/>
      </rPr>
      <t>p</t>
    </r>
    <r>
      <rPr>
        <sz val="10.5"/>
        <rFont val="Times New Roman"/>
        <family val="1"/>
      </rPr>
      <t xml:space="preserve"> funzione del tempo.</t>
    </r>
  </si>
  <si>
    <r>
      <t xml:space="preserve">La formula per </t>
    </r>
    <r>
      <rPr>
        <i/>
        <sz val="10.5"/>
        <rFont val="Times New Roman"/>
        <family val="1"/>
      </rPr>
      <t>p</t>
    </r>
    <r>
      <rPr>
        <sz val="10.5"/>
        <rFont val="Times New Roman"/>
        <family val="1"/>
      </rPr>
      <t xml:space="preserve"> dipende dai tassi d’interesse, ma quella per </t>
    </r>
    <r>
      <rPr>
        <i/>
        <sz val="10.5"/>
        <rFont val="Times New Roman"/>
        <family val="1"/>
      </rPr>
      <t>u</t>
    </r>
    <r>
      <rPr>
        <sz val="10.5"/>
        <rFont val="Times New Roman"/>
        <family val="1"/>
      </rPr>
      <t xml:space="preserve"> no. Pertanto, è il parametro </t>
    </r>
    <r>
      <rPr>
        <i/>
        <sz val="10.5"/>
        <rFont val="Times New Roman"/>
        <family val="1"/>
      </rPr>
      <t>p</t>
    </r>
    <r>
      <rPr>
        <sz val="10.5"/>
        <rFont val="Times New Roman"/>
        <family val="1"/>
      </rPr>
      <t xml:space="preserve"> che viene reso funzione del tempo.</t>
    </r>
  </si>
  <si>
    <r>
      <t>C</t>
    </r>
    <r>
      <rPr>
        <i/>
        <vertAlign val="subscript"/>
        <sz val="10.5"/>
        <rFont val="Times New Roman"/>
        <family val="1"/>
      </rPr>
      <t>bin</t>
    </r>
  </si>
  <si>
    <r>
      <t>c</t>
    </r>
    <r>
      <rPr>
        <i/>
        <vertAlign val="subscript"/>
        <sz val="10.5"/>
        <rFont val="Times New Roman"/>
        <family val="1"/>
      </rPr>
      <t>bin</t>
    </r>
  </si>
  <si>
    <r>
      <t>c</t>
    </r>
    <r>
      <rPr>
        <i/>
        <vertAlign val="subscript"/>
        <sz val="10.5"/>
        <rFont val="Times New Roman"/>
        <family val="1"/>
      </rPr>
      <t>bsm</t>
    </r>
  </si>
  <si>
    <r>
      <t>C</t>
    </r>
    <r>
      <rPr>
        <i/>
        <vertAlign val="subscript"/>
        <sz val="10.5"/>
        <rFont val="Times New Roman"/>
        <family val="1"/>
      </rPr>
      <t>vc</t>
    </r>
  </si>
  <si>
    <r>
      <t xml:space="preserve">(a) La relazione tra </t>
    </r>
    <r>
      <rPr>
        <i/>
        <sz val="10.5"/>
        <rFont val="Times New Roman"/>
        <family val="1"/>
      </rPr>
      <t>u</t>
    </r>
    <r>
      <rPr>
        <sz val="10.5"/>
        <rFont val="Times New Roman"/>
        <family val="1"/>
      </rPr>
      <t xml:space="preserve"> e </t>
    </r>
    <r>
      <rPr>
        <i/>
        <sz val="10.5"/>
        <rFont val="Times New Roman"/>
        <family val="1"/>
      </rPr>
      <t>d</t>
    </r>
    <r>
      <rPr>
        <sz val="10.5"/>
        <rFont val="Times New Roman"/>
        <family val="1"/>
      </rPr>
      <t xml:space="preserve"> è </t>
    </r>
    <r>
      <rPr>
        <i/>
        <sz val="10.5"/>
        <rFont val="Times New Roman"/>
        <family val="1"/>
      </rPr>
      <t>u</t>
    </r>
    <r>
      <rPr>
        <sz val="10.5"/>
        <rFont val="Times New Roman"/>
        <family val="1"/>
      </rPr>
      <t xml:space="preserve"> = 1/</t>
    </r>
    <r>
      <rPr>
        <i/>
        <sz val="10.5"/>
        <rFont val="Times New Roman"/>
        <family val="1"/>
      </rPr>
      <t>d</t>
    </r>
    <r>
      <rPr>
        <sz val="10.5"/>
        <rFont val="Times New Roman"/>
        <family val="1"/>
      </rPr>
      <t>.</t>
    </r>
  </si>
  <si>
    <r>
      <t xml:space="preserve">(b) La relazione tra </t>
    </r>
    <r>
      <rPr>
        <i/>
        <sz val="10.5"/>
        <rFont val="Times New Roman"/>
        <family val="1"/>
      </rPr>
      <t>u</t>
    </r>
    <r>
      <rPr>
        <sz val="10.5"/>
        <rFont val="Times New Roman"/>
        <family val="1"/>
      </rPr>
      <t xml:space="preserve"> e </t>
    </r>
    <r>
      <rPr>
        <i/>
        <sz val="10.5"/>
        <rFont val="Times New Roman"/>
        <family val="1"/>
      </rPr>
      <t>d</t>
    </r>
    <r>
      <rPr>
        <sz val="10.5"/>
        <rFont val="Times New Roman"/>
        <family val="1"/>
      </rPr>
      <t xml:space="preserve"> è </t>
    </r>
    <r>
      <rPr>
        <i/>
        <sz val="10.5"/>
        <rFont val="Times New Roman"/>
        <family val="1"/>
      </rPr>
      <t>u</t>
    </r>
    <r>
      <rPr>
        <sz val="10.5"/>
        <rFont val="Times New Roman"/>
        <family val="1"/>
      </rPr>
      <t xml:space="preserve"> − 1 = 1 − </t>
    </r>
    <r>
      <rPr>
        <i/>
        <sz val="10.5"/>
        <rFont val="Times New Roman"/>
        <family val="1"/>
      </rPr>
      <t>d</t>
    </r>
    <r>
      <rPr>
        <sz val="10.5"/>
        <rFont val="Times New Roman"/>
        <family val="1"/>
      </rPr>
      <t>.</t>
    </r>
  </si>
  <si>
    <r>
      <t xml:space="preserve">Invece di utilizzare un grado di libertà per porre </t>
    </r>
    <r>
      <rPr>
        <i/>
        <sz val="10.5"/>
        <rFont val="Times New Roman"/>
        <family val="1"/>
      </rPr>
      <t>u</t>
    </r>
    <r>
      <rPr>
        <sz val="10.5"/>
        <rFont val="Times New Roman"/>
        <family val="1"/>
      </rPr>
      <t xml:space="preserve"> = 1/</t>
    </r>
    <r>
      <rPr>
        <i/>
        <sz val="10.5"/>
        <rFont val="Times New Roman"/>
        <family val="1"/>
      </rPr>
      <t>d</t>
    </r>
    <r>
      <rPr>
        <sz val="10.5"/>
        <rFont val="Times New Roman"/>
        <family val="1"/>
      </rPr>
      <t xml:space="preserve"> (come in CRR), il metodo alternativo utilizza un grado di libertà per fissare in 0,5 le probabilità di rialzo e di ribasso.</t>
    </r>
  </si>
  <si>
    <r>
      <t>Il metodo implicito delle differenze finite collega il prezzo relativo a un certo nodo del tempo</t>
    </r>
    <r>
      <rPr>
        <i/>
        <sz val="10.5"/>
        <rFont val="Times New Roman"/>
        <family val="1"/>
      </rPr>
      <t xml:space="preserve"> t</t>
    </r>
    <r>
      <rPr>
        <sz val="10.5"/>
        <rFont val="Times New Roman"/>
        <family val="1"/>
      </rPr>
      <t xml:space="preserve"> con i prezzi relativi a tre nodi del temp</t>
    </r>
    <r>
      <rPr>
        <i/>
        <sz val="10.5"/>
        <rFont val="Times New Roman"/>
        <family val="1"/>
      </rPr>
      <t>o t</t>
    </r>
    <r>
      <rPr>
        <sz val="10.5"/>
        <rFont val="Times New Roman"/>
        <family val="1"/>
      </rPr>
      <t xml:space="preserve"> − 1.</t>
    </r>
  </si>
  <si>
    <r>
      <t xml:space="preserve">Se si effettuano </t>
    </r>
    <r>
      <rPr>
        <i/>
        <sz val="10.5"/>
        <rFont val="Times New Roman"/>
        <family val="1"/>
      </rPr>
      <t>M</t>
    </r>
    <r>
      <rPr>
        <sz val="10.5"/>
        <rFont val="Times New Roman"/>
        <family val="1"/>
      </rPr>
      <t xml:space="preserve"> simulazioni indipendenti, si calcola di solito sia la media, </t>
    </r>
    <r>
      <rPr>
        <i/>
        <sz val="10.5"/>
        <rFont val="Times New Roman"/>
        <family val="1"/>
      </rPr>
      <t>μ</t>
    </r>
    <r>
      <rPr>
        <sz val="10.5"/>
        <rFont val="Times New Roman"/>
        <family val="1"/>
      </rPr>
      <t xml:space="preserve">, dei valori correnti del derivato ottenuti nelle </t>
    </r>
    <r>
      <rPr>
        <i/>
        <sz val="10.5"/>
        <rFont val="Times New Roman"/>
        <family val="1"/>
      </rPr>
      <t>M</t>
    </r>
    <r>
      <rPr>
        <sz val="10.5"/>
        <rFont val="Times New Roman"/>
        <family val="1"/>
      </rPr>
      <t xml:space="preserve"> simulazioni sia la loro deviazione standard, </t>
    </r>
    <r>
      <rPr>
        <i/>
        <sz val="10.5"/>
        <rFont val="Times New Roman"/>
        <family val="1"/>
      </rPr>
      <t>ω</t>
    </r>
    <r>
      <rPr>
        <sz val="10.5"/>
        <rFont val="Times New Roman"/>
        <family val="1"/>
      </rPr>
      <t xml:space="preserve">. </t>
    </r>
  </si>
  <si>
    <r>
      <t xml:space="preserve">L’errore standard della stima è </t>
    </r>
    <r>
      <rPr>
        <i/>
        <sz val="10.5"/>
        <rFont val="Times New Roman"/>
        <family val="1"/>
      </rPr>
      <t>ω</t>
    </r>
    <r>
      <rPr>
        <sz val="10.5"/>
        <rFont val="Times New Roman"/>
        <family val="1"/>
      </rPr>
      <t>/</t>
    </r>
    <r>
      <rPr>
        <sz val="10.5"/>
        <rFont val="Times New Roman"/>
        <family val="1"/>
      </rPr>
      <t>√</t>
    </r>
    <r>
      <rPr>
        <i/>
        <sz val="10.5"/>
        <rFont val="Times New Roman"/>
        <family val="1"/>
      </rPr>
      <t>M</t>
    </r>
    <r>
      <rPr>
        <sz val="10.5"/>
        <rFont val="Times New Roman"/>
        <family val="1"/>
      </rPr>
      <t>. Nel nostro caso, l’errore standard della stima è pari a $0,045 (= $4,5/</t>
    </r>
    <r>
      <rPr>
        <sz val="10.5"/>
        <rFont val="Times New Roman"/>
        <family val="1"/>
      </rPr>
      <t>√</t>
    </r>
    <r>
      <rPr>
        <sz val="10.5"/>
        <rFont val="Times New Roman"/>
        <family val="1"/>
      </rPr>
      <t>10.000).</t>
    </r>
  </si>
  <si>
    <r>
      <t>ω/</t>
    </r>
    <r>
      <rPr>
        <sz val="10.5"/>
        <rFont val="Times New Roman"/>
        <family val="1"/>
      </rPr>
      <t>√</t>
    </r>
    <r>
      <rPr>
        <i/>
        <sz val="10.5"/>
        <rFont val="Times New Roman"/>
        <family val="1"/>
      </rPr>
      <t>M</t>
    </r>
  </si>
  <si>
    <r>
      <t>S</t>
    </r>
    <r>
      <rPr>
        <vertAlign val="subscript"/>
        <sz val="10.5"/>
        <rFont val="Times New Roman"/>
        <family val="1"/>
      </rPr>
      <t>0</t>
    </r>
    <r>
      <rPr>
        <i/>
        <sz val="10.5"/>
        <rFont val="Times New Roman"/>
        <family val="1"/>
      </rPr>
      <t xml:space="preserve"> u</t>
    </r>
  </si>
  <si>
    <r>
      <t>c</t>
    </r>
    <r>
      <rPr>
        <i/>
        <vertAlign val="subscript"/>
        <sz val="10.5"/>
        <rFont val="Times New Roman"/>
        <family val="1"/>
      </rPr>
      <t>u</t>
    </r>
  </si>
  <si>
    <r>
      <t>S</t>
    </r>
    <r>
      <rPr>
        <vertAlign val="subscript"/>
        <sz val="10.5"/>
        <rFont val="Times New Roman"/>
        <family val="1"/>
      </rPr>
      <t>0</t>
    </r>
    <r>
      <rPr>
        <i/>
        <sz val="10.5"/>
        <rFont val="Times New Roman"/>
        <family val="1"/>
      </rPr>
      <t xml:space="preserve"> d</t>
    </r>
  </si>
  <si>
    <r>
      <t>c</t>
    </r>
    <r>
      <rPr>
        <i/>
        <vertAlign val="subscript"/>
        <sz val="10.5"/>
        <rFont val="Times New Roman"/>
        <family val="1"/>
      </rPr>
      <t>d</t>
    </r>
  </si>
  <si>
    <r>
      <rPr>
        <sz val="10.5"/>
        <rFont val="Times New Roman"/>
        <family val="1"/>
      </rPr>
      <t>Δ</t>
    </r>
    <r>
      <rPr>
        <i/>
        <vertAlign val="subscript"/>
        <sz val="10.5"/>
        <rFont val="Times New Roman"/>
        <family val="1"/>
      </rPr>
      <t>u</t>
    </r>
  </si>
  <si>
    <r>
      <rPr>
        <sz val="10.5"/>
        <rFont val="Times New Roman"/>
        <family val="1"/>
      </rPr>
      <t>(</t>
    </r>
    <r>
      <rPr>
        <i/>
        <sz val="10.5"/>
        <rFont val="Times New Roman"/>
        <family val="1"/>
      </rPr>
      <t>S</t>
    </r>
    <r>
      <rPr>
        <vertAlign val="subscript"/>
        <sz val="10.5"/>
        <rFont val="Times New Roman"/>
        <family val="1"/>
      </rPr>
      <t>0</t>
    </r>
    <r>
      <rPr>
        <i/>
        <sz val="10.5"/>
        <rFont val="Times New Roman"/>
        <family val="1"/>
      </rPr>
      <t>u</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)/2</t>
    </r>
  </si>
  <si>
    <r>
      <rPr>
        <sz val="10.5"/>
        <rFont val="Times New Roman"/>
        <family val="1"/>
      </rPr>
      <t>Δ</t>
    </r>
    <r>
      <rPr>
        <i/>
        <vertAlign val="subscript"/>
        <sz val="10.5"/>
        <rFont val="Times New Roman"/>
        <family val="1"/>
      </rPr>
      <t>d</t>
    </r>
  </si>
  <si>
    <r>
      <rPr>
        <sz val="10.5"/>
        <rFont val="Times New Roman"/>
        <family val="1"/>
      </rPr>
      <t>(</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S</t>
    </r>
    <r>
      <rPr>
        <vertAlign val="subscript"/>
        <sz val="10.5"/>
        <rFont val="Times New Roman"/>
        <family val="1"/>
      </rPr>
      <t>0</t>
    </r>
    <r>
      <rPr>
        <i/>
        <sz val="10.5"/>
        <rFont val="Times New Roman"/>
        <family val="1"/>
      </rPr>
      <t>d</t>
    </r>
    <r>
      <rPr>
        <sz val="10.5"/>
        <rFont val="Times New Roman"/>
        <family val="1"/>
      </rPr>
      <t>)/2</t>
    </r>
  </si>
  <si>
    <r>
      <t xml:space="preserve">(a) Il valore di </t>
    </r>
    <r>
      <rPr>
        <i/>
        <sz val="10.5"/>
        <rFont val="Times New Roman"/>
        <family val="1"/>
      </rPr>
      <t>u</t>
    </r>
    <r>
      <rPr>
        <sz val="10.5"/>
        <rFont val="Times New Roman"/>
        <family val="1"/>
      </rPr>
      <t xml:space="preserve"> è più elevato.</t>
    </r>
  </si>
  <si>
    <r>
      <t xml:space="preserve">(b) Il valore di </t>
    </r>
    <r>
      <rPr>
        <i/>
        <sz val="10.5"/>
        <rFont val="Times New Roman"/>
        <family val="1"/>
      </rPr>
      <t>u</t>
    </r>
    <r>
      <rPr>
        <sz val="10.5"/>
        <rFont val="Times New Roman"/>
        <family val="1"/>
      </rPr>
      <t xml:space="preserve"> è più basso.</t>
    </r>
  </si>
  <si>
    <r>
      <t xml:space="preserve">(a) Il </t>
    </r>
    <r>
      <rPr>
        <i/>
        <sz val="10.5"/>
        <rFont val="Times New Roman"/>
        <family val="1"/>
      </rPr>
      <t xml:space="preserve">volatility smile </t>
    </r>
    <r>
      <rPr>
        <sz val="10.5"/>
        <rFont val="Times New Roman"/>
        <family val="1"/>
      </rPr>
      <t xml:space="preserve">per le </t>
    </r>
    <r>
      <rPr>
        <i/>
        <sz val="10.5"/>
        <rFont val="Times New Roman"/>
        <family val="1"/>
      </rPr>
      <t>puts</t>
    </r>
    <r>
      <rPr>
        <sz val="10.5"/>
        <rFont val="Times New Roman"/>
        <family val="1"/>
      </rPr>
      <t xml:space="preserve"> europee è uguale al </t>
    </r>
    <r>
      <rPr>
        <i/>
        <sz val="10.5"/>
        <rFont val="Times New Roman"/>
        <family val="1"/>
      </rPr>
      <t>volatility smile</t>
    </r>
    <r>
      <rPr>
        <sz val="10.5"/>
        <rFont val="Times New Roman"/>
        <family val="1"/>
      </rPr>
      <t xml:space="preserve"> per le </t>
    </r>
    <r>
      <rPr>
        <i/>
        <sz val="10.5"/>
        <rFont val="Times New Roman"/>
        <family val="1"/>
      </rPr>
      <t>calls</t>
    </r>
    <r>
      <rPr>
        <sz val="10.5"/>
        <rFont val="Times New Roman"/>
        <family val="1"/>
      </rPr>
      <t xml:space="preserve"> europee.</t>
    </r>
  </si>
  <si>
    <r>
      <t xml:space="preserve">(b) Il </t>
    </r>
    <r>
      <rPr>
        <i/>
        <sz val="10.5"/>
        <rFont val="Times New Roman"/>
        <family val="1"/>
      </rPr>
      <t xml:space="preserve">volatility smile </t>
    </r>
    <r>
      <rPr>
        <sz val="10.5"/>
        <rFont val="Times New Roman"/>
        <family val="1"/>
      </rPr>
      <t xml:space="preserve">per le </t>
    </r>
    <r>
      <rPr>
        <i/>
        <sz val="10.5"/>
        <rFont val="Times New Roman"/>
        <family val="1"/>
      </rPr>
      <t>puts</t>
    </r>
    <r>
      <rPr>
        <sz val="10.5"/>
        <rFont val="Times New Roman"/>
        <family val="1"/>
      </rPr>
      <t xml:space="preserve"> europee è uguale al </t>
    </r>
    <r>
      <rPr>
        <i/>
        <sz val="10.5"/>
        <rFont val="Times New Roman"/>
        <family val="1"/>
      </rPr>
      <t xml:space="preserve">volatility smile </t>
    </r>
    <r>
      <rPr>
        <sz val="10.5"/>
        <rFont val="Times New Roman"/>
        <family val="1"/>
      </rPr>
      <t xml:space="preserve">per le </t>
    </r>
    <r>
      <rPr>
        <i/>
        <sz val="10.5"/>
        <rFont val="Times New Roman"/>
        <family val="1"/>
      </rPr>
      <t>puts</t>
    </r>
    <r>
      <rPr>
        <sz val="10.5"/>
        <rFont val="Times New Roman"/>
        <family val="1"/>
      </rPr>
      <t xml:space="preserve"> americane.</t>
    </r>
  </si>
  <si>
    <r>
      <t xml:space="preserve">(c) Il </t>
    </r>
    <r>
      <rPr>
        <i/>
        <sz val="10.5"/>
        <rFont val="Times New Roman"/>
        <family val="1"/>
      </rPr>
      <t xml:space="preserve">volatility smile </t>
    </r>
    <r>
      <rPr>
        <sz val="10.5"/>
        <rFont val="Times New Roman"/>
        <family val="1"/>
      </rPr>
      <t xml:space="preserve">per le </t>
    </r>
    <r>
      <rPr>
        <i/>
        <sz val="10.5"/>
        <rFont val="Times New Roman"/>
        <family val="1"/>
      </rPr>
      <t>calls</t>
    </r>
    <r>
      <rPr>
        <sz val="10.5"/>
        <rFont val="Times New Roman"/>
        <family val="1"/>
      </rPr>
      <t xml:space="preserve"> europee è uguale al </t>
    </r>
    <r>
      <rPr>
        <i/>
        <sz val="10.5"/>
        <rFont val="Times New Roman"/>
        <family val="1"/>
      </rPr>
      <t>volatility smile</t>
    </r>
    <r>
      <rPr>
        <sz val="10.5"/>
        <rFont val="Times New Roman"/>
        <family val="1"/>
      </rPr>
      <t xml:space="preserve"> per le </t>
    </r>
    <r>
      <rPr>
        <i/>
        <sz val="10.5"/>
        <rFont val="Times New Roman"/>
        <family val="1"/>
      </rPr>
      <t>calls</t>
    </r>
    <r>
      <rPr>
        <sz val="10.5"/>
        <rFont val="Times New Roman"/>
        <family val="1"/>
      </rPr>
      <t xml:space="preserve"> americane.</t>
    </r>
  </si>
  <si>
    <r>
      <t xml:space="preserve">(d) Il </t>
    </r>
    <r>
      <rPr>
        <i/>
        <sz val="10.5"/>
        <rFont val="Times New Roman"/>
        <family val="1"/>
      </rPr>
      <t xml:space="preserve">volatility smile </t>
    </r>
    <r>
      <rPr>
        <sz val="10.5"/>
        <rFont val="Times New Roman"/>
        <family val="1"/>
      </rPr>
      <t xml:space="preserve">per le </t>
    </r>
    <r>
      <rPr>
        <i/>
        <sz val="10.5"/>
        <rFont val="Times New Roman"/>
        <family val="1"/>
      </rPr>
      <t>puts</t>
    </r>
    <r>
      <rPr>
        <sz val="10.5"/>
        <rFont val="Times New Roman"/>
        <family val="1"/>
      </rPr>
      <t xml:space="preserve"> americane è uguale al </t>
    </r>
    <r>
      <rPr>
        <i/>
        <sz val="10.5"/>
        <rFont val="Times New Roman"/>
        <family val="1"/>
      </rPr>
      <t>volatility smile</t>
    </r>
    <r>
      <rPr>
        <sz val="10.5"/>
        <rFont val="Times New Roman"/>
        <family val="1"/>
      </rPr>
      <t xml:space="preserve"> per le </t>
    </r>
    <r>
      <rPr>
        <i/>
        <sz val="10.5"/>
        <rFont val="Times New Roman"/>
        <family val="1"/>
      </rPr>
      <t>calls</t>
    </r>
    <r>
      <rPr>
        <sz val="10.5"/>
        <rFont val="Times New Roman"/>
        <family val="1"/>
      </rPr>
      <t xml:space="preserve"> americane.</t>
    </r>
  </si>
  <si>
    <r>
      <t>Δ</t>
    </r>
    <r>
      <rPr>
        <i/>
        <vertAlign val="subscript"/>
        <sz val="10.5"/>
        <rFont val="Times New Roman"/>
        <family val="1"/>
      </rPr>
      <t>c</t>
    </r>
  </si>
  <si>
    <r>
      <t>N</t>
    </r>
    <r>
      <rPr>
        <i/>
        <vertAlign val="subscript"/>
        <sz val="10.5"/>
        <rFont val="Times New Roman"/>
        <family val="1"/>
      </rPr>
      <t>c</t>
    </r>
  </si>
  <si>
    <r>
      <t>N</t>
    </r>
    <r>
      <rPr>
        <i/>
        <vertAlign val="subscript"/>
        <sz val="10.5"/>
        <rFont val="Times New Roman"/>
        <family val="1"/>
      </rPr>
      <t>S</t>
    </r>
  </si>
  <si>
    <r>
      <t>L’affermazione sub (c) non è corretta. Se il portafoglio è delta neutral, una variazione del prezzo del sottostante pari a Δ</t>
    </r>
    <r>
      <rPr>
        <i/>
        <sz val="10.5"/>
        <rFont val="Times New Roman"/>
        <family val="1"/>
      </rPr>
      <t>S</t>
    </r>
    <r>
      <rPr>
        <sz val="10.5"/>
        <rFont val="Times New Roman"/>
        <family val="1"/>
      </rPr>
      <t xml:space="preserve"> comporta una variazione del valore del portafoglio pari a Θ Δ</t>
    </r>
    <r>
      <rPr>
        <i/>
        <sz val="10.5"/>
        <rFont val="Times New Roman"/>
        <family val="1"/>
      </rPr>
      <t>t</t>
    </r>
    <r>
      <rPr>
        <sz val="10.5"/>
        <rFont val="Times New Roman"/>
        <family val="1"/>
      </rPr>
      <t xml:space="preserve"> + ½Γ(Δ</t>
    </r>
    <r>
      <rPr>
        <i/>
        <sz val="10.5"/>
        <rFont val="Times New Roman"/>
        <family val="1"/>
      </rPr>
      <t>S</t>
    </r>
    <r>
      <rPr>
        <sz val="10.5"/>
        <rFont val="Times New Roman"/>
        <family val="1"/>
      </rPr>
      <t>)</t>
    </r>
    <r>
      <rPr>
        <vertAlign val="superscript"/>
        <sz val="10.5"/>
        <rFont val="Times New Roman"/>
        <family val="1"/>
      </rPr>
      <t>2</t>
    </r>
    <r>
      <rPr>
        <sz val="10.5"/>
        <rFont val="Times New Roman"/>
        <family val="1"/>
      </rPr>
      <t xml:space="preserve">. </t>
    </r>
  </si>
  <si>
    <r>
      <t xml:space="preserve">Il delta è pari a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dove</t>
    </r>
  </si>
  <si>
    <r>
      <t xml:space="preserve">Pertanto, quando </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si ha</t>
    </r>
  </si>
  <si>
    <r>
      <t xml:space="preserve">Questo valore è sempre positivo. Pertanto,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è sempre maggiore di 0,5.</t>
    </r>
  </si>
  <si>
    <r>
      <t xml:space="preserve">Il prezzo futures è pari a </t>
    </r>
    <r>
      <rPr>
        <i/>
        <sz val="10.5"/>
        <rFont val="Times New Roman"/>
        <family val="1"/>
      </rPr>
      <t>F</t>
    </r>
    <r>
      <rPr>
        <vertAlign val="subscript"/>
        <sz val="10.5"/>
        <rFont val="Times New Roman"/>
        <family val="1"/>
      </rPr>
      <t>0</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t>
    </r>
    <r>
      <rPr>
        <i/>
        <sz val="10.5"/>
        <rFont val="Times New Roman"/>
        <family val="1"/>
      </rPr>
      <t>e</t>
    </r>
    <r>
      <rPr>
        <vertAlign val="superscript"/>
        <sz val="10.5"/>
        <rFont val="Times New Roman"/>
        <family val="1"/>
      </rPr>
      <t>(</t>
    </r>
    <r>
      <rPr>
        <i/>
        <vertAlign val="superscript"/>
        <sz val="10.5"/>
        <rFont val="Times New Roman"/>
        <family val="1"/>
      </rPr>
      <t>r</t>
    </r>
    <r>
      <rPr>
        <vertAlign val="superscript"/>
        <sz val="10.5"/>
        <rFont val="Times New Roman"/>
        <family val="1"/>
      </rPr>
      <t>−</t>
    </r>
    <r>
      <rPr>
        <i/>
        <vertAlign val="superscript"/>
        <sz val="10.5"/>
        <rFont val="Times New Roman"/>
        <family val="1"/>
      </rPr>
      <t>q</t>
    </r>
    <r>
      <rPr>
        <vertAlign val="superscript"/>
        <sz val="10.5"/>
        <rFont val="Times New Roman"/>
        <family val="1"/>
      </rPr>
      <t xml:space="preserve">) </t>
    </r>
    <r>
      <rPr>
        <i/>
        <vertAlign val="superscript"/>
        <sz val="10.5"/>
        <rFont val="Times New Roman"/>
        <family val="1"/>
      </rPr>
      <t>T</t>
    </r>
    <r>
      <rPr>
        <sz val="10.5"/>
        <rFont val="Times New Roman"/>
        <family val="1"/>
      </rPr>
      <t xml:space="preserve">. Pertanto, il delta del futures rispetto al prezzo spot dell’indice è pari a </t>
    </r>
    <r>
      <rPr>
        <i/>
        <sz val="10.5"/>
        <rFont val="Times New Roman"/>
        <family val="1"/>
      </rPr>
      <t>e</t>
    </r>
    <r>
      <rPr>
        <vertAlign val="superscript"/>
        <sz val="10.5"/>
        <rFont val="Times New Roman"/>
        <family val="1"/>
      </rPr>
      <t>(</t>
    </r>
    <r>
      <rPr>
        <i/>
        <vertAlign val="superscript"/>
        <sz val="10.5"/>
        <rFont val="Times New Roman"/>
        <family val="1"/>
      </rPr>
      <t>r</t>
    </r>
    <r>
      <rPr>
        <vertAlign val="superscript"/>
        <sz val="10.5"/>
        <rFont val="Times New Roman"/>
        <family val="1"/>
      </rPr>
      <t>−</t>
    </r>
    <r>
      <rPr>
        <i/>
        <vertAlign val="superscript"/>
        <sz val="10.5"/>
        <rFont val="Times New Roman"/>
        <family val="1"/>
      </rPr>
      <t>q</t>
    </r>
    <r>
      <rPr>
        <vertAlign val="superscript"/>
        <sz val="10.5"/>
        <rFont val="Times New Roman"/>
        <family val="1"/>
      </rPr>
      <t xml:space="preserve">) </t>
    </r>
    <r>
      <rPr>
        <i/>
        <vertAlign val="superscript"/>
        <sz val="10.5"/>
        <rFont val="Times New Roman"/>
        <family val="1"/>
      </rPr>
      <t>T</t>
    </r>
    <r>
      <rPr>
        <sz val="10.5"/>
        <rFont val="Times New Roman"/>
        <family val="1"/>
      </rPr>
      <t xml:space="preserve">. Nel nostro caso, si ha </t>
    </r>
    <r>
      <rPr>
        <i/>
        <sz val="10.5"/>
        <rFont val="Times New Roman"/>
        <family val="1"/>
      </rPr>
      <t>e</t>
    </r>
    <r>
      <rPr>
        <vertAlign val="superscript"/>
        <sz val="10.5"/>
        <rFont val="Times New Roman"/>
        <family val="1"/>
      </rPr>
      <t>(0,05−0,02) × 1</t>
    </r>
    <r>
      <rPr>
        <sz val="10.5"/>
        <rFont val="Times New Roman"/>
        <family val="1"/>
      </rPr>
      <t xml:space="preserve"> = 1,03.</t>
    </r>
  </si>
  <si>
    <r>
      <t>Il portafoglio aumenta di valore in misura pari a ½Γ(Δ</t>
    </r>
    <r>
      <rPr>
        <i/>
        <sz val="10.5"/>
        <rFont val="Times New Roman"/>
        <family val="1"/>
      </rPr>
      <t>S</t>
    </r>
    <r>
      <rPr>
        <sz val="10.5"/>
        <rFont val="Times New Roman"/>
        <family val="1"/>
      </rPr>
      <t>)</t>
    </r>
    <r>
      <rPr>
        <vertAlign val="superscript"/>
        <sz val="10.5"/>
        <rFont val="Times New Roman"/>
        <family val="1"/>
      </rPr>
      <t>2</t>
    </r>
    <r>
      <rPr>
        <sz val="10.5"/>
        <rFont val="Times New Roman"/>
        <family val="1"/>
      </rPr>
      <t xml:space="preserve"> = ½ × 500 × ($3)</t>
    </r>
    <r>
      <rPr>
        <vertAlign val="superscript"/>
        <sz val="10.5"/>
        <rFont val="Times New Roman"/>
        <family val="1"/>
      </rPr>
      <t>2</t>
    </r>
    <r>
      <rPr>
        <sz val="10.5"/>
        <rFont val="Times New Roman"/>
        <family val="1"/>
      </rPr>
      <t xml:space="preserve"> = $2.250.</t>
    </r>
  </si>
  <si>
    <r>
      <rPr>
        <sz val="10.5"/>
        <rFont val="Times New Roman"/>
        <family val="1"/>
      </rPr>
      <t>Δ</t>
    </r>
    <r>
      <rPr>
        <i/>
        <sz val="10.5"/>
        <rFont val="Times New Roman"/>
        <family val="1"/>
      </rPr>
      <t>S</t>
    </r>
  </si>
  <si>
    <r>
      <t>½Γ(Δ</t>
    </r>
    <r>
      <rPr>
        <i/>
        <sz val="10.5"/>
        <rFont val="Times New Roman"/>
        <family val="1"/>
      </rPr>
      <t>S</t>
    </r>
    <r>
      <rPr>
        <sz val="10.5"/>
        <rFont val="Times New Roman"/>
        <family val="1"/>
      </rPr>
      <t>)</t>
    </r>
    <r>
      <rPr>
        <vertAlign val="superscript"/>
        <sz val="10.5"/>
        <rFont val="Times New Roman"/>
        <family val="1"/>
      </rPr>
      <t>2</t>
    </r>
  </si>
  <si>
    <r>
      <t xml:space="preserve">Il delta di una call scritta su un titolo che non paga dividendi è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xml:space="preserve">), mentre il delta della corrispondente put è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xml:space="preserve">) − 1. Quando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xml:space="preserve">) = 0,4,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− 1 = 0,4 − 1 = −0,6.</t>
    </r>
  </si>
  <si>
    <r>
      <rPr>
        <sz val="10.5"/>
        <rFont val="Times New Roman"/>
        <family val="1"/>
      </rPr>
      <t>Δ</t>
    </r>
    <r>
      <rPr>
        <i/>
        <vertAlign val="subscript"/>
        <sz val="10.5"/>
        <rFont val="Times New Roman"/>
        <family val="1"/>
      </rPr>
      <t>c</t>
    </r>
  </si>
  <si>
    <r>
      <rPr>
        <sz val="10.5"/>
        <rFont val="Times New Roman"/>
        <family val="1"/>
      </rPr>
      <t>Δ</t>
    </r>
    <r>
      <rPr>
        <i/>
        <vertAlign val="subscript"/>
        <sz val="10.5"/>
        <rFont val="Times New Roman"/>
        <family val="1"/>
      </rPr>
      <t>p</t>
    </r>
  </si>
  <si>
    <r>
      <t xml:space="preserve">(a) </t>
    </r>
    <r>
      <rPr>
        <i/>
        <sz val="10.5"/>
        <rFont val="Times New Roman"/>
        <family val="1"/>
      </rPr>
      <t>N</t>
    </r>
    <r>
      <rPr>
        <sz val="10.5"/>
        <rFont val="Times New Roman"/>
        <family val="1"/>
      </rPr>
      <t>(−0,1342)</t>
    </r>
  </si>
  <si>
    <r>
      <t xml:space="preserve">(b) </t>
    </r>
    <r>
      <rPr>
        <i/>
        <sz val="10.5"/>
        <rFont val="Times New Roman"/>
        <family val="1"/>
      </rPr>
      <t>N</t>
    </r>
    <r>
      <rPr>
        <sz val="10.5"/>
        <rFont val="Times New Roman"/>
        <family val="1"/>
      </rPr>
      <t>(−0,1888)</t>
    </r>
  </si>
  <si>
    <r>
      <t xml:space="preserve">(c) </t>
    </r>
    <r>
      <rPr>
        <i/>
        <sz val="10.5"/>
        <rFont val="Times New Roman"/>
        <family val="1"/>
      </rPr>
      <t>N</t>
    </r>
    <r>
      <rPr>
        <sz val="10.5"/>
        <rFont val="Times New Roman"/>
        <family val="1"/>
      </rPr>
      <t>(−0,2034)</t>
    </r>
  </si>
  <si>
    <r>
      <t xml:space="preserve">(d) </t>
    </r>
    <r>
      <rPr>
        <i/>
        <sz val="10.5"/>
        <rFont val="Times New Roman"/>
        <family val="1"/>
      </rPr>
      <t>N</t>
    </r>
    <r>
      <rPr>
        <sz val="10.5"/>
        <rFont val="Times New Roman"/>
        <family val="1"/>
      </rPr>
      <t>(−0,2241)</t>
    </r>
  </si>
  <si>
    <r>
      <rPr>
        <i/>
        <sz val="10.5"/>
        <rFont val="Times New Roman"/>
        <family val="1"/>
      </rPr>
      <t>S</t>
    </r>
    <r>
      <rPr>
        <vertAlign val="subscript"/>
        <sz val="10.5"/>
        <rFont val="Times New Roman"/>
        <family val="1"/>
      </rPr>
      <t>0</t>
    </r>
  </si>
  <si>
    <r>
      <t>d</t>
    </r>
    <r>
      <rPr>
        <vertAlign val="subscript"/>
        <sz val="10.5"/>
        <rFont val="Times New Roman"/>
        <family val="1"/>
      </rPr>
      <t>1</t>
    </r>
  </si>
  <si>
    <r>
      <t xml:space="preserve">(a) Una posizione lunga sul contratto </t>
    </r>
    <r>
      <rPr>
        <i/>
        <sz val="10.5"/>
        <rFont val="Times New Roman"/>
        <family val="1"/>
      </rPr>
      <t>futures</t>
    </r>
    <r>
      <rPr>
        <sz val="10.5"/>
        <rFont val="Times New Roman"/>
        <family val="1"/>
      </rPr>
      <t>.</t>
    </r>
  </si>
  <si>
    <r>
      <t xml:space="preserve">(b) Una posizione corta sul contratto </t>
    </r>
    <r>
      <rPr>
        <i/>
        <sz val="10.5"/>
        <rFont val="Times New Roman"/>
        <family val="1"/>
      </rPr>
      <t>futures.</t>
    </r>
  </si>
  <si>
    <r>
      <t xml:space="preserve">(c) Una posizione lunga sull’attività sottostante il contratto </t>
    </r>
    <r>
      <rPr>
        <i/>
        <sz val="10.5"/>
        <rFont val="Times New Roman"/>
        <family val="1"/>
      </rPr>
      <t>futures.</t>
    </r>
  </si>
  <si>
    <r>
      <t xml:space="preserve">(a) Una posizione lunga sul contratto </t>
    </r>
    <r>
      <rPr>
        <i/>
        <sz val="10.5"/>
        <rFont val="Times New Roman"/>
        <family val="1"/>
      </rPr>
      <t>futures.</t>
    </r>
  </si>
  <si>
    <r>
      <t xml:space="preserve">(a) Il prezzo </t>
    </r>
    <r>
      <rPr>
        <i/>
        <sz val="10.5"/>
        <rFont val="Times New Roman"/>
        <family val="1"/>
      </rPr>
      <t>futures</t>
    </r>
    <r>
      <rPr>
        <sz val="10.5"/>
        <rFont val="Times New Roman"/>
        <family val="1"/>
      </rPr>
      <t xml:space="preserve"> dello S&amp;P 500 può essere trattato alla stregua del prezzo </t>
    </r>
    <r>
      <rPr>
        <i/>
        <sz val="10.5"/>
        <rFont val="Times New Roman"/>
        <family val="1"/>
      </rPr>
      <t>spot</t>
    </r>
    <r>
      <rPr>
        <sz val="10.5"/>
        <rFont val="Times New Roman"/>
        <family val="1"/>
      </rPr>
      <t xml:space="preserve"> di un titolo che paga un </t>
    </r>
    <r>
      <rPr>
        <i/>
        <sz val="10.5"/>
        <rFont val="Times New Roman"/>
        <family val="1"/>
      </rPr>
      <t xml:space="preserve">dividend yield </t>
    </r>
    <r>
      <rPr>
        <sz val="10.5"/>
        <rFont val="Times New Roman"/>
        <family val="1"/>
      </rPr>
      <t>del 5%.</t>
    </r>
  </si>
  <si>
    <r>
      <t xml:space="preserve">(b) Il prezzo </t>
    </r>
    <r>
      <rPr>
        <i/>
        <sz val="10.5"/>
        <rFont val="Times New Roman"/>
        <family val="1"/>
      </rPr>
      <t>futures</t>
    </r>
    <r>
      <rPr>
        <sz val="10.5"/>
        <rFont val="Times New Roman"/>
        <family val="1"/>
      </rPr>
      <t xml:space="preserve"> dello S&amp;P 500 può essere trattato alla stregua del prezzo </t>
    </r>
    <r>
      <rPr>
        <i/>
        <sz val="10.5"/>
        <rFont val="Times New Roman"/>
        <family val="1"/>
      </rPr>
      <t>spot</t>
    </r>
    <r>
      <rPr>
        <sz val="10.5"/>
        <rFont val="Times New Roman"/>
        <family val="1"/>
      </rPr>
      <t xml:space="preserve"> di un titolo che paga un </t>
    </r>
    <r>
      <rPr>
        <i/>
        <sz val="10.5"/>
        <rFont val="Times New Roman"/>
        <family val="1"/>
      </rPr>
      <t>dividend yield</t>
    </r>
    <r>
      <rPr>
        <sz val="10.5"/>
        <rFont val="Times New Roman"/>
        <family val="1"/>
      </rPr>
      <t xml:space="preserve"> del 2%.</t>
    </r>
  </si>
  <si>
    <r>
      <t xml:space="preserve">(c) Il prezzo </t>
    </r>
    <r>
      <rPr>
        <i/>
        <sz val="10.5"/>
        <rFont val="Times New Roman"/>
        <family val="1"/>
      </rPr>
      <t>futures</t>
    </r>
    <r>
      <rPr>
        <sz val="10.5"/>
        <rFont val="Times New Roman"/>
        <family val="1"/>
      </rPr>
      <t xml:space="preserve"> dello S&amp;P 500 può essere trattato alla stregua del prezzo </t>
    </r>
    <r>
      <rPr>
        <i/>
        <sz val="10.5"/>
        <rFont val="Times New Roman"/>
        <family val="1"/>
      </rPr>
      <t>spot</t>
    </r>
    <r>
      <rPr>
        <sz val="10.5"/>
        <rFont val="Times New Roman"/>
        <family val="1"/>
      </rPr>
      <t xml:space="preserve"> di un titolo che paga un </t>
    </r>
    <r>
      <rPr>
        <i/>
        <sz val="10.5"/>
        <rFont val="Times New Roman"/>
        <family val="1"/>
      </rPr>
      <t>dividend yield</t>
    </r>
    <r>
      <rPr>
        <sz val="10.5"/>
        <rFont val="Times New Roman"/>
        <family val="1"/>
      </rPr>
      <t xml:space="preserve"> del 3%.</t>
    </r>
  </si>
  <si>
    <r>
      <t xml:space="preserve">(d) Il prezzo </t>
    </r>
    <r>
      <rPr>
        <i/>
        <sz val="10.5"/>
        <rFont val="Times New Roman"/>
        <family val="1"/>
      </rPr>
      <t>futures</t>
    </r>
    <r>
      <rPr>
        <sz val="10.5"/>
        <rFont val="Times New Roman"/>
        <family val="1"/>
      </rPr>
      <t xml:space="preserve"> dello S&amp;P 500 può essere trattato alla stregua del prezzo </t>
    </r>
    <r>
      <rPr>
        <i/>
        <sz val="10.5"/>
        <rFont val="Times New Roman"/>
        <family val="1"/>
      </rPr>
      <t>spot</t>
    </r>
    <r>
      <rPr>
        <sz val="10.5"/>
        <rFont val="Times New Roman"/>
        <family val="1"/>
      </rPr>
      <t xml:space="preserve"> di un titolo che paga un </t>
    </r>
    <r>
      <rPr>
        <i/>
        <sz val="10.5"/>
        <rFont val="Times New Roman"/>
        <family val="1"/>
      </rPr>
      <t>dividend yield</t>
    </r>
    <r>
      <rPr>
        <sz val="10.5"/>
        <rFont val="Times New Roman"/>
        <family val="1"/>
      </rPr>
      <t xml:space="preserve"> nullo.</t>
    </r>
  </si>
  <si>
    <r>
      <t xml:space="preserve">(a) Il modello di Black può essere utilizzato per valutare le opzioni americane su </t>
    </r>
    <r>
      <rPr>
        <i/>
        <sz val="10.5"/>
        <rFont val="Times New Roman"/>
        <family val="1"/>
      </rPr>
      <t>futures</t>
    </r>
    <r>
      <rPr>
        <sz val="10.5"/>
        <rFont val="Times New Roman"/>
        <family val="1"/>
      </rPr>
      <t>.</t>
    </r>
  </si>
  <si>
    <r>
      <t>(b) Il modello di Black può essere utilizzato per valutare le opzioni europee su</t>
    </r>
    <r>
      <rPr>
        <i/>
        <sz val="10.5"/>
        <rFont val="Times New Roman"/>
        <family val="1"/>
      </rPr>
      <t xml:space="preserve"> futures</t>
    </r>
    <r>
      <rPr>
        <sz val="10.5"/>
        <rFont val="Times New Roman"/>
        <family val="1"/>
      </rPr>
      <t>.</t>
    </r>
  </si>
  <si>
    <r>
      <t xml:space="preserve">(c) Il modello di Black può essere utilizzato per valutare le opzioni europee su </t>
    </r>
    <r>
      <rPr>
        <i/>
        <sz val="10.5"/>
        <rFont val="Times New Roman"/>
        <family val="1"/>
      </rPr>
      <t>spot</t>
    </r>
    <r>
      <rPr>
        <sz val="10.5"/>
        <rFont val="Times New Roman"/>
        <family val="1"/>
      </rPr>
      <t>.</t>
    </r>
  </si>
  <si>
    <r>
      <t xml:space="preserve">(d) Il modello di Black è molto utilizzato dai </t>
    </r>
    <r>
      <rPr>
        <i/>
        <sz val="10.5"/>
        <rFont val="Times New Roman"/>
        <family val="1"/>
      </rPr>
      <t>traders</t>
    </r>
    <r>
      <rPr>
        <sz val="10.5"/>
        <rFont val="Times New Roman"/>
        <family val="1"/>
      </rPr>
      <t>.</t>
    </r>
  </si>
  <si>
    <r>
      <t xml:space="preserve">(a) Le </t>
    </r>
    <r>
      <rPr>
        <i/>
        <sz val="10.5"/>
        <rFont val="Times New Roman"/>
        <family val="1"/>
      </rPr>
      <t>futures-style options</t>
    </r>
    <r>
      <rPr>
        <sz val="10.5"/>
        <rFont val="Times New Roman"/>
        <family val="1"/>
      </rPr>
      <t xml:space="preserve"> sono opzioni su </t>
    </r>
    <r>
      <rPr>
        <i/>
        <sz val="10.5"/>
        <rFont val="Times New Roman"/>
        <family val="1"/>
      </rPr>
      <t>futures</t>
    </r>
    <r>
      <rPr>
        <sz val="10.5"/>
        <rFont val="Times New Roman"/>
        <family val="1"/>
      </rPr>
      <t>.</t>
    </r>
  </si>
  <si>
    <r>
      <t xml:space="preserve">(b) Le </t>
    </r>
    <r>
      <rPr>
        <i/>
        <sz val="10.5"/>
        <rFont val="Times New Roman"/>
        <family val="1"/>
      </rPr>
      <t>futures-style options</t>
    </r>
    <r>
      <rPr>
        <sz val="10.5"/>
        <rFont val="Times New Roman"/>
        <family val="1"/>
      </rPr>
      <t xml:space="preserve"> sono opzioni su </t>
    </r>
    <r>
      <rPr>
        <i/>
        <sz val="10.5"/>
        <rFont val="Times New Roman"/>
        <family val="1"/>
      </rPr>
      <t>spot</t>
    </r>
    <r>
      <rPr>
        <sz val="10.5"/>
        <rFont val="Times New Roman"/>
        <family val="1"/>
      </rPr>
      <t xml:space="preserve"> che vengono liquidate giornalmente.</t>
    </r>
  </si>
  <si>
    <r>
      <t xml:space="preserve">(c) Le </t>
    </r>
    <r>
      <rPr>
        <i/>
        <sz val="10.5"/>
        <rFont val="Times New Roman"/>
        <family val="1"/>
      </rPr>
      <t>futures-style options</t>
    </r>
    <r>
      <rPr>
        <sz val="10.5"/>
        <rFont val="Times New Roman"/>
        <family val="1"/>
      </rPr>
      <t xml:space="preserve"> sono </t>
    </r>
    <r>
      <rPr>
        <i/>
        <sz val="10.5"/>
        <rFont val="Times New Roman"/>
        <family val="1"/>
      </rPr>
      <t>futures</t>
    </r>
    <r>
      <rPr>
        <sz val="10.5"/>
        <rFont val="Times New Roman"/>
        <family val="1"/>
      </rPr>
      <t xml:space="preserve"> scritti sul </t>
    </r>
    <r>
      <rPr>
        <i/>
        <sz val="10.5"/>
        <rFont val="Times New Roman"/>
        <family val="1"/>
      </rPr>
      <t>payoff</t>
    </r>
    <r>
      <rPr>
        <sz val="10.5"/>
        <rFont val="Times New Roman"/>
        <family val="1"/>
      </rPr>
      <t xml:space="preserve"> di un’opzione.</t>
    </r>
  </si>
  <si>
    <r>
      <t xml:space="preserve">La probabilità di rialzo è pari a (1 − </t>
    </r>
    <r>
      <rPr>
        <i/>
        <sz val="10.5"/>
        <rFont val="Times New Roman"/>
        <family val="1"/>
      </rPr>
      <t>d</t>
    </r>
    <r>
      <rPr>
        <sz val="10.5"/>
        <rFont val="Times New Roman"/>
        <family val="1"/>
      </rPr>
      <t>)/(</t>
    </r>
    <r>
      <rPr>
        <i/>
        <sz val="10.5"/>
        <rFont val="Times New Roman"/>
        <family val="1"/>
      </rPr>
      <t>u</t>
    </r>
    <r>
      <rPr>
        <sz val="10.5"/>
        <rFont val="Times New Roman"/>
        <family val="1"/>
      </rPr>
      <t xml:space="preserve"> − </t>
    </r>
    <r>
      <rPr>
        <i/>
        <sz val="10.5"/>
        <rFont val="Times New Roman"/>
        <family val="1"/>
      </rPr>
      <t>d</t>
    </r>
    <r>
      <rPr>
        <sz val="10.5"/>
        <rFont val="Times New Roman"/>
        <family val="1"/>
      </rPr>
      <t xml:space="preserve">). In questo caso, </t>
    </r>
    <r>
      <rPr>
        <i/>
        <sz val="10.5"/>
        <rFont val="Times New Roman"/>
        <family val="1"/>
      </rPr>
      <t>u</t>
    </r>
    <r>
      <rPr>
        <sz val="10.5"/>
        <rFont val="Times New Roman"/>
        <family val="1"/>
      </rPr>
      <t xml:space="preserve"> = 1,1 (= ¢44 / ¢40) e </t>
    </r>
    <r>
      <rPr>
        <i/>
        <sz val="10.5"/>
        <rFont val="Times New Roman"/>
        <family val="1"/>
      </rPr>
      <t>d</t>
    </r>
    <r>
      <rPr>
        <sz val="10.5"/>
        <rFont val="Times New Roman"/>
        <family val="1"/>
      </rPr>
      <t xml:space="preserve"> = 0,85 (= ¢34 / ¢40). Pertanto, la probabilità di rialzo è pari a 0,6.</t>
    </r>
  </si>
  <si>
    <r>
      <t>F</t>
    </r>
    <r>
      <rPr>
        <vertAlign val="subscript"/>
        <sz val="10.5"/>
        <rFont val="Times New Roman"/>
        <family val="1"/>
      </rPr>
      <t>0</t>
    </r>
  </si>
  <si>
    <r>
      <t>F</t>
    </r>
    <r>
      <rPr>
        <vertAlign val="subscript"/>
        <sz val="10.5"/>
        <rFont val="Times New Roman"/>
        <family val="1"/>
      </rPr>
      <t>0</t>
    </r>
    <r>
      <rPr>
        <i/>
        <sz val="10.5"/>
        <rFont val="Times New Roman"/>
        <family val="1"/>
      </rPr>
      <t xml:space="preserve"> u</t>
    </r>
  </si>
  <si>
    <r>
      <t>F</t>
    </r>
    <r>
      <rPr>
        <vertAlign val="subscript"/>
        <sz val="10.5"/>
        <rFont val="Times New Roman"/>
        <family val="1"/>
      </rPr>
      <t>0</t>
    </r>
    <r>
      <rPr>
        <i/>
        <sz val="10.5"/>
        <rFont val="Times New Roman"/>
        <family val="1"/>
      </rPr>
      <t xml:space="preserve"> d</t>
    </r>
  </si>
  <si>
    <r>
      <t xml:space="preserve">La probabilità di rialzo è pari a (1 − </t>
    </r>
    <r>
      <rPr>
        <i/>
        <sz val="10.5"/>
        <rFont val="Times New Roman"/>
        <family val="1"/>
      </rPr>
      <t>d</t>
    </r>
    <r>
      <rPr>
        <sz val="10.5"/>
        <rFont val="Times New Roman"/>
        <family val="1"/>
      </rPr>
      <t>)/(</t>
    </r>
    <r>
      <rPr>
        <i/>
        <sz val="10.5"/>
        <rFont val="Times New Roman"/>
        <family val="1"/>
      </rPr>
      <t>u</t>
    </r>
    <r>
      <rPr>
        <sz val="10.5"/>
        <rFont val="Times New Roman"/>
        <family val="1"/>
      </rPr>
      <t xml:space="preserve"> − </t>
    </r>
    <r>
      <rPr>
        <i/>
        <sz val="10.5"/>
        <rFont val="Times New Roman"/>
        <family val="1"/>
      </rPr>
      <t>d</t>
    </r>
    <r>
      <rPr>
        <sz val="10.5"/>
        <rFont val="Times New Roman"/>
        <family val="1"/>
      </rPr>
      <t xml:space="preserve">). In questo caso, </t>
    </r>
    <r>
      <rPr>
        <i/>
        <sz val="10.5"/>
        <rFont val="Times New Roman"/>
        <family val="1"/>
      </rPr>
      <t>u</t>
    </r>
    <r>
      <rPr>
        <sz val="10.5"/>
        <rFont val="Times New Roman"/>
        <family val="1"/>
      </rPr>
      <t xml:space="preserve"> = 1,1 (= ¢44 / ¢40) e </t>
    </r>
    <r>
      <rPr>
        <i/>
        <sz val="10.5"/>
        <rFont val="Times New Roman"/>
        <family val="1"/>
      </rPr>
      <t>d</t>
    </r>
    <r>
      <rPr>
        <sz val="10.5"/>
        <rFont val="Times New Roman"/>
        <family val="1"/>
      </rPr>
      <t xml:space="preserve"> = 0,85 (= ¢34 / ¢40). Pertanto, la probabilità di rialzo è pari a 0,6. La futures put paga ¢0 in caso di rialzo e ¢3 (= ¢37 − ¢34) in caso di ribasso. Pertanto, il suo valore è pari a ¢1,16.</t>
    </r>
  </si>
  <si>
    <r>
      <t xml:space="preserve">La probabilità di rialzo è pari a (1 − </t>
    </r>
    <r>
      <rPr>
        <i/>
        <sz val="10.5"/>
        <rFont val="Times New Roman"/>
        <family val="1"/>
      </rPr>
      <t>d</t>
    </r>
    <r>
      <rPr>
        <sz val="10.5"/>
        <rFont val="Times New Roman"/>
        <family val="1"/>
      </rPr>
      <t>)/(</t>
    </r>
    <r>
      <rPr>
        <i/>
        <sz val="10.5"/>
        <rFont val="Times New Roman"/>
        <family val="1"/>
      </rPr>
      <t>u</t>
    </r>
    <r>
      <rPr>
        <sz val="10.5"/>
        <rFont val="Times New Roman"/>
        <family val="1"/>
      </rPr>
      <t xml:space="preserve"> − </t>
    </r>
    <r>
      <rPr>
        <i/>
        <sz val="10.5"/>
        <rFont val="Times New Roman"/>
        <family val="1"/>
      </rPr>
      <t>d</t>
    </r>
    <r>
      <rPr>
        <sz val="10.5"/>
        <rFont val="Times New Roman"/>
        <family val="1"/>
      </rPr>
      <t xml:space="preserve">). In questo caso, </t>
    </r>
    <r>
      <rPr>
        <i/>
        <sz val="10.5"/>
        <rFont val="Times New Roman"/>
        <family val="1"/>
      </rPr>
      <t>u</t>
    </r>
    <r>
      <rPr>
        <sz val="10.5"/>
        <rFont val="Times New Roman"/>
        <family val="1"/>
      </rPr>
      <t xml:space="preserve"> = 1,1 (= ¢44 / ¢40) e </t>
    </r>
    <r>
      <rPr>
        <i/>
        <sz val="10.5"/>
        <rFont val="Times New Roman"/>
        <family val="1"/>
      </rPr>
      <t>d</t>
    </r>
    <r>
      <rPr>
        <sz val="10.5"/>
        <rFont val="Times New Roman"/>
        <family val="1"/>
      </rPr>
      <t xml:space="preserve"> = 0,85 (= ¢34 / ¢40). Pertanto, la probabilità di rialzo è pari a 0,6. La futures call paga ¢5 (= ¢44 − ¢39) in caso di rialzo e ¢0 in caso di ribasso. Pertanto, il suo valore è pari a ¢2,91.</t>
    </r>
  </si>
  <si>
    <r>
      <t xml:space="preserve">18.10. Solo una delle seguenti affermazioni sulle </t>
    </r>
    <r>
      <rPr>
        <b/>
        <i/>
        <sz val="10.5"/>
        <rFont val="Times New Roman"/>
        <family val="1"/>
      </rPr>
      <t xml:space="preserve">futures options </t>
    </r>
    <r>
      <rPr>
        <b/>
        <sz val="10.5"/>
        <rFont val="Times New Roman"/>
        <family val="1"/>
      </rPr>
      <t>è corretta. Quale?</t>
    </r>
  </si>
  <si>
    <r>
      <t xml:space="preserve">(a) In borsa vengono negoziate esclusivamente </t>
    </r>
    <r>
      <rPr>
        <i/>
        <sz val="10.5"/>
        <rFont val="Times New Roman"/>
        <family val="1"/>
      </rPr>
      <t xml:space="preserve">futures options </t>
    </r>
    <r>
      <rPr>
        <sz val="10.5"/>
        <rFont val="Times New Roman"/>
        <family val="1"/>
      </rPr>
      <t>europee.</t>
    </r>
  </si>
  <si>
    <r>
      <t xml:space="preserve">(b) In borsa vengono negoziate esclusivamente </t>
    </r>
    <r>
      <rPr>
        <i/>
        <sz val="10.5"/>
        <rFont val="Times New Roman"/>
        <family val="1"/>
      </rPr>
      <t>futures options</t>
    </r>
    <r>
      <rPr>
        <sz val="10.5"/>
        <rFont val="Times New Roman"/>
        <family val="1"/>
      </rPr>
      <t xml:space="preserve"> americane.</t>
    </r>
  </si>
  <si>
    <r>
      <t xml:space="preserve">(c) In borsa vengono negoziate sia </t>
    </r>
    <r>
      <rPr>
        <i/>
        <sz val="10.5"/>
        <rFont val="Times New Roman"/>
        <family val="1"/>
      </rPr>
      <t>futures options</t>
    </r>
    <r>
      <rPr>
        <sz val="10.5"/>
        <rFont val="Times New Roman"/>
        <family val="1"/>
      </rPr>
      <t xml:space="preserve"> europee sia </t>
    </r>
    <r>
      <rPr>
        <i/>
        <sz val="10.5"/>
        <rFont val="Times New Roman"/>
        <family val="1"/>
      </rPr>
      <t>futures options</t>
    </r>
    <r>
      <rPr>
        <sz val="10.5"/>
        <rFont val="Times New Roman"/>
        <family val="1"/>
      </rPr>
      <t xml:space="preserve"> americane.</t>
    </r>
  </si>
  <si>
    <r>
      <t xml:space="preserve">(d) Le </t>
    </r>
    <r>
      <rPr>
        <i/>
        <sz val="10.5"/>
        <rFont val="Times New Roman"/>
        <family val="1"/>
      </rPr>
      <t>futures options</t>
    </r>
    <r>
      <rPr>
        <sz val="10.5"/>
        <rFont val="Times New Roman"/>
        <family val="1"/>
      </rPr>
      <t xml:space="preserve"> vengono negoziate esclusivamente nel mercato OTC.</t>
    </r>
  </si>
  <si>
    <r>
      <t xml:space="preserve">In borsa vengono negoziate entrambe le tipologie di </t>
    </r>
    <r>
      <rPr>
        <i/>
        <sz val="10.5"/>
        <rFont val="Times New Roman"/>
        <family val="1"/>
      </rPr>
      <t>futures options</t>
    </r>
    <r>
      <rPr>
        <sz val="10.5"/>
        <rFont val="Times New Roman"/>
        <family val="1"/>
      </rPr>
      <t>, europee e americane.</t>
    </r>
  </si>
  <si>
    <r>
      <t xml:space="preserve">(a) $49,38 × </t>
    </r>
    <r>
      <rPr>
        <i/>
        <sz val="10.5"/>
        <rFont val="Times New Roman"/>
        <family val="1"/>
      </rPr>
      <t>N</t>
    </r>
    <r>
      <rPr>
        <sz val="10.5"/>
        <rFont val="Times New Roman"/>
        <family val="1"/>
      </rPr>
      <t xml:space="preserve">(0,05) − $49,38 × </t>
    </r>
    <r>
      <rPr>
        <i/>
        <sz val="10.5"/>
        <rFont val="Times New Roman"/>
        <family val="1"/>
      </rPr>
      <t>N</t>
    </r>
    <r>
      <rPr>
        <sz val="10.5"/>
        <rFont val="Times New Roman"/>
        <family val="1"/>
      </rPr>
      <t>(−0,05)</t>
    </r>
  </si>
  <si>
    <r>
      <t xml:space="preserve">(b) $50 × </t>
    </r>
    <r>
      <rPr>
        <i/>
        <sz val="10.5"/>
        <rFont val="Times New Roman"/>
        <family val="1"/>
      </rPr>
      <t>N</t>
    </r>
    <r>
      <rPr>
        <sz val="10.5"/>
        <rFont val="Times New Roman"/>
        <family val="1"/>
      </rPr>
      <t xml:space="preserve">(0,05) − $50 × </t>
    </r>
    <r>
      <rPr>
        <i/>
        <sz val="10.5"/>
        <rFont val="Times New Roman"/>
        <family val="1"/>
      </rPr>
      <t>N</t>
    </r>
    <r>
      <rPr>
        <sz val="10.5"/>
        <rFont val="Times New Roman"/>
        <family val="1"/>
      </rPr>
      <t>(−0,05)</t>
    </r>
  </si>
  <si>
    <r>
      <t xml:space="preserve">(c) $49,38 × </t>
    </r>
    <r>
      <rPr>
        <i/>
        <sz val="10.5"/>
        <rFont val="Times New Roman"/>
        <family val="1"/>
      </rPr>
      <t>N</t>
    </r>
    <r>
      <rPr>
        <sz val="10.5"/>
        <rFont val="Times New Roman"/>
        <family val="1"/>
      </rPr>
      <t xml:space="preserve">(0,1) − $49,38 × </t>
    </r>
    <r>
      <rPr>
        <i/>
        <sz val="10.5"/>
        <rFont val="Times New Roman"/>
        <family val="1"/>
      </rPr>
      <t>N</t>
    </r>
    <r>
      <rPr>
        <sz val="10.5"/>
        <rFont val="Times New Roman"/>
        <family val="1"/>
      </rPr>
      <t>(−0,1)</t>
    </r>
  </si>
  <si>
    <r>
      <t xml:space="preserve">(d) $50 × </t>
    </r>
    <r>
      <rPr>
        <i/>
        <sz val="10.5"/>
        <rFont val="Times New Roman"/>
        <family val="1"/>
      </rPr>
      <t>N</t>
    </r>
    <r>
      <rPr>
        <sz val="10.5"/>
        <rFont val="Times New Roman"/>
        <family val="1"/>
      </rPr>
      <t xml:space="preserve">(0,1) − $49,38 × </t>
    </r>
    <r>
      <rPr>
        <i/>
        <sz val="10.5"/>
        <rFont val="Times New Roman"/>
        <family val="1"/>
      </rPr>
      <t>N</t>
    </r>
    <r>
      <rPr>
        <sz val="10.5"/>
        <rFont val="Times New Roman"/>
        <family val="1"/>
      </rPr>
      <t>(−0,1)</t>
    </r>
  </si>
  <si>
    <r>
      <t xml:space="preserve">In questo caso </t>
    </r>
    <r>
      <rPr>
        <i/>
        <sz val="10.5"/>
        <rFont val="Times New Roman"/>
        <family val="1"/>
      </rPr>
      <t>F</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xml:space="preserve"> = $50, </t>
    </r>
    <r>
      <rPr>
        <i/>
        <sz val="10.5"/>
        <rFont val="Times New Roman"/>
        <family val="1"/>
      </rPr>
      <t>r</t>
    </r>
    <r>
      <rPr>
        <sz val="10.5"/>
        <rFont val="Times New Roman"/>
        <family val="1"/>
      </rPr>
      <t xml:space="preserve"> = 0,05, </t>
    </r>
    <r>
      <rPr>
        <i/>
        <sz val="10.5"/>
        <rFont val="Times New Roman"/>
        <family val="1"/>
      </rPr>
      <t>σ</t>
    </r>
    <r>
      <rPr>
        <sz val="10.5"/>
        <rFont val="Times New Roman"/>
        <family val="1"/>
      </rPr>
      <t xml:space="preserve"> = 0,2 e </t>
    </r>
    <r>
      <rPr>
        <i/>
        <sz val="10.5"/>
        <rFont val="Times New Roman"/>
        <family val="1"/>
      </rPr>
      <t>T</t>
    </r>
    <r>
      <rPr>
        <sz val="10.5"/>
        <rFont val="Times New Roman"/>
        <family val="1"/>
      </rPr>
      <t xml:space="preserve"> = 0,25 per cui </t>
    </r>
    <r>
      <rPr>
        <i/>
        <sz val="10.5"/>
        <rFont val="Times New Roman"/>
        <family val="1"/>
      </rPr>
      <t>F</t>
    </r>
    <r>
      <rPr>
        <vertAlign val="subscript"/>
        <sz val="10.5"/>
        <rFont val="Times New Roman"/>
        <family val="1"/>
      </rPr>
      <t>0</t>
    </r>
    <r>
      <rPr>
        <sz val="10.5"/>
        <rFont val="Times New Roman"/>
        <family val="1"/>
      </rPr>
      <t xml:space="preserve"> </t>
    </r>
    <r>
      <rPr>
        <i/>
        <sz val="10.5"/>
        <rFont val="Times New Roman"/>
        <family val="1"/>
      </rPr>
      <t>e</t>
    </r>
    <r>
      <rPr>
        <i/>
        <vertAlign val="superscript"/>
        <sz val="10.5"/>
        <rFont val="Times New Roman"/>
        <family val="1"/>
      </rPr>
      <t>−rT</t>
    </r>
    <r>
      <rPr>
        <sz val="10.5"/>
        <rFont val="Times New Roman"/>
        <family val="1"/>
      </rPr>
      <t xml:space="preserve"> = </t>
    </r>
    <r>
      <rPr>
        <i/>
        <sz val="10.5"/>
        <rFont val="Times New Roman"/>
        <family val="1"/>
      </rPr>
      <t>Ke</t>
    </r>
    <r>
      <rPr>
        <i/>
        <vertAlign val="superscript"/>
        <sz val="10.5"/>
        <rFont val="Times New Roman"/>
        <family val="1"/>
      </rPr>
      <t>−rT</t>
    </r>
    <r>
      <rPr>
        <sz val="10.5"/>
        <rFont val="Times New Roman"/>
        <family val="1"/>
      </rPr>
      <t xml:space="preserve"> = $50 </t>
    </r>
    <r>
      <rPr>
        <i/>
        <sz val="10.5"/>
        <rFont val="Times New Roman"/>
        <family val="1"/>
      </rPr>
      <t>e</t>
    </r>
    <r>
      <rPr>
        <vertAlign val="superscript"/>
        <sz val="10.5"/>
        <rFont val="Times New Roman"/>
        <family val="1"/>
      </rPr>
      <t>−0,05 × 0,25</t>
    </r>
    <r>
      <rPr>
        <sz val="10.5"/>
        <rFont val="Times New Roman"/>
        <family val="1"/>
      </rPr>
      <t xml:space="preserve"> = $49,38. Inoltre, </t>
    </r>
    <r>
      <rPr>
        <i/>
        <sz val="10.5"/>
        <rFont val="Times New Roman"/>
        <family val="1"/>
      </rPr>
      <t>d</t>
    </r>
    <r>
      <rPr>
        <vertAlign val="subscript"/>
        <sz val="10.5"/>
        <rFont val="Times New Roman"/>
        <family val="1"/>
      </rPr>
      <t>1</t>
    </r>
    <r>
      <rPr>
        <sz val="10.5"/>
        <rFont val="Times New Roman"/>
        <family val="1"/>
      </rPr>
      <t xml:space="preserve"> = [ln($50/$50) + (0,2</t>
    </r>
    <r>
      <rPr>
        <vertAlign val="superscript"/>
        <sz val="10.5"/>
        <rFont val="Times New Roman"/>
        <family val="1"/>
      </rPr>
      <t>2</t>
    </r>
    <r>
      <rPr>
        <sz val="10.5"/>
        <rFont val="Times New Roman"/>
        <family val="1"/>
      </rPr>
      <t xml:space="preserve">/2) × 0,25]/(0,2 × </t>
    </r>
    <r>
      <rPr>
        <sz val="10.5"/>
        <rFont val="Times New Roman"/>
        <family val="1"/>
      </rPr>
      <t>√</t>
    </r>
    <r>
      <rPr>
        <sz val="10.5"/>
        <rFont val="Times New Roman"/>
        <family val="1"/>
      </rPr>
      <t xml:space="preserve">0,25) = 0,05 e </t>
    </r>
    <r>
      <rPr>
        <i/>
        <sz val="10.5"/>
        <rFont val="Times New Roman"/>
        <family val="1"/>
      </rPr>
      <t>d</t>
    </r>
    <r>
      <rPr>
        <vertAlign val="subscript"/>
        <sz val="10.5"/>
        <rFont val="Times New Roman"/>
        <family val="1"/>
      </rPr>
      <t>2</t>
    </r>
    <r>
      <rPr>
        <sz val="10.5"/>
        <rFont val="Times New Roman"/>
        <family val="1"/>
      </rPr>
      <t xml:space="preserve"> = 0,05 – 0,2 × √0,25 = −0,05. Pertanto, la risposta corretta è quella sub (a).</t>
    </r>
  </si>
  <si>
    <r>
      <rPr>
        <i/>
        <sz val="10.5"/>
        <rFont val="Times New Roman"/>
        <family val="1"/>
      </rPr>
      <t>F</t>
    </r>
    <r>
      <rPr>
        <vertAlign val="subscript"/>
        <sz val="10.5"/>
        <rFont val="Times New Roman"/>
        <family val="1"/>
      </rPr>
      <t>0</t>
    </r>
  </si>
  <si>
    <r>
      <t>S</t>
    </r>
    <r>
      <rPr>
        <vertAlign val="subscript"/>
        <sz val="10.5"/>
        <rFont val="Times New Roman"/>
        <family val="1"/>
      </rPr>
      <t>0</t>
    </r>
    <r>
      <rPr>
        <i/>
        <sz val="10.5"/>
        <rFont val="Times New Roman"/>
        <family val="1"/>
      </rPr>
      <t xml:space="preserve"> e</t>
    </r>
    <r>
      <rPr>
        <i/>
        <vertAlign val="superscript"/>
        <sz val="10.5"/>
        <rFont val="Times New Roman"/>
        <family val="1"/>
      </rPr>
      <t>−rT</t>
    </r>
  </si>
  <si>
    <r>
      <t>K e</t>
    </r>
    <r>
      <rPr>
        <i/>
        <vertAlign val="superscript"/>
        <sz val="10.5"/>
        <rFont val="Times New Roman"/>
        <family val="1"/>
      </rPr>
      <t>−rT</t>
    </r>
  </si>
  <si>
    <r>
      <t>d</t>
    </r>
    <r>
      <rPr>
        <vertAlign val="subscript"/>
        <sz val="10.5"/>
        <rFont val="Times New Roman"/>
        <family val="1"/>
      </rPr>
      <t>2</t>
    </r>
    <r>
      <rPr>
        <sz val="10.5"/>
        <color theme="1"/>
        <rFont val="Times New Roman"/>
        <family val="1"/>
      </rPr>
      <t/>
    </r>
  </si>
  <si>
    <r>
      <t xml:space="preserve">La put-call parity è </t>
    </r>
    <r>
      <rPr>
        <i/>
        <sz val="10.5"/>
        <rFont val="Times New Roman"/>
        <family val="1"/>
      </rPr>
      <t>c</t>
    </r>
    <r>
      <rPr>
        <sz val="10.5"/>
        <rFont val="Times New Roman"/>
        <family val="1"/>
      </rPr>
      <t xml:space="preserve"> + </t>
    </r>
    <r>
      <rPr>
        <i/>
        <sz val="10.5"/>
        <rFont val="Times New Roman"/>
        <family val="1"/>
      </rPr>
      <t>K e</t>
    </r>
    <r>
      <rPr>
        <i/>
        <vertAlign val="superscript"/>
        <sz val="10.5"/>
        <rFont val="Times New Roman"/>
        <family val="1"/>
      </rPr>
      <t xml:space="preserve"> -rT</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F</t>
    </r>
    <r>
      <rPr>
        <vertAlign val="subscript"/>
        <sz val="10.5"/>
        <rFont val="Times New Roman"/>
        <family val="1"/>
      </rPr>
      <t>0</t>
    </r>
    <r>
      <rPr>
        <i/>
        <sz val="10.5"/>
        <rFont val="Times New Roman"/>
        <family val="1"/>
      </rPr>
      <t xml:space="preserve"> e</t>
    </r>
    <r>
      <rPr>
        <i/>
        <vertAlign val="superscript"/>
        <sz val="10.5"/>
        <rFont val="Times New Roman"/>
        <family val="1"/>
      </rPr>
      <t xml:space="preserve"> -rT</t>
    </r>
    <r>
      <rPr>
        <sz val="10.5"/>
        <rFont val="Times New Roman"/>
        <family val="1"/>
      </rPr>
      <t xml:space="preserve">. Quando </t>
    </r>
    <r>
      <rPr>
        <i/>
        <sz val="10.5"/>
        <rFont val="Times New Roman"/>
        <family val="1"/>
      </rPr>
      <t>F</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xml:space="preserve">, si ha </t>
    </r>
    <r>
      <rPr>
        <i/>
        <sz val="10.5"/>
        <rFont val="Times New Roman"/>
        <family val="1"/>
      </rPr>
      <t>c</t>
    </r>
    <r>
      <rPr>
        <sz val="10.5"/>
        <rFont val="Times New Roman"/>
        <family val="1"/>
      </rPr>
      <t xml:space="preserve"> = </t>
    </r>
    <r>
      <rPr>
        <i/>
        <sz val="10.5"/>
        <rFont val="Times New Roman"/>
        <family val="1"/>
      </rPr>
      <t>p</t>
    </r>
    <r>
      <rPr>
        <sz val="10.5"/>
        <rFont val="Times New Roman"/>
        <family val="1"/>
      </rPr>
      <t>.</t>
    </r>
  </si>
  <si>
    <r>
      <t xml:space="preserve">La put-call parity è </t>
    </r>
    <r>
      <rPr>
        <i/>
        <sz val="10.5"/>
        <rFont val="Times New Roman"/>
        <family val="1"/>
      </rPr>
      <t>c</t>
    </r>
    <r>
      <rPr>
        <sz val="10.5"/>
        <rFont val="Times New Roman"/>
        <family val="1"/>
      </rPr>
      <t xml:space="preserve"> + </t>
    </r>
    <r>
      <rPr>
        <i/>
        <sz val="10.5"/>
        <rFont val="Times New Roman"/>
        <family val="1"/>
      </rPr>
      <t>K e</t>
    </r>
    <r>
      <rPr>
        <i/>
        <vertAlign val="superscript"/>
        <sz val="10.5"/>
        <rFont val="Times New Roman"/>
        <family val="1"/>
      </rPr>
      <t xml:space="preserve"> -rT</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F</t>
    </r>
    <r>
      <rPr>
        <vertAlign val="subscript"/>
        <sz val="10.5"/>
        <rFont val="Times New Roman"/>
        <family val="1"/>
      </rPr>
      <t>0</t>
    </r>
    <r>
      <rPr>
        <sz val="10.5"/>
        <rFont val="Times New Roman"/>
        <family val="1"/>
      </rPr>
      <t xml:space="preserve"> </t>
    </r>
    <r>
      <rPr>
        <i/>
        <sz val="10.5"/>
        <rFont val="Times New Roman"/>
        <family val="1"/>
      </rPr>
      <t xml:space="preserve">e </t>
    </r>
    <r>
      <rPr>
        <i/>
        <vertAlign val="superscript"/>
        <sz val="10.5"/>
        <rFont val="Times New Roman"/>
        <family val="1"/>
      </rPr>
      <t>-rT</t>
    </r>
    <r>
      <rPr>
        <sz val="10.5"/>
        <rFont val="Times New Roman"/>
        <family val="1"/>
      </rPr>
      <t xml:space="preserve">. Pertanto </t>
    </r>
    <r>
      <rPr>
        <i/>
        <sz val="10.5"/>
        <rFont val="Times New Roman"/>
        <family val="1"/>
      </rPr>
      <t>F</t>
    </r>
    <r>
      <rPr>
        <vertAlign val="subscript"/>
        <sz val="10.5"/>
        <rFont val="Times New Roman"/>
        <family val="1"/>
      </rPr>
      <t>0</t>
    </r>
    <r>
      <rPr>
        <sz val="10.5"/>
        <rFont val="Times New Roman"/>
        <family val="1"/>
      </rPr>
      <t xml:space="preserve"> = $18,95:</t>
    </r>
  </si>
  <si>
    <r>
      <t xml:space="preserve">17.1. Una società sa che riceverà valuta estera e vuole coprire la sua esposizione valutaria con un </t>
    </r>
    <r>
      <rPr>
        <b/>
        <i/>
        <sz val="10.5"/>
        <rFont val="Times New Roman"/>
        <family val="1"/>
      </rPr>
      <t>range forward</t>
    </r>
    <r>
      <rPr>
        <b/>
        <sz val="10.5"/>
        <rFont val="Times New Roman"/>
        <family val="1"/>
      </rPr>
      <t>. Cosa dovrebbe fare? Solo una delle seguenti affermazioni è corretta.</t>
    </r>
  </si>
  <si>
    <r>
      <t xml:space="preserve">(b) Comprare una </t>
    </r>
    <r>
      <rPr>
        <i/>
        <sz val="10.5"/>
        <rFont val="Times New Roman"/>
        <family val="1"/>
      </rPr>
      <t>put</t>
    </r>
    <r>
      <rPr>
        <sz val="10.5"/>
        <rFont val="Times New Roman"/>
        <family val="1"/>
      </rPr>
      <t xml:space="preserve"> e vendere una </t>
    </r>
    <r>
      <rPr>
        <i/>
        <sz val="10.5"/>
        <rFont val="Times New Roman"/>
        <family val="1"/>
      </rPr>
      <t>call</t>
    </r>
    <r>
      <rPr>
        <sz val="10.5"/>
        <rFont val="Times New Roman"/>
        <family val="1"/>
      </rPr>
      <t xml:space="preserve"> scritte sulla valuta estera. Il prezzo d’esercizio della </t>
    </r>
    <r>
      <rPr>
        <i/>
        <sz val="10.5"/>
        <rFont val="Times New Roman"/>
        <family val="1"/>
      </rPr>
      <t>put</t>
    </r>
    <r>
      <rPr>
        <sz val="10.5"/>
        <rFont val="Times New Roman"/>
        <family val="1"/>
      </rPr>
      <t xml:space="preserve"> deve essere più basso di quello della </t>
    </r>
    <r>
      <rPr>
        <i/>
        <sz val="10.5"/>
        <rFont val="Times New Roman"/>
        <family val="1"/>
      </rPr>
      <t>call</t>
    </r>
    <r>
      <rPr>
        <sz val="10.5"/>
        <rFont val="Times New Roman"/>
        <family val="1"/>
      </rPr>
      <t>.</t>
    </r>
  </si>
  <si>
    <r>
      <t xml:space="preserve">(c) Comprare una </t>
    </r>
    <r>
      <rPr>
        <i/>
        <sz val="10.5"/>
        <rFont val="Times New Roman"/>
        <family val="1"/>
      </rPr>
      <t>call</t>
    </r>
    <r>
      <rPr>
        <sz val="10.5"/>
        <rFont val="Times New Roman"/>
        <family val="1"/>
      </rPr>
      <t xml:space="preserve"> e vendere una </t>
    </r>
    <r>
      <rPr>
        <i/>
        <sz val="10.5"/>
        <rFont val="Times New Roman"/>
        <family val="1"/>
      </rPr>
      <t>put</t>
    </r>
    <r>
      <rPr>
        <sz val="10.5"/>
        <rFont val="Times New Roman"/>
        <family val="1"/>
      </rPr>
      <t xml:space="preserve"> scritte sulla valuta estera. Il prezzo d’esercizio della </t>
    </r>
    <r>
      <rPr>
        <i/>
        <sz val="10.5"/>
        <rFont val="Times New Roman"/>
        <family val="1"/>
      </rPr>
      <t>put</t>
    </r>
    <r>
      <rPr>
        <sz val="10.5"/>
        <rFont val="Times New Roman"/>
        <family val="1"/>
      </rPr>
      <t xml:space="preserve"> deve essere più elevato di quello della </t>
    </r>
    <r>
      <rPr>
        <i/>
        <sz val="10.5"/>
        <rFont val="Times New Roman"/>
        <family val="1"/>
      </rPr>
      <t>call</t>
    </r>
    <r>
      <rPr>
        <sz val="10.5"/>
        <rFont val="Times New Roman"/>
        <family val="1"/>
      </rPr>
      <t>.</t>
    </r>
  </si>
  <si>
    <r>
      <t xml:space="preserve">(d) Comprare una </t>
    </r>
    <r>
      <rPr>
        <i/>
        <sz val="10.5"/>
        <rFont val="Times New Roman"/>
        <family val="1"/>
      </rPr>
      <t>call</t>
    </r>
    <r>
      <rPr>
        <sz val="10.5"/>
        <rFont val="Times New Roman"/>
        <family val="1"/>
      </rPr>
      <t xml:space="preserve"> e vendere una </t>
    </r>
    <r>
      <rPr>
        <i/>
        <sz val="10.5"/>
        <rFont val="Times New Roman"/>
        <family val="1"/>
      </rPr>
      <t>put</t>
    </r>
    <r>
      <rPr>
        <sz val="10.5"/>
        <rFont val="Times New Roman"/>
        <family val="1"/>
      </rPr>
      <t xml:space="preserve"> scritte sulla valuta estera. Il prezzo d’esercizio della </t>
    </r>
    <r>
      <rPr>
        <i/>
        <sz val="10.5"/>
        <rFont val="Times New Roman"/>
        <family val="1"/>
      </rPr>
      <t>put</t>
    </r>
    <r>
      <rPr>
        <sz val="10.5"/>
        <rFont val="Times New Roman"/>
        <family val="1"/>
      </rPr>
      <t xml:space="preserve"> deve essere più basso di quello della </t>
    </r>
    <r>
      <rPr>
        <i/>
        <sz val="10.5"/>
        <rFont val="Times New Roman"/>
        <family val="1"/>
      </rPr>
      <t>call</t>
    </r>
    <r>
      <rPr>
        <sz val="10.5"/>
        <rFont val="Times New Roman"/>
        <family val="1"/>
      </rPr>
      <t>.</t>
    </r>
  </si>
  <si>
    <r>
      <t xml:space="preserve">La società vuole che il prezzo che riceverà in cambio della valuta estera sia compreso tra </t>
    </r>
    <r>
      <rPr>
        <i/>
        <sz val="10.5"/>
        <rFont val="Times New Roman"/>
        <family val="1"/>
      </rPr>
      <t>K</t>
    </r>
    <r>
      <rPr>
        <vertAlign val="subscript"/>
        <sz val="10.5"/>
        <rFont val="Times New Roman"/>
        <family val="1"/>
      </rPr>
      <t>1</t>
    </r>
    <r>
      <rPr>
        <sz val="10.5"/>
        <rFont val="Times New Roman"/>
        <family val="1"/>
      </rPr>
      <t xml:space="preserve"> e </t>
    </r>
    <r>
      <rPr>
        <i/>
        <sz val="10.5"/>
        <rFont val="Times New Roman"/>
        <family val="1"/>
      </rPr>
      <t>K</t>
    </r>
    <r>
      <rPr>
        <vertAlign val="subscript"/>
        <sz val="10.5"/>
        <rFont val="Times New Roman"/>
        <family val="1"/>
      </rPr>
      <t>2</t>
    </r>
    <r>
      <rPr>
        <sz val="10.5"/>
        <rFont val="Times New Roman"/>
        <family val="1"/>
      </rPr>
      <t xml:space="preserve"> (</t>
    </r>
    <r>
      <rPr>
        <i/>
        <sz val="10.5"/>
        <rFont val="Times New Roman"/>
        <family val="1"/>
      </rPr>
      <t>K</t>
    </r>
    <r>
      <rPr>
        <vertAlign val="subscript"/>
        <sz val="10.5"/>
        <rFont val="Times New Roman"/>
        <family val="1"/>
      </rPr>
      <t>1</t>
    </r>
    <r>
      <rPr>
        <sz val="10.5"/>
        <rFont val="Times New Roman"/>
        <family val="1"/>
      </rPr>
      <t xml:space="preserve"> &lt; </t>
    </r>
    <r>
      <rPr>
        <i/>
        <sz val="10.5"/>
        <rFont val="Times New Roman"/>
        <family val="1"/>
      </rPr>
      <t>K</t>
    </r>
    <r>
      <rPr>
        <vertAlign val="subscript"/>
        <sz val="10.5"/>
        <rFont val="Times New Roman"/>
        <family val="1"/>
      </rPr>
      <t>2</t>
    </r>
    <r>
      <rPr>
        <sz val="10.5"/>
        <rFont val="Times New Roman"/>
        <family val="1"/>
      </rPr>
      <t xml:space="preserve">). Pertanto, compra una put con strike </t>
    </r>
    <r>
      <rPr>
        <i/>
        <sz val="10.5"/>
        <rFont val="Times New Roman"/>
        <family val="1"/>
      </rPr>
      <t>K</t>
    </r>
    <r>
      <rPr>
        <vertAlign val="subscript"/>
        <sz val="10.5"/>
        <rFont val="Times New Roman"/>
        <family val="1"/>
      </rPr>
      <t>1</t>
    </r>
    <r>
      <rPr>
        <sz val="10.5"/>
        <rFont val="Times New Roman"/>
        <family val="1"/>
      </rPr>
      <t xml:space="preserve"> e vende una call con strike </t>
    </r>
    <r>
      <rPr>
        <i/>
        <sz val="10.5"/>
        <rFont val="Times New Roman"/>
        <family val="1"/>
      </rPr>
      <t>K</t>
    </r>
    <r>
      <rPr>
        <vertAlign val="subscript"/>
        <sz val="10.5"/>
        <rFont val="Times New Roman"/>
        <family val="1"/>
      </rPr>
      <t>2</t>
    </r>
    <r>
      <rPr>
        <sz val="10.5"/>
        <rFont val="Times New Roman"/>
        <family val="1"/>
      </rPr>
      <t xml:space="preserve">. </t>
    </r>
  </si>
  <si>
    <r>
      <t xml:space="preserve">(a) Comprare una </t>
    </r>
    <r>
      <rPr>
        <i/>
        <sz val="10.5"/>
        <rFont val="Times New Roman"/>
        <family val="1"/>
      </rPr>
      <t>put</t>
    </r>
    <r>
      <rPr>
        <sz val="10.5"/>
        <rFont val="Times New Roman"/>
        <family val="1"/>
      </rPr>
      <t xml:space="preserve"> e vendere una </t>
    </r>
    <r>
      <rPr>
        <i/>
        <sz val="10.5"/>
        <rFont val="Times New Roman"/>
        <family val="1"/>
      </rPr>
      <t>call</t>
    </r>
    <r>
      <rPr>
        <sz val="10.5"/>
        <rFont val="Times New Roman"/>
        <family val="1"/>
      </rPr>
      <t xml:space="preserve"> scritte sulla valuta estera. Il prezzo d’esercizio della </t>
    </r>
    <r>
      <rPr>
        <i/>
        <sz val="10.5"/>
        <rFont val="Times New Roman"/>
        <family val="1"/>
      </rPr>
      <t>put</t>
    </r>
    <r>
      <rPr>
        <sz val="10.5"/>
        <rFont val="Times New Roman"/>
        <family val="1"/>
      </rPr>
      <t xml:space="preserve"> deve essere più elevato di quello della </t>
    </r>
    <r>
      <rPr>
        <i/>
        <sz val="10.5"/>
        <rFont val="Times New Roman"/>
        <family val="1"/>
      </rPr>
      <t>call</t>
    </r>
    <r>
      <rPr>
        <sz val="10.5"/>
        <rFont val="Times New Roman"/>
        <family val="1"/>
      </rPr>
      <t>.</t>
    </r>
  </si>
  <si>
    <r>
      <t xml:space="preserve">La società vuole che il prezzo che pagherà in cambio della valuta estera sia compreso tra </t>
    </r>
    <r>
      <rPr>
        <i/>
        <sz val="10.5"/>
        <rFont val="Times New Roman"/>
        <family val="1"/>
      </rPr>
      <t>K</t>
    </r>
    <r>
      <rPr>
        <vertAlign val="subscript"/>
        <sz val="10.5"/>
        <rFont val="Times New Roman"/>
        <family val="1"/>
      </rPr>
      <t>1</t>
    </r>
    <r>
      <rPr>
        <sz val="10.5"/>
        <rFont val="Times New Roman"/>
        <family val="1"/>
      </rPr>
      <t xml:space="preserve"> e </t>
    </r>
    <r>
      <rPr>
        <i/>
        <sz val="10.5"/>
        <rFont val="Times New Roman"/>
        <family val="1"/>
      </rPr>
      <t>K</t>
    </r>
    <r>
      <rPr>
        <vertAlign val="subscript"/>
        <sz val="10.5"/>
        <rFont val="Times New Roman"/>
        <family val="1"/>
      </rPr>
      <t>2</t>
    </r>
    <r>
      <rPr>
        <sz val="10.5"/>
        <rFont val="Times New Roman"/>
        <family val="1"/>
      </rPr>
      <t xml:space="preserve"> (</t>
    </r>
    <r>
      <rPr>
        <i/>
        <sz val="10.5"/>
        <rFont val="Times New Roman"/>
        <family val="1"/>
      </rPr>
      <t>K</t>
    </r>
    <r>
      <rPr>
        <vertAlign val="subscript"/>
        <sz val="10.5"/>
        <rFont val="Times New Roman"/>
        <family val="1"/>
      </rPr>
      <t>1</t>
    </r>
    <r>
      <rPr>
        <sz val="10.5"/>
        <rFont val="Times New Roman"/>
        <family val="1"/>
      </rPr>
      <t xml:space="preserve"> &lt; </t>
    </r>
    <r>
      <rPr>
        <i/>
        <sz val="10.5"/>
        <rFont val="Times New Roman"/>
        <family val="1"/>
      </rPr>
      <t>K</t>
    </r>
    <r>
      <rPr>
        <vertAlign val="subscript"/>
        <sz val="10.5"/>
        <rFont val="Times New Roman"/>
        <family val="1"/>
      </rPr>
      <t>2</t>
    </r>
    <r>
      <rPr>
        <sz val="10.5"/>
        <rFont val="Times New Roman"/>
        <family val="1"/>
      </rPr>
      <t xml:space="preserve">). Pertanto, vende una put con strike </t>
    </r>
    <r>
      <rPr>
        <i/>
        <sz val="10.5"/>
        <rFont val="Times New Roman"/>
        <family val="1"/>
      </rPr>
      <t>K</t>
    </r>
    <r>
      <rPr>
        <vertAlign val="subscript"/>
        <sz val="10.5"/>
        <rFont val="Times New Roman"/>
        <family val="1"/>
      </rPr>
      <t>1</t>
    </r>
    <r>
      <rPr>
        <sz val="10.5"/>
        <rFont val="Times New Roman"/>
        <family val="1"/>
      </rPr>
      <t xml:space="preserve"> e compra una call con strike </t>
    </r>
    <r>
      <rPr>
        <i/>
        <sz val="10.5"/>
        <rFont val="Times New Roman"/>
        <family val="1"/>
      </rPr>
      <t>K</t>
    </r>
    <r>
      <rPr>
        <vertAlign val="subscript"/>
        <sz val="10.5"/>
        <rFont val="Times New Roman"/>
        <family val="1"/>
      </rPr>
      <t>2</t>
    </r>
    <r>
      <rPr>
        <sz val="10.5"/>
        <rFont val="Times New Roman"/>
        <family val="1"/>
      </rPr>
      <t xml:space="preserve">. </t>
    </r>
  </si>
  <si>
    <r>
      <t xml:space="preserve">Il dividend yield, </t>
    </r>
    <r>
      <rPr>
        <i/>
        <sz val="10.5"/>
        <rFont val="Times New Roman"/>
        <family val="1"/>
      </rPr>
      <t>q</t>
    </r>
    <r>
      <rPr>
        <sz val="10.5"/>
        <rFont val="Times New Roman"/>
        <family val="1"/>
      </rPr>
      <t>, va sostituito con il tasso d’interesse estero privo di rischio,</t>
    </r>
    <r>
      <rPr>
        <i/>
        <sz val="10.5"/>
        <rFont val="Times New Roman"/>
        <family val="1"/>
      </rPr>
      <t xml:space="preserve"> r</t>
    </r>
    <r>
      <rPr>
        <i/>
        <vertAlign val="subscript"/>
        <sz val="10.5"/>
        <rFont val="Times New Roman"/>
        <family val="1"/>
      </rPr>
      <t>f</t>
    </r>
    <r>
      <rPr>
        <sz val="10.5"/>
        <rFont val="Times New Roman"/>
        <family val="1"/>
      </rPr>
      <t>.</t>
    </r>
  </si>
  <si>
    <r>
      <t xml:space="preserve">17.4. Sia </t>
    </r>
    <r>
      <rPr>
        <b/>
        <i/>
        <sz val="10.5"/>
        <rFont val="Times New Roman"/>
        <family val="1"/>
      </rPr>
      <t>r</t>
    </r>
    <r>
      <rPr>
        <b/>
        <sz val="10.5"/>
        <rFont val="Times New Roman"/>
        <family val="1"/>
      </rPr>
      <t xml:space="preserve"> il tasso d’interesse interno privo di rischio e </t>
    </r>
    <r>
      <rPr>
        <b/>
        <i/>
        <sz val="10.5"/>
        <rFont val="Times New Roman"/>
        <family val="1"/>
      </rPr>
      <t>q</t>
    </r>
    <r>
      <rPr>
        <b/>
        <sz val="10.5"/>
        <rFont val="Times New Roman"/>
        <family val="1"/>
      </rPr>
      <t xml:space="preserve"> il dividend yield di un indice azionario. </t>
    </r>
  </si>
  <si>
    <r>
      <t xml:space="preserve">Come va modificata la put-call parity relativa alle opzioni scritte su un titolo che non paga dividendi affinché diventi la put-call parity per le opzioni scritte su un indice azionario? Sia </t>
    </r>
    <r>
      <rPr>
        <b/>
        <i/>
        <sz val="10.5"/>
        <rFont val="Times New Roman"/>
        <family val="1"/>
      </rPr>
      <t>T</t>
    </r>
    <r>
      <rPr>
        <b/>
        <sz val="10.5"/>
        <rFont val="Times New Roman"/>
        <family val="1"/>
      </rPr>
      <t xml:space="preserve"> la scadenza delle opzioni.</t>
    </r>
  </si>
  <si>
    <r>
      <t xml:space="preserve">(a) Il prezzo spot dell’azione va sostituito con il prodotto tra </t>
    </r>
    <r>
      <rPr>
        <i/>
        <sz val="10.5"/>
        <rFont val="Times New Roman"/>
        <family val="1"/>
      </rPr>
      <t>e</t>
    </r>
    <r>
      <rPr>
        <i/>
        <vertAlign val="superscript"/>
        <sz val="10.5"/>
        <rFont val="Times New Roman"/>
        <family val="1"/>
      </rPr>
      <t>qT</t>
    </r>
    <r>
      <rPr>
        <sz val="10.5"/>
        <rFont val="Times New Roman"/>
        <family val="1"/>
      </rPr>
      <t xml:space="preserve"> e il prezzo spot dell’indice.</t>
    </r>
  </si>
  <si>
    <r>
      <t xml:space="preserve">(b) Il prezzo spot dell’azione va sostituito con il prodotto tra </t>
    </r>
    <r>
      <rPr>
        <i/>
        <sz val="10.5"/>
        <rFont val="Times New Roman"/>
        <family val="1"/>
      </rPr>
      <t>e</t>
    </r>
    <r>
      <rPr>
        <i/>
        <vertAlign val="superscript"/>
        <sz val="10.5"/>
        <rFont val="Times New Roman"/>
        <family val="1"/>
      </rPr>
      <t>rT</t>
    </r>
    <r>
      <rPr>
        <vertAlign val="superscript"/>
        <sz val="10.5"/>
        <rFont val="Times New Roman"/>
        <family val="1"/>
      </rPr>
      <t xml:space="preserve"> </t>
    </r>
    <r>
      <rPr>
        <sz val="10.5"/>
        <rFont val="Times New Roman"/>
        <family val="1"/>
      </rPr>
      <t>e il prezzo spot dell’indice.</t>
    </r>
  </si>
  <si>
    <r>
      <t>(c) Il prezzo spot dell’azione va sostituito con il prodotto tra</t>
    </r>
    <r>
      <rPr>
        <i/>
        <sz val="10.5"/>
        <rFont val="Times New Roman"/>
        <family val="1"/>
      </rPr>
      <t xml:space="preserve"> e</t>
    </r>
    <r>
      <rPr>
        <i/>
        <vertAlign val="superscript"/>
        <sz val="10.5"/>
        <rFont val="Times New Roman"/>
        <family val="1"/>
      </rPr>
      <t>−qT</t>
    </r>
    <r>
      <rPr>
        <sz val="10.5"/>
        <rFont val="Times New Roman"/>
        <family val="1"/>
      </rPr>
      <t xml:space="preserve"> e il prezzo spot dell’indice.</t>
    </r>
  </si>
  <si>
    <r>
      <t xml:space="preserve">(d) Il prezzo spot dell’azione va sostituito con il prodotto tra </t>
    </r>
    <r>
      <rPr>
        <i/>
        <sz val="10.5"/>
        <rFont val="Times New Roman"/>
        <family val="1"/>
      </rPr>
      <t>e</t>
    </r>
    <r>
      <rPr>
        <i/>
        <vertAlign val="superscript"/>
        <sz val="10.5"/>
        <rFont val="Times New Roman"/>
        <family val="1"/>
      </rPr>
      <t>−rT</t>
    </r>
    <r>
      <rPr>
        <sz val="10.5"/>
        <rFont val="Times New Roman"/>
        <family val="1"/>
      </rPr>
      <t xml:space="preserve"> e il prezzo spot dell’indice.</t>
    </r>
  </si>
  <si>
    <r>
      <rPr>
        <i/>
        <sz val="10.5"/>
        <rFont val="Times New Roman"/>
        <family val="1"/>
      </rPr>
      <t>S</t>
    </r>
    <r>
      <rPr>
        <vertAlign val="subscript"/>
        <sz val="10.5"/>
        <rFont val="Times New Roman"/>
        <family val="1"/>
      </rPr>
      <t>0</t>
    </r>
    <r>
      <rPr>
        <sz val="10.5"/>
        <rFont val="Times New Roman"/>
        <family val="1"/>
      </rPr>
      <t xml:space="preserve"> va sostituito con</t>
    </r>
    <r>
      <rPr>
        <i/>
        <sz val="10.5"/>
        <rFont val="Times New Roman"/>
        <family val="1"/>
      </rPr>
      <t xml:space="preserve"> S</t>
    </r>
    <r>
      <rPr>
        <vertAlign val="subscript"/>
        <sz val="10.5"/>
        <rFont val="Times New Roman"/>
        <family val="1"/>
      </rPr>
      <t>0</t>
    </r>
    <r>
      <rPr>
        <i/>
        <sz val="10.5"/>
        <rFont val="Times New Roman"/>
        <family val="1"/>
      </rPr>
      <t xml:space="preserve"> e</t>
    </r>
    <r>
      <rPr>
        <i/>
        <vertAlign val="superscript"/>
        <sz val="10.5"/>
        <rFont val="Times New Roman"/>
        <family val="1"/>
      </rPr>
      <t>−qT</t>
    </r>
    <r>
      <rPr>
        <sz val="10.5"/>
        <rFont val="Times New Roman"/>
        <family val="1"/>
      </rPr>
      <t>.</t>
    </r>
  </si>
  <si>
    <r>
      <t>V</t>
    </r>
    <r>
      <rPr>
        <i/>
        <vertAlign val="subscript"/>
        <sz val="10.5"/>
        <rFont val="Times New Roman"/>
        <family val="1"/>
      </rPr>
      <t>A</t>
    </r>
  </si>
  <si>
    <r>
      <t>q</t>
    </r>
    <r>
      <rPr>
        <i/>
        <vertAlign val="subscript"/>
        <sz val="10.5"/>
        <rFont val="Times New Roman"/>
        <family val="1"/>
      </rPr>
      <t>A</t>
    </r>
  </si>
  <si>
    <r>
      <t>q</t>
    </r>
    <r>
      <rPr>
        <i/>
        <vertAlign val="subscript"/>
        <sz val="10.5"/>
        <rFont val="Times New Roman"/>
        <family val="1"/>
      </rPr>
      <t>S</t>
    </r>
  </si>
  <si>
    <r>
      <t xml:space="preserve">Il </t>
    </r>
    <r>
      <rPr>
        <b/>
        <i/>
        <sz val="10.5"/>
        <rFont val="Times New Roman"/>
        <family val="1"/>
      </rPr>
      <t>dividend yield</t>
    </r>
    <r>
      <rPr>
        <b/>
        <sz val="10.5"/>
        <rFont val="Times New Roman"/>
        <family val="1"/>
      </rPr>
      <t xml:space="preserve"> dell’indice è del 2% annuo e il tasso d’interesse privo di rischio è del 4% annuo. </t>
    </r>
  </si>
  <si>
    <r>
      <t xml:space="preserve">Il limite inferiore per il prezzo della put è </t>
    </r>
    <r>
      <rPr>
        <i/>
        <sz val="10.5"/>
        <rFont val="Times New Roman"/>
        <family val="1"/>
      </rPr>
      <t>K</t>
    </r>
    <r>
      <rPr>
        <sz val="10.5"/>
        <rFont val="Times New Roman"/>
        <family val="1"/>
      </rPr>
      <t xml:space="preserve"> </t>
    </r>
    <r>
      <rPr>
        <i/>
        <sz val="10.5"/>
        <rFont val="Times New Roman"/>
        <family val="1"/>
      </rPr>
      <t>e</t>
    </r>
    <r>
      <rPr>
        <i/>
        <vertAlign val="superscript"/>
        <sz val="10.5"/>
        <rFont val="Times New Roman"/>
        <family val="1"/>
      </rPr>
      <t>−rT</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t>
    </r>
    <r>
      <rPr>
        <i/>
        <sz val="10.5"/>
        <rFont val="Times New Roman"/>
        <family val="1"/>
      </rPr>
      <t>e</t>
    </r>
    <r>
      <rPr>
        <i/>
        <vertAlign val="superscript"/>
        <sz val="10.5"/>
        <rFont val="Times New Roman"/>
        <family val="1"/>
      </rPr>
      <t>−qT</t>
    </r>
    <r>
      <rPr>
        <sz val="10.5"/>
        <rFont val="Times New Roman"/>
        <family val="1"/>
      </rPr>
      <t xml:space="preserve">. Il prezzo della put non può scendere al di sotto di questo livello perché altrimenti ci sarebbero opportunità di arbitraggio. </t>
    </r>
  </si>
  <si>
    <r>
      <t xml:space="preserve">Nel nostro caso, </t>
    </r>
    <r>
      <rPr>
        <i/>
        <sz val="10.5"/>
        <rFont val="Times New Roman"/>
        <family val="1"/>
      </rPr>
      <t>K</t>
    </r>
    <r>
      <rPr>
        <sz val="10.5"/>
        <rFont val="Times New Roman"/>
        <family val="1"/>
      </rPr>
      <t xml:space="preserve"> = $1.050, </t>
    </r>
    <r>
      <rPr>
        <i/>
        <sz val="10.5"/>
        <rFont val="Times New Roman"/>
        <family val="1"/>
      </rPr>
      <t>S</t>
    </r>
    <r>
      <rPr>
        <vertAlign val="subscript"/>
        <sz val="10.5"/>
        <rFont val="Times New Roman"/>
        <family val="1"/>
      </rPr>
      <t>0</t>
    </r>
    <r>
      <rPr>
        <sz val="10.5"/>
        <rFont val="Times New Roman"/>
        <family val="1"/>
      </rPr>
      <t xml:space="preserve"> = $1.000, </t>
    </r>
    <r>
      <rPr>
        <i/>
        <sz val="10.5"/>
        <rFont val="Times New Roman"/>
        <family val="1"/>
      </rPr>
      <t>T</t>
    </r>
    <r>
      <rPr>
        <sz val="10.5"/>
        <rFont val="Times New Roman"/>
        <family val="1"/>
      </rPr>
      <t xml:space="preserve"> = 0,5, </t>
    </r>
    <r>
      <rPr>
        <i/>
        <sz val="10.5"/>
        <rFont val="Times New Roman"/>
        <family val="1"/>
      </rPr>
      <t>r</t>
    </r>
    <r>
      <rPr>
        <sz val="10.5"/>
        <rFont val="Times New Roman"/>
        <family val="1"/>
      </rPr>
      <t xml:space="preserve"> = 0,04 e </t>
    </r>
    <r>
      <rPr>
        <i/>
        <sz val="10.5"/>
        <rFont val="Times New Roman"/>
        <family val="1"/>
      </rPr>
      <t>q</t>
    </r>
    <r>
      <rPr>
        <sz val="10.5"/>
        <rFont val="Times New Roman"/>
        <family val="1"/>
      </rPr>
      <t xml:space="preserve"> = 0,02. Pertanto, il limite inferiore della put è pari a $39,16.</t>
    </r>
  </si>
  <si>
    <r>
      <t xml:space="preserve">17.10. Considerate una </t>
    </r>
    <r>
      <rPr>
        <b/>
        <i/>
        <sz val="10.5"/>
        <rFont val="Times New Roman"/>
        <family val="1"/>
      </rPr>
      <t>call</t>
    </r>
    <r>
      <rPr>
        <b/>
        <sz val="10.5"/>
        <rFont val="Times New Roman"/>
        <family val="1"/>
      </rPr>
      <t xml:space="preserve"> europea, con prezzo d’esercizio di $0,9100 e scadenza tra 1 anno, scritta su una valuta il cui tasso di cambio </t>
    </r>
    <r>
      <rPr>
        <b/>
        <i/>
        <sz val="10.5"/>
        <rFont val="Times New Roman"/>
        <family val="1"/>
      </rPr>
      <t>spot</t>
    </r>
    <r>
      <rPr>
        <b/>
        <sz val="10.5"/>
        <rFont val="Times New Roman"/>
        <family val="1"/>
      </rPr>
      <t xml:space="preserve"> è di $1,0000. </t>
    </r>
  </si>
  <si>
    <r>
      <t xml:space="preserve">Qual è il limite inferiore per il prezzo della </t>
    </r>
    <r>
      <rPr>
        <i/>
        <sz val="10.5"/>
        <rFont val="Times New Roman"/>
        <family val="1"/>
      </rPr>
      <t>call</t>
    </r>
    <r>
      <rPr>
        <sz val="10.5"/>
        <rFont val="Times New Roman"/>
        <family val="1"/>
      </rPr>
      <t>?</t>
    </r>
  </si>
  <si>
    <r>
      <t xml:space="preserve">Il limite inferiore per il prezzo della call è </t>
    </r>
    <r>
      <rPr>
        <i/>
        <sz val="10.5"/>
        <rFont val="Times New Roman"/>
        <family val="1"/>
      </rPr>
      <t>S</t>
    </r>
    <r>
      <rPr>
        <vertAlign val="subscript"/>
        <sz val="10.5"/>
        <rFont val="Times New Roman"/>
        <family val="1"/>
      </rPr>
      <t>0</t>
    </r>
    <r>
      <rPr>
        <sz val="10.5"/>
        <rFont val="Times New Roman"/>
        <family val="1"/>
      </rPr>
      <t xml:space="preserve"> </t>
    </r>
    <r>
      <rPr>
        <i/>
        <sz val="10.5"/>
        <rFont val="Times New Roman"/>
        <family val="1"/>
      </rPr>
      <t>e</t>
    </r>
    <r>
      <rPr>
        <i/>
        <vertAlign val="superscript"/>
        <sz val="10.5"/>
        <rFont val="Times New Roman"/>
        <family val="1"/>
      </rPr>
      <t>−qT</t>
    </r>
    <r>
      <rPr>
        <sz val="10.5"/>
        <rFont val="Times New Roman"/>
        <family val="1"/>
      </rPr>
      <t xml:space="preserve"> − </t>
    </r>
    <r>
      <rPr>
        <i/>
        <sz val="10.5"/>
        <rFont val="Times New Roman"/>
        <family val="1"/>
      </rPr>
      <t>K</t>
    </r>
    <r>
      <rPr>
        <sz val="10.5"/>
        <rFont val="Times New Roman"/>
        <family val="1"/>
      </rPr>
      <t xml:space="preserve"> </t>
    </r>
    <r>
      <rPr>
        <i/>
        <sz val="10.5"/>
        <rFont val="Times New Roman"/>
        <family val="1"/>
      </rPr>
      <t>e</t>
    </r>
    <r>
      <rPr>
        <i/>
        <vertAlign val="superscript"/>
        <sz val="10.5"/>
        <rFont val="Times New Roman"/>
        <family val="1"/>
      </rPr>
      <t>−rT</t>
    </r>
    <r>
      <rPr>
        <sz val="10.5"/>
        <rFont val="Times New Roman"/>
        <family val="1"/>
      </rPr>
      <t xml:space="preserve">. Il prezzo della call non può scendere al di sotto di questo livello perché altrimenti ci sarebbero opportunità di arbitraggio. </t>
    </r>
  </si>
  <si>
    <r>
      <t xml:space="preserve">Nel nostro caso, </t>
    </r>
    <r>
      <rPr>
        <i/>
        <sz val="10.5"/>
        <rFont val="Times New Roman"/>
        <family val="1"/>
      </rPr>
      <t>K</t>
    </r>
    <r>
      <rPr>
        <sz val="10.5"/>
        <rFont val="Times New Roman"/>
        <family val="1"/>
      </rPr>
      <t xml:space="preserve"> = $0,9100, </t>
    </r>
    <r>
      <rPr>
        <i/>
        <sz val="10.5"/>
        <rFont val="Times New Roman"/>
        <family val="1"/>
      </rPr>
      <t>S</t>
    </r>
    <r>
      <rPr>
        <vertAlign val="subscript"/>
        <sz val="10.5"/>
        <rFont val="Times New Roman"/>
        <family val="1"/>
      </rPr>
      <t>0</t>
    </r>
    <r>
      <rPr>
        <sz val="10.5"/>
        <rFont val="Times New Roman"/>
        <family val="1"/>
      </rPr>
      <t xml:space="preserve"> = $1,0000, </t>
    </r>
    <r>
      <rPr>
        <i/>
        <sz val="10.5"/>
        <rFont val="Times New Roman"/>
        <family val="1"/>
      </rPr>
      <t>T</t>
    </r>
    <r>
      <rPr>
        <sz val="10.5"/>
        <rFont val="Times New Roman"/>
        <family val="1"/>
      </rPr>
      <t xml:space="preserve"> = 1, </t>
    </r>
    <r>
      <rPr>
        <i/>
        <sz val="10.5"/>
        <rFont val="Times New Roman"/>
        <family val="1"/>
      </rPr>
      <t>r</t>
    </r>
    <r>
      <rPr>
        <sz val="10.5"/>
        <rFont val="Times New Roman"/>
        <family val="1"/>
      </rPr>
      <t xml:space="preserve"> = 0,05 e </t>
    </r>
    <r>
      <rPr>
        <i/>
        <sz val="10.5"/>
        <rFont val="Times New Roman"/>
        <family val="1"/>
      </rPr>
      <t>r</t>
    </r>
    <r>
      <rPr>
        <i/>
        <vertAlign val="subscript"/>
        <sz val="10.5"/>
        <rFont val="Times New Roman"/>
        <family val="1"/>
      </rPr>
      <t>f</t>
    </r>
    <r>
      <rPr>
        <sz val="10.5"/>
        <rFont val="Times New Roman"/>
        <family val="1"/>
      </rPr>
      <t xml:space="preserve"> = 0,03. Pertanto, il limite inferiore della call è pari a $0,1048.</t>
    </r>
  </si>
  <si>
    <r>
      <t>r</t>
    </r>
    <r>
      <rPr>
        <i/>
        <vertAlign val="subscript"/>
        <sz val="10.5"/>
        <rFont val="Times New Roman"/>
        <family val="1"/>
      </rPr>
      <t>f</t>
    </r>
  </si>
  <si>
    <r>
      <t>17.13. Per valutare un’opzione scritta sul tasso di cambio di una valuta estera che ha una volatilità del 12% viene utilizzato un albero binomiale. La lunghezza di ogni stadio, Δ</t>
    </r>
    <r>
      <rPr>
        <b/>
        <i/>
        <sz val="10.5"/>
        <rFont val="Times New Roman"/>
        <family val="1"/>
      </rPr>
      <t>t</t>
    </r>
    <r>
      <rPr>
        <b/>
        <sz val="10.5"/>
        <rFont val="Times New Roman"/>
        <family val="1"/>
      </rPr>
      <t xml:space="preserve">, è pari a un trimestre. </t>
    </r>
  </si>
  <si>
    <r>
      <t xml:space="preserve">I parametri </t>
    </r>
    <r>
      <rPr>
        <i/>
        <sz val="10.5"/>
        <rFont val="Times New Roman"/>
        <family val="1"/>
      </rPr>
      <t>u</t>
    </r>
    <r>
      <rPr>
        <sz val="10.5"/>
        <rFont val="Times New Roman"/>
        <family val="1"/>
      </rPr>
      <t xml:space="preserve"> e </t>
    </r>
    <r>
      <rPr>
        <i/>
        <sz val="10.5"/>
        <rFont val="Times New Roman"/>
        <family val="1"/>
      </rPr>
      <t>d</t>
    </r>
    <r>
      <rPr>
        <sz val="10.5"/>
        <rFont val="Times New Roman"/>
        <family val="1"/>
      </rPr>
      <t xml:space="preserve"> sono pari, rispettivamente, a 1,0618 e 0,9418:</t>
    </r>
  </si>
  <si>
    <r>
      <rPr>
        <sz val="10.5"/>
        <rFont val="Times New Roman"/>
        <family val="1"/>
      </rPr>
      <t>Δ</t>
    </r>
    <r>
      <rPr>
        <i/>
        <sz val="10.5"/>
        <rFont val="Times New Roman"/>
        <family val="1"/>
      </rPr>
      <t>t</t>
    </r>
  </si>
  <si>
    <r>
      <t xml:space="preserve">(a) $0,9825 × </t>
    </r>
    <r>
      <rPr>
        <i/>
        <sz val="10.5"/>
        <rFont val="Times New Roman"/>
        <family val="1"/>
      </rPr>
      <t>N</t>
    </r>
    <r>
      <rPr>
        <sz val="10.5"/>
        <rFont val="Times New Roman"/>
        <family val="1"/>
      </rPr>
      <t xml:space="preserve">(0,25) − $1,1077 × </t>
    </r>
    <r>
      <rPr>
        <i/>
        <sz val="10.5"/>
        <rFont val="Times New Roman"/>
        <family val="1"/>
      </rPr>
      <t>N</t>
    </r>
    <r>
      <rPr>
        <sz val="10.5"/>
        <rFont val="Times New Roman"/>
        <family val="1"/>
      </rPr>
      <t>(0,05)</t>
    </r>
  </si>
  <si>
    <r>
      <t xml:space="preserve">(b) $0,9825 × </t>
    </r>
    <r>
      <rPr>
        <i/>
        <sz val="10.5"/>
        <rFont val="Times New Roman"/>
        <family val="1"/>
      </rPr>
      <t>N</t>
    </r>
    <r>
      <rPr>
        <sz val="10.5"/>
        <rFont val="Times New Roman"/>
        <family val="1"/>
      </rPr>
      <t xml:space="preserve">(−0,3) − $1,1077 × </t>
    </r>
    <r>
      <rPr>
        <i/>
        <sz val="10.5"/>
        <rFont val="Times New Roman"/>
        <family val="1"/>
      </rPr>
      <t>N</t>
    </r>
    <r>
      <rPr>
        <sz val="10.5"/>
        <rFont val="Times New Roman"/>
        <family val="1"/>
      </rPr>
      <t>(−0,5)</t>
    </r>
  </si>
  <si>
    <r>
      <t xml:space="preserve">(c) $0,9825 × </t>
    </r>
    <r>
      <rPr>
        <i/>
        <sz val="10.5"/>
        <rFont val="Times New Roman"/>
        <family val="1"/>
      </rPr>
      <t>N</t>
    </r>
    <r>
      <rPr>
        <sz val="10.5"/>
        <rFont val="Times New Roman"/>
        <family val="1"/>
      </rPr>
      <t xml:space="preserve">(−0,5) − $1,1077 × </t>
    </r>
    <r>
      <rPr>
        <i/>
        <sz val="10.5"/>
        <rFont val="Times New Roman"/>
        <family val="1"/>
      </rPr>
      <t>N</t>
    </r>
    <r>
      <rPr>
        <sz val="10.5"/>
        <rFont val="Times New Roman"/>
        <family val="1"/>
      </rPr>
      <t>(−0,7)</t>
    </r>
  </si>
  <si>
    <r>
      <t xml:space="preserve">(d) $0,9825 × </t>
    </r>
    <r>
      <rPr>
        <i/>
        <sz val="10.5"/>
        <rFont val="Times New Roman"/>
        <family val="1"/>
      </rPr>
      <t>N</t>
    </r>
    <r>
      <rPr>
        <sz val="10.5"/>
        <rFont val="Times New Roman"/>
        <family val="1"/>
      </rPr>
      <t xml:space="preserve">(0,10) − $1,1077 × </t>
    </r>
    <r>
      <rPr>
        <i/>
        <sz val="10.5"/>
        <rFont val="Times New Roman"/>
        <family val="1"/>
      </rPr>
      <t>N</t>
    </r>
    <r>
      <rPr>
        <sz val="10.5"/>
        <rFont val="Times New Roman"/>
        <family val="1"/>
      </rPr>
      <t>(0,06)</t>
    </r>
  </si>
  <si>
    <r>
      <t xml:space="preserve">La formula per la </t>
    </r>
    <r>
      <rPr>
        <i/>
        <sz val="10.5"/>
        <rFont val="Times New Roman"/>
        <family val="1"/>
      </rPr>
      <t>call</t>
    </r>
    <r>
      <rPr>
        <sz val="10.5"/>
        <rFont val="Times New Roman"/>
        <family val="1"/>
      </rPr>
      <t xml:space="preserve"> è</t>
    </r>
  </si>
  <si>
    <r>
      <t xml:space="preserve">In questo caso </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xml:space="preserve"> = $1,2000, </t>
    </r>
    <r>
      <rPr>
        <i/>
        <sz val="10.5"/>
        <rFont val="Times New Roman"/>
        <family val="1"/>
      </rPr>
      <t>r</t>
    </r>
    <r>
      <rPr>
        <sz val="10.5"/>
        <rFont val="Times New Roman"/>
        <family val="1"/>
      </rPr>
      <t xml:space="preserve"> = 0,02, </t>
    </r>
    <r>
      <rPr>
        <i/>
        <sz val="10.5"/>
        <rFont val="Times New Roman"/>
        <family val="1"/>
      </rPr>
      <t>r</t>
    </r>
    <r>
      <rPr>
        <i/>
        <vertAlign val="subscript"/>
        <sz val="10.5"/>
        <rFont val="Times New Roman"/>
        <family val="1"/>
      </rPr>
      <t>f</t>
    </r>
    <r>
      <rPr>
        <sz val="10.5"/>
        <rFont val="Times New Roman"/>
        <family val="1"/>
      </rPr>
      <t xml:space="preserve"> = 0,05, </t>
    </r>
    <r>
      <rPr>
        <i/>
        <sz val="10.5"/>
        <rFont val="Times New Roman"/>
        <family val="1"/>
      </rPr>
      <t>σ</t>
    </r>
    <r>
      <rPr>
        <sz val="10.5"/>
        <rFont val="Times New Roman"/>
        <family val="1"/>
      </rPr>
      <t xml:space="preserve"> = 0,1 e </t>
    </r>
    <r>
      <rPr>
        <i/>
        <sz val="10.5"/>
        <rFont val="Times New Roman"/>
        <family val="1"/>
      </rPr>
      <t>T</t>
    </r>
    <r>
      <rPr>
        <sz val="10.5"/>
        <rFont val="Times New Roman"/>
        <family val="1"/>
      </rPr>
      <t xml:space="preserve"> = 4 per cui </t>
    </r>
    <r>
      <rPr>
        <i/>
        <sz val="10.5"/>
        <rFont val="Times New Roman"/>
        <family val="1"/>
      </rPr>
      <t>S</t>
    </r>
    <r>
      <rPr>
        <vertAlign val="subscript"/>
        <sz val="10.5"/>
        <rFont val="Times New Roman"/>
        <family val="1"/>
      </rPr>
      <t>0</t>
    </r>
    <r>
      <rPr>
        <i/>
        <sz val="10.5"/>
        <rFont val="Times New Roman"/>
        <family val="1"/>
      </rPr>
      <t>e</t>
    </r>
    <r>
      <rPr>
        <vertAlign val="superscript"/>
        <sz val="10.5"/>
        <rFont val="Times New Roman"/>
        <family val="1"/>
      </rPr>
      <t>−r</t>
    </r>
    <r>
      <rPr>
        <sz val="10.5"/>
        <rFont val="Times New Roman"/>
        <family val="1"/>
      </rPr>
      <t>f</t>
    </r>
    <r>
      <rPr>
        <vertAlign val="superscript"/>
        <sz val="10.5"/>
        <rFont val="Times New Roman"/>
        <family val="1"/>
      </rPr>
      <t>T</t>
    </r>
    <r>
      <rPr>
        <sz val="10.5"/>
        <rFont val="Times New Roman"/>
        <family val="1"/>
      </rPr>
      <t xml:space="preserve"> = $1,2 </t>
    </r>
    <r>
      <rPr>
        <i/>
        <sz val="10.5"/>
        <rFont val="Times New Roman"/>
        <family val="1"/>
      </rPr>
      <t>e</t>
    </r>
    <r>
      <rPr>
        <sz val="10.5"/>
        <rFont val="Times New Roman"/>
        <family val="1"/>
      </rPr>
      <t xml:space="preserve">−0,05×4 = $0,9825 e </t>
    </r>
    <r>
      <rPr>
        <i/>
        <sz val="10.5"/>
        <rFont val="Times New Roman"/>
        <family val="1"/>
      </rPr>
      <t>Ke</t>
    </r>
    <r>
      <rPr>
        <i/>
        <vertAlign val="superscript"/>
        <sz val="10.5"/>
        <rFont val="Times New Roman"/>
        <family val="1"/>
      </rPr>
      <t>−rT</t>
    </r>
    <r>
      <rPr>
        <sz val="10.5"/>
        <rFont val="Times New Roman"/>
        <family val="1"/>
      </rPr>
      <t xml:space="preserve"> = $1,2 </t>
    </r>
    <r>
      <rPr>
        <i/>
        <sz val="10.5"/>
        <rFont val="Times New Roman"/>
        <family val="1"/>
      </rPr>
      <t>e</t>
    </r>
    <r>
      <rPr>
        <vertAlign val="superscript"/>
        <sz val="10.5"/>
        <rFont val="Times New Roman"/>
        <family val="1"/>
      </rPr>
      <t>−0,02×4</t>
    </r>
    <r>
      <rPr>
        <sz val="10.5"/>
        <rFont val="Times New Roman"/>
        <family val="1"/>
      </rPr>
      <t xml:space="preserve"> = $1,1077. Inoltre, </t>
    </r>
    <r>
      <rPr>
        <i/>
        <sz val="10.5"/>
        <rFont val="Times New Roman"/>
        <family val="1"/>
      </rPr>
      <t>d</t>
    </r>
    <r>
      <rPr>
        <vertAlign val="subscript"/>
        <sz val="10.5"/>
        <rFont val="Times New Roman"/>
        <family val="1"/>
      </rPr>
      <t>1</t>
    </r>
    <r>
      <rPr>
        <sz val="10.5"/>
        <rFont val="Times New Roman"/>
        <family val="1"/>
      </rPr>
      <t xml:space="preserve"> = [ln($1,2/$1,2) + (0,02 </t>
    </r>
    <r>
      <rPr>
        <sz val="10.5"/>
        <rFont val="Times New Roman"/>
        <family val="1"/>
      </rPr>
      <t>−</t>
    </r>
    <r>
      <rPr>
        <sz val="10.5"/>
        <rFont val="Times New Roman"/>
        <family val="1"/>
      </rPr>
      <t xml:space="preserve"> 0,05 + 0,1</t>
    </r>
    <r>
      <rPr>
        <vertAlign val="superscript"/>
        <sz val="10.5"/>
        <rFont val="Times New Roman"/>
        <family val="1"/>
      </rPr>
      <t>2</t>
    </r>
    <r>
      <rPr>
        <sz val="10.5"/>
        <rFont val="Times New Roman"/>
        <family val="1"/>
      </rPr>
      <t xml:space="preserve">/2) × 4]/(0,1 × √4) = </t>
    </r>
    <r>
      <rPr>
        <sz val="10.5"/>
        <rFont val="Times New Roman"/>
        <family val="1"/>
      </rPr>
      <t>−</t>
    </r>
    <r>
      <rPr>
        <sz val="10.5"/>
        <rFont val="Times New Roman"/>
        <family val="1"/>
      </rPr>
      <t xml:space="preserve">0,5 e </t>
    </r>
    <r>
      <rPr>
        <i/>
        <sz val="10.5"/>
        <rFont val="Times New Roman"/>
        <family val="1"/>
      </rPr>
      <t>d</t>
    </r>
    <r>
      <rPr>
        <vertAlign val="subscript"/>
        <sz val="10.5"/>
        <rFont val="Times New Roman"/>
        <family val="1"/>
      </rPr>
      <t>2</t>
    </r>
    <r>
      <rPr>
        <sz val="10.5"/>
        <rFont val="Times New Roman"/>
        <family val="1"/>
      </rPr>
      <t xml:space="preserve"> = </t>
    </r>
    <r>
      <rPr>
        <sz val="10.5"/>
        <rFont val="Times New Roman"/>
        <family val="1"/>
      </rPr>
      <t>−</t>
    </r>
    <r>
      <rPr>
        <sz val="10.5"/>
        <rFont val="Times New Roman"/>
        <family val="1"/>
      </rPr>
      <t xml:space="preserve">0,5 – 0,1 × </t>
    </r>
    <r>
      <rPr>
        <sz val="10.5"/>
        <rFont val="Times New Roman"/>
        <family val="1"/>
      </rPr>
      <t>√</t>
    </r>
    <r>
      <rPr>
        <sz val="10.5"/>
        <rFont val="Times New Roman"/>
        <family val="1"/>
      </rPr>
      <t xml:space="preserve">4 = </t>
    </r>
    <r>
      <rPr>
        <sz val="10.5"/>
        <rFont val="Times New Roman"/>
        <family val="1"/>
      </rPr>
      <t>−</t>
    </r>
    <r>
      <rPr>
        <sz val="10.5"/>
        <rFont val="Times New Roman"/>
        <family val="1"/>
      </rPr>
      <t xml:space="preserve">0,7. </t>
    </r>
  </si>
  <si>
    <r>
      <t>S</t>
    </r>
    <r>
      <rPr>
        <vertAlign val="subscript"/>
        <sz val="10.5"/>
        <rFont val="Times New Roman"/>
        <family val="1"/>
      </rPr>
      <t>0</t>
    </r>
    <r>
      <rPr>
        <i/>
        <sz val="10.5"/>
        <rFont val="Times New Roman"/>
        <family val="1"/>
      </rPr>
      <t xml:space="preserve"> e</t>
    </r>
    <r>
      <rPr>
        <i/>
        <vertAlign val="superscript"/>
        <sz val="10.5"/>
        <rFont val="Times New Roman"/>
        <family val="1"/>
      </rPr>
      <t>−r</t>
    </r>
    <r>
      <rPr>
        <i/>
        <sz val="10.5"/>
        <rFont val="Times New Roman"/>
        <family val="1"/>
      </rPr>
      <t>f</t>
    </r>
    <r>
      <rPr>
        <i/>
        <vertAlign val="superscript"/>
        <sz val="10.5"/>
        <rFont val="Times New Roman"/>
        <family val="1"/>
      </rPr>
      <t>T</t>
    </r>
  </si>
  <si>
    <r>
      <t xml:space="preserve">(a) $1,1077 × </t>
    </r>
    <r>
      <rPr>
        <i/>
        <sz val="10.5"/>
        <rFont val="Times New Roman"/>
        <family val="1"/>
      </rPr>
      <t>N</t>
    </r>
    <r>
      <rPr>
        <sz val="10.5"/>
        <rFont val="Times New Roman"/>
        <family val="1"/>
      </rPr>
      <t xml:space="preserve">(0,7) − $0,9825 × </t>
    </r>
    <r>
      <rPr>
        <i/>
        <sz val="10.5"/>
        <rFont val="Times New Roman"/>
        <family val="1"/>
      </rPr>
      <t>N</t>
    </r>
    <r>
      <rPr>
        <sz val="10.5"/>
        <rFont val="Times New Roman"/>
        <family val="1"/>
      </rPr>
      <t>(0,5)</t>
    </r>
  </si>
  <si>
    <r>
      <t xml:space="preserve">(b) $1,1077 × </t>
    </r>
    <r>
      <rPr>
        <i/>
        <sz val="10.5"/>
        <rFont val="Times New Roman"/>
        <family val="1"/>
      </rPr>
      <t>N</t>
    </r>
    <r>
      <rPr>
        <sz val="10.5"/>
        <rFont val="Times New Roman"/>
        <family val="1"/>
      </rPr>
      <t xml:space="preserve">(−0,7) − $0,9825 × </t>
    </r>
    <r>
      <rPr>
        <i/>
        <sz val="10.5"/>
        <rFont val="Times New Roman"/>
        <family val="1"/>
      </rPr>
      <t>N</t>
    </r>
    <r>
      <rPr>
        <sz val="10.5"/>
        <rFont val="Times New Roman"/>
        <family val="1"/>
      </rPr>
      <t>(−0,5)</t>
    </r>
  </si>
  <si>
    <r>
      <t xml:space="preserve">(c) $1,1077 × </t>
    </r>
    <r>
      <rPr>
        <i/>
        <sz val="10.5"/>
        <rFont val="Times New Roman"/>
        <family val="1"/>
      </rPr>
      <t>N</t>
    </r>
    <r>
      <rPr>
        <sz val="10.5"/>
        <rFont val="Times New Roman"/>
        <family val="1"/>
      </rPr>
      <t xml:space="preserve">(0,7) − $0,9825 × </t>
    </r>
    <r>
      <rPr>
        <i/>
        <sz val="10.5"/>
        <rFont val="Times New Roman"/>
        <family val="1"/>
      </rPr>
      <t>N</t>
    </r>
    <r>
      <rPr>
        <sz val="10.5"/>
        <rFont val="Times New Roman"/>
        <family val="1"/>
      </rPr>
      <t>(0,4)</t>
    </r>
  </si>
  <si>
    <r>
      <t xml:space="preserve">(d) $1,1077 × </t>
    </r>
    <r>
      <rPr>
        <i/>
        <sz val="10.5"/>
        <rFont val="Times New Roman"/>
        <family val="1"/>
      </rPr>
      <t>N</t>
    </r>
    <r>
      <rPr>
        <sz val="10.5"/>
        <rFont val="Times New Roman"/>
        <family val="1"/>
      </rPr>
      <t xml:space="preserve">(−0,06) − $0,9825 × </t>
    </r>
    <r>
      <rPr>
        <i/>
        <sz val="10.5"/>
        <rFont val="Times New Roman"/>
        <family val="1"/>
      </rPr>
      <t>N</t>
    </r>
    <r>
      <rPr>
        <sz val="10.5"/>
        <rFont val="Times New Roman"/>
        <family val="1"/>
      </rPr>
      <t>(−0,10)</t>
    </r>
  </si>
  <si>
    <r>
      <t xml:space="preserve">La formula per la </t>
    </r>
    <r>
      <rPr>
        <i/>
        <sz val="10.5"/>
        <rFont val="Times New Roman"/>
        <family val="1"/>
      </rPr>
      <t>put</t>
    </r>
    <r>
      <rPr>
        <sz val="10.5"/>
        <rFont val="Times New Roman"/>
        <family val="1"/>
      </rPr>
      <t xml:space="preserve"> è</t>
    </r>
  </si>
  <si>
    <r>
      <t xml:space="preserve">La risposta corretta è 1973. Per coincidenza, questo è anche l’anno in cui sono iniziate le contrattazioni di opzioni </t>
    </r>
    <r>
      <rPr>
        <i/>
        <sz val="10.5"/>
        <rFont val="Times New Roman"/>
        <family val="1"/>
      </rPr>
      <t>call</t>
    </r>
    <r>
      <rPr>
        <sz val="10.5"/>
        <rFont val="Times New Roman"/>
        <family val="1"/>
      </rPr>
      <t xml:space="preserve"> alla CBOE. Pochi anni dopo la CBOE ha iniziato a trattare anche le opzioni </t>
    </r>
    <r>
      <rPr>
        <i/>
        <sz val="10.5"/>
        <rFont val="Times New Roman"/>
        <family val="1"/>
      </rPr>
      <t>put.</t>
    </r>
  </si>
  <si>
    <r>
      <t xml:space="preserve">Il termine </t>
    </r>
    <r>
      <rPr>
        <i/>
        <sz val="10.5"/>
        <rFont val="Times New Roman"/>
        <family val="1"/>
      </rPr>
      <t>σ</t>
    </r>
    <r>
      <rPr>
        <sz val="10.5"/>
        <rFont val="Times New Roman"/>
        <family val="1"/>
      </rPr>
      <t>Δ</t>
    </r>
    <r>
      <rPr>
        <i/>
        <sz val="10.5"/>
        <rFont val="Times New Roman"/>
        <family val="1"/>
      </rPr>
      <t>t</t>
    </r>
    <r>
      <rPr>
        <sz val="10.5"/>
        <rFont val="Times New Roman"/>
        <family val="1"/>
      </rPr>
      <t xml:space="preserve"> è la deviazione standard del tasso di rendimento in un breve periodo di tempo di lunghezza Δ</t>
    </r>
    <r>
      <rPr>
        <i/>
        <sz val="10.5"/>
        <rFont val="Times New Roman"/>
        <family val="1"/>
      </rPr>
      <t>t</t>
    </r>
    <r>
      <rPr>
        <sz val="10.5"/>
        <rFont val="Times New Roman"/>
        <family val="1"/>
      </rPr>
      <t xml:space="preserve">. È anche la deviazione standard del tasso di rendimento a 1 anno (composto continuamente). </t>
    </r>
  </si>
  <si>
    <r>
      <t xml:space="preserve">Pertanto, la volatilità, </t>
    </r>
    <r>
      <rPr>
        <i/>
        <sz val="10.5"/>
        <rFont val="Times New Roman"/>
        <family val="1"/>
      </rPr>
      <t>σ</t>
    </r>
    <r>
      <rPr>
        <sz val="10.5"/>
        <rFont val="Times New Roman"/>
        <family val="1"/>
      </rPr>
      <t>, è la deviazione standard del tasso di rendimento a 1 anno (Δ</t>
    </r>
    <r>
      <rPr>
        <i/>
        <sz val="10.5"/>
        <rFont val="Times New Roman"/>
        <family val="1"/>
      </rPr>
      <t>t</t>
    </r>
    <r>
      <rPr>
        <sz val="10.5"/>
        <rFont val="Times New Roman"/>
        <family val="1"/>
      </rPr>
      <t xml:space="preserve"> = 1).</t>
    </r>
  </si>
  <si>
    <r>
      <t>S σ</t>
    </r>
    <r>
      <rPr>
        <sz val="10.5"/>
        <rFont val="Times New Roman"/>
        <family val="1"/>
      </rPr>
      <t xml:space="preserve"> √</t>
    </r>
    <r>
      <rPr>
        <i/>
        <sz val="10.5"/>
        <rFont val="Times New Roman"/>
        <family val="1"/>
      </rPr>
      <t>T</t>
    </r>
  </si>
  <si>
    <r>
      <t xml:space="preserve">15.5. Nel modello Black-Scholes-Merton, </t>
    </r>
    <r>
      <rPr>
        <b/>
        <i/>
        <sz val="10.5"/>
        <rFont val="Times New Roman"/>
        <family val="1"/>
      </rPr>
      <t>N</t>
    </r>
    <r>
      <rPr>
        <b/>
        <sz val="10.5"/>
        <rFont val="Times New Roman"/>
        <family val="1"/>
      </rPr>
      <t>(</t>
    </r>
    <r>
      <rPr>
        <b/>
        <i/>
        <sz val="10.5"/>
        <rFont val="Times New Roman"/>
        <family val="1"/>
      </rPr>
      <t>d</t>
    </r>
    <r>
      <rPr>
        <b/>
        <vertAlign val="subscript"/>
        <sz val="10.5"/>
        <rFont val="Times New Roman"/>
        <family val="1"/>
      </rPr>
      <t>1</t>
    </r>
    <r>
      <rPr>
        <b/>
        <sz val="10.5"/>
        <rFont val="Times New Roman"/>
        <family val="1"/>
      </rPr>
      <t>) indica:</t>
    </r>
  </si>
  <si>
    <r>
      <t xml:space="preserve">(a) l’area della funzione di densità della normale standardizzata compresa tra 0 e </t>
    </r>
    <r>
      <rPr>
        <i/>
        <sz val="10.5"/>
        <rFont val="Times New Roman"/>
        <family val="1"/>
      </rPr>
      <t>d</t>
    </r>
    <r>
      <rPr>
        <vertAlign val="subscript"/>
        <sz val="10.5"/>
        <rFont val="Times New Roman"/>
        <family val="1"/>
      </rPr>
      <t>1</t>
    </r>
    <r>
      <rPr>
        <sz val="10.5"/>
        <rFont val="Times New Roman"/>
        <family val="1"/>
      </rPr>
      <t>.</t>
    </r>
  </si>
  <si>
    <r>
      <t xml:space="preserve">(b) l’area della funzione di densità della normale standardizzata compresa tra –∞ e </t>
    </r>
    <r>
      <rPr>
        <i/>
        <sz val="10.5"/>
        <rFont val="Times New Roman"/>
        <family val="1"/>
      </rPr>
      <t>d</t>
    </r>
    <r>
      <rPr>
        <vertAlign val="subscript"/>
        <sz val="10.5"/>
        <rFont val="Times New Roman"/>
        <family val="1"/>
      </rPr>
      <t>1</t>
    </r>
    <r>
      <rPr>
        <sz val="10.5"/>
        <rFont val="Times New Roman"/>
        <family val="1"/>
      </rPr>
      <t>.</t>
    </r>
  </si>
  <si>
    <r>
      <t xml:space="preserve">(c) l’area della funzione di densità della normale standardizzata compresa tra </t>
    </r>
    <r>
      <rPr>
        <i/>
        <sz val="10.5"/>
        <rFont val="Times New Roman"/>
        <family val="1"/>
      </rPr>
      <t>d</t>
    </r>
    <r>
      <rPr>
        <vertAlign val="subscript"/>
        <sz val="10.5"/>
        <rFont val="Times New Roman"/>
        <family val="1"/>
      </rPr>
      <t>1</t>
    </r>
    <r>
      <rPr>
        <sz val="10.5"/>
        <rFont val="Times New Roman"/>
        <family val="1"/>
      </rPr>
      <t xml:space="preserve"> e +∞.</t>
    </r>
  </si>
  <si>
    <r>
      <t>(d) l’area della funzione di densità della normale standardizzata compresa tra –</t>
    </r>
    <r>
      <rPr>
        <i/>
        <sz val="10.5"/>
        <rFont val="Times New Roman"/>
        <family val="1"/>
      </rPr>
      <t>d</t>
    </r>
    <r>
      <rPr>
        <vertAlign val="subscript"/>
        <sz val="10.5"/>
        <rFont val="Times New Roman"/>
        <family val="1"/>
      </rPr>
      <t>1</t>
    </r>
    <r>
      <rPr>
        <sz val="10.5"/>
        <rFont val="Times New Roman"/>
        <family val="1"/>
      </rPr>
      <t xml:space="preserve"> e </t>
    </r>
    <r>
      <rPr>
        <i/>
        <sz val="10.5"/>
        <rFont val="Times New Roman"/>
        <family val="1"/>
      </rPr>
      <t>d</t>
    </r>
    <r>
      <rPr>
        <vertAlign val="subscript"/>
        <sz val="10.5"/>
        <rFont val="Times New Roman"/>
        <family val="1"/>
      </rPr>
      <t>1</t>
    </r>
    <r>
      <rPr>
        <sz val="10.5"/>
        <rFont val="Times New Roman"/>
        <family val="1"/>
      </rPr>
      <t>.</t>
    </r>
  </si>
  <si>
    <r>
      <t xml:space="preserve">Il campo di definizione di una variabile casuale normale va da −∞ a +∞. </t>
    </r>
    <r>
      <rPr>
        <i/>
        <sz val="10.5"/>
        <rFont val="Times New Roman"/>
        <family val="1"/>
      </rPr>
      <t>N</t>
    </r>
    <r>
      <rPr>
        <sz val="10.5"/>
        <rFont val="Times New Roman"/>
        <family val="1"/>
      </rPr>
      <t>(</t>
    </r>
    <r>
      <rPr>
        <i/>
        <sz val="10.5"/>
        <rFont val="Times New Roman"/>
        <family val="1"/>
      </rPr>
      <t>d</t>
    </r>
    <r>
      <rPr>
        <vertAlign val="subscript"/>
        <sz val="10.5"/>
        <rFont val="Times New Roman"/>
        <family val="1"/>
      </rPr>
      <t>1</t>
    </r>
    <r>
      <rPr>
        <sz val="10.5"/>
        <rFont val="Times New Roman"/>
        <family val="1"/>
      </rPr>
      <t xml:space="preserve">) indica l’area compresa tra −∞ e </t>
    </r>
    <r>
      <rPr>
        <i/>
        <sz val="10.5"/>
        <rFont val="Times New Roman"/>
        <family val="1"/>
      </rPr>
      <t>d</t>
    </r>
    <r>
      <rPr>
        <vertAlign val="subscript"/>
        <sz val="10.5"/>
        <rFont val="Times New Roman"/>
        <family val="1"/>
      </rPr>
      <t>1</t>
    </r>
    <r>
      <rPr>
        <sz val="10.5"/>
        <rFont val="Times New Roman"/>
        <family val="1"/>
      </rPr>
      <t>.</t>
    </r>
  </si>
  <si>
    <r>
      <t xml:space="preserve">(a) l’esercizio anticipato della </t>
    </r>
    <r>
      <rPr>
        <i/>
        <sz val="10.5"/>
        <rFont val="Times New Roman"/>
        <family val="1"/>
      </rPr>
      <t>call</t>
    </r>
    <r>
      <rPr>
        <sz val="10.5"/>
        <rFont val="Times New Roman"/>
        <family val="1"/>
      </rPr>
      <t xml:space="preserve"> non è mai ottimale.</t>
    </r>
  </si>
  <si>
    <r>
      <t xml:space="preserve">(c) l’esercizio anticipato della </t>
    </r>
    <r>
      <rPr>
        <i/>
        <sz val="10.5"/>
        <rFont val="Times New Roman"/>
        <family val="1"/>
      </rPr>
      <t>call</t>
    </r>
    <r>
      <rPr>
        <sz val="10.5"/>
        <rFont val="Times New Roman"/>
        <family val="1"/>
      </rPr>
      <t xml:space="preserve"> può essere ottimale solo immediatamente dopo la data di stacco del dividendo.</t>
    </r>
  </si>
  <si>
    <r>
      <t xml:space="preserve">(b) assumere che il tasso di crescita atteso del prezzo dell’azione sia pari al 5% e attualizzare il </t>
    </r>
    <r>
      <rPr>
        <i/>
        <sz val="10.5"/>
        <rFont val="Times New Roman"/>
        <family val="1"/>
      </rPr>
      <t>payoff</t>
    </r>
    <r>
      <rPr>
        <sz val="10.5"/>
        <rFont val="Times New Roman"/>
        <family val="1"/>
      </rPr>
      <t xml:space="preserve"> atteso del derivato in base al tasso del 12%.</t>
    </r>
  </si>
  <si>
    <r>
      <t xml:space="preserve">(c) assumere che il tasso di crescita atteso del prezzo dell’azione sia pari al 5% e attualizzare il </t>
    </r>
    <r>
      <rPr>
        <i/>
        <sz val="10.5"/>
        <rFont val="Times New Roman"/>
        <family val="1"/>
      </rPr>
      <t>payoff</t>
    </r>
    <r>
      <rPr>
        <sz val="10.5"/>
        <rFont val="Times New Roman"/>
        <family val="1"/>
      </rPr>
      <t xml:space="preserve"> atteso del derivato in base al tasso del 5%.</t>
    </r>
  </si>
  <si>
    <r>
      <t xml:space="preserve">(d) assumere che il tasso di crescita atteso del prezzo dell’azione sia pari al 12% e attualizzare il </t>
    </r>
    <r>
      <rPr>
        <i/>
        <sz val="10.5"/>
        <rFont val="Times New Roman"/>
        <family val="1"/>
      </rPr>
      <t>payoff</t>
    </r>
    <r>
      <rPr>
        <sz val="10.5"/>
        <rFont val="Times New Roman"/>
        <family val="1"/>
      </rPr>
      <t xml:space="preserve"> atteso del derivato in base al tasso del 5%.</t>
    </r>
  </si>
  <si>
    <r>
      <t xml:space="preserve">(a) è pari al valore di una </t>
    </r>
    <r>
      <rPr>
        <i/>
        <sz val="10.5"/>
        <rFont val="Times New Roman"/>
        <family val="1"/>
      </rPr>
      <t>call</t>
    </r>
    <r>
      <rPr>
        <sz val="10.5"/>
        <rFont val="Times New Roman"/>
        <family val="1"/>
      </rPr>
      <t xml:space="preserve"> europea che scade subito prima del primo dividendo;</t>
    </r>
  </si>
  <si>
    <r>
      <t xml:space="preserve">(b) è pari al valore di una </t>
    </r>
    <r>
      <rPr>
        <i/>
        <sz val="10.5"/>
        <rFont val="Times New Roman"/>
        <family val="1"/>
      </rPr>
      <t>call</t>
    </r>
    <r>
      <rPr>
        <sz val="10.5"/>
        <rFont val="Times New Roman"/>
        <family val="1"/>
      </rPr>
      <t xml:space="preserve"> europea che scade subito prima del secondo dividendo;</t>
    </r>
  </si>
  <si>
    <r>
      <t xml:space="preserve">(c) è pari al maggiore tra i valori </t>
    </r>
    <r>
      <rPr>
        <i/>
        <sz val="10.5"/>
        <rFont val="Times New Roman"/>
        <family val="1"/>
      </rPr>
      <t>sub</t>
    </r>
    <r>
      <rPr>
        <sz val="10.5"/>
        <rFont val="Times New Roman"/>
        <family val="1"/>
      </rPr>
      <t xml:space="preserve"> (a) e </t>
    </r>
    <r>
      <rPr>
        <i/>
        <sz val="10.5"/>
        <rFont val="Times New Roman"/>
        <family val="1"/>
      </rPr>
      <t>sub</t>
    </r>
    <r>
      <rPr>
        <sz val="10.5"/>
        <rFont val="Times New Roman"/>
        <family val="1"/>
      </rPr>
      <t xml:space="preserve"> (b);</t>
    </r>
  </si>
  <si>
    <r>
      <t xml:space="preserve">Il valore atteso del tasso di rendimento a 1 anno (composto continuamente) è pari a </t>
    </r>
    <r>
      <rPr>
        <i/>
        <sz val="10.5"/>
        <rFont val="Times New Roman"/>
        <family val="1"/>
      </rPr>
      <t>μ</t>
    </r>
    <r>
      <rPr>
        <sz val="10.5"/>
        <rFont val="Times New Roman"/>
        <family val="1"/>
      </rPr>
      <t xml:space="preserve"> − </t>
    </r>
    <r>
      <rPr>
        <i/>
        <sz val="10.5"/>
        <rFont val="Times New Roman"/>
        <family val="1"/>
      </rPr>
      <t>σ</t>
    </r>
    <r>
      <rPr>
        <vertAlign val="superscript"/>
        <sz val="10.5"/>
        <rFont val="Times New Roman"/>
        <family val="1"/>
      </rPr>
      <t>2</t>
    </r>
    <r>
      <rPr>
        <sz val="10.5"/>
        <rFont val="Times New Roman"/>
        <family val="1"/>
      </rPr>
      <t>/2. In questo caso, è pari all’8% (= 0,1 − 0,2</t>
    </r>
    <r>
      <rPr>
        <vertAlign val="superscript"/>
        <sz val="10.5"/>
        <rFont val="Times New Roman"/>
        <family val="1"/>
      </rPr>
      <t>2</t>
    </r>
    <r>
      <rPr>
        <sz val="10.5"/>
        <rFont val="Times New Roman"/>
        <family val="1"/>
      </rPr>
      <t>/2).</t>
    </r>
  </si>
  <si>
    <r>
      <t xml:space="preserve">μ </t>
    </r>
    <r>
      <rPr>
        <sz val="10.5"/>
        <rFont val="Times New Roman"/>
        <family val="1"/>
      </rPr>
      <t>− σ</t>
    </r>
    <r>
      <rPr>
        <vertAlign val="superscript"/>
        <sz val="10.5"/>
        <rFont val="Times New Roman"/>
        <family val="1"/>
      </rPr>
      <t>2</t>
    </r>
    <r>
      <rPr>
        <sz val="10.5"/>
        <rFont val="Times New Roman"/>
        <family val="1"/>
      </rPr>
      <t>/2</t>
    </r>
  </si>
  <si>
    <r>
      <t xml:space="preserve">1 + </t>
    </r>
    <r>
      <rPr>
        <i/>
        <sz val="10.5"/>
        <rFont val="Times New Roman"/>
        <family val="1"/>
      </rPr>
      <t>R</t>
    </r>
    <r>
      <rPr>
        <vertAlign val="subscript"/>
        <sz val="10.5"/>
        <rFont val="Times New Roman"/>
        <family val="1"/>
      </rPr>
      <t>1</t>
    </r>
  </si>
  <si>
    <r>
      <t xml:space="preserve">1 + </t>
    </r>
    <r>
      <rPr>
        <i/>
        <sz val="10.5"/>
        <rFont val="Times New Roman"/>
        <family val="1"/>
      </rPr>
      <t>R</t>
    </r>
    <r>
      <rPr>
        <vertAlign val="subscript"/>
        <sz val="10.5"/>
        <rFont val="Times New Roman"/>
        <family val="1"/>
      </rPr>
      <t>2</t>
    </r>
  </si>
  <si>
    <r>
      <t xml:space="preserve">1 + </t>
    </r>
    <r>
      <rPr>
        <i/>
        <sz val="10.5"/>
        <rFont val="Times New Roman"/>
        <family val="1"/>
      </rPr>
      <t>R</t>
    </r>
    <r>
      <rPr>
        <vertAlign val="subscript"/>
        <sz val="10.5"/>
        <rFont val="Times New Roman"/>
        <family val="1"/>
      </rPr>
      <t>3</t>
    </r>
  </si>
  <si>
    <r>
      <t xml:space="preserve">15.15. Quale metodo si usa per estendere la formula Black-Scholes-Merton al caso in cui l’azione sottostante la </t>
    </r>
    <r>
      <rPr>
        <b/>
        <i/>
        <sz val="10.5"/>
        <rFont val="Times New Roman"/>
        <family val="1"/>
      </rPr>
      <t>call</t>
    </r>
    <r>
      <rPr>
        <b/>
        <sz val="10.5"/>
        <rFont val="Times New Roman"/>
        <family val="1"/>
      </rPr>
      <t xml:space="preserve"> europea paghi un dividendo di importo noto?</t>
    </r>
  </si>
  <si>
    <r>
      <t xml:space="preserve">(a) $20 × </t>
    </r>
    <r>
      <rPr>
        <i/>
        <sz val="10.5"/>
        <rFont val="Times New Roman"/>
        <family val="1"/>
      </rPr>
      <t>N</t>
    </r>
    <r>
      <rPr>
        <sz val="10.5"/>
        <rFont val="Times New Roman"/>
        <family val="1"/>
      </rPr>
      <t xml:space="preserve">(0,1) − $19,7 × </t>
    </r>
    <r>
      <rPr>
        <i/>
        <sz val="10.5"/>
        <rFont val="Times New Roman"/>
        <family val="1"/>
      </rPr>
      <t>N</t>
    </r>
    <r>
      <rPr>
        <sz val="10.5"/>
        <rFont val="Times New Roman"/>
        <family val="1"/>
      </rPr>
      <t>(0,2)</t>
    </r>
  </si>
  <si>
    <r>
      <t xml:space="preserve">(b) $20 × </t>
    </r>
    <r>
      <rPr>
        <i/>
        <sz val="10.5"/>
        <rFont val="Times New Roman"/>
        <family val="1"/>
      </rPr>
      <t>N</t>
    </r>
    <r>
      <rPr>
        <sz val="10.5"/>
        <rFont val="Times New Roman"/>
        <family val="1"/>
      </rPr>
      <t xml:space="preserve">(0,2) − $19,7 × </t>
    </r>
    <r>
      <rPr>
        <i/>
        <sz val="10.5"/>
        <rFont val="Times New Roman"/>
        <family val="1"/>
      </rPr>
      <t>N</t>
    </r>
    <r>
      <rPr>
        <sz val="10.5"/>
        <rFont val="Times New Roman"/>
        <family val="1"/>
      </rPr>
      <t>(0,1)</t>
    </r>
  </si>
  <si>
    <r>
      <t xml:space="preserve">(c) $19,7 × </t>
    </r>
    <r>
      <rPr>
        <i/>
        <sz val="10.5"/>
        <rFont val="Times New Roman"/>
        <family val="1"/>
      </rPr>
      <t>N</t>
    </r>
    <r>
      <rPr>
        <sz val="10.5"/>
        <rFont val="Times New Roman"/>
        <family val="1"/>
      </rPr>
      <t xml:space="preserve">(0,2) − $20 × </t>
    </r>
    <r>
      <rPr>
        <i/>
        <sz val="10.5"/>
        <rFont val="Times New Roman"/>
        <family val="1"/>
      </rPr>
      <t>N</t>
    </r>
    <r>
      <rPr>
        <sz val="10.5"/>
        <rFont val="Times New Roman"/>
        <family val="1"/>
      </rPr>
      <t>(0,1)</t>
    </r>
  </si>
  <si>
    <r>
      <t xml:space="preserve">(d) $19,7 × </t>
    </r>
    <r>
      <rPr>
        <i/>
        <sz val="10.5"/>
        <rFont val="Times New Roman"/>
        <family val="1"/>
      </rPr>
      <t>N</t>
    </r>
    <r>
      <rPr>
        <sz val="10.5"/>
        <rFont val="Times New Roman"/>
        <family val="1"/>
      </rPr>
      <t xml:space="preserve">(0,1) − $20 × </t>
    </r>
    <r>
      <rPr>
        <i/>
        <sz val="10.5"/>
        <rFont val="Times New Roman"/>
        <family val="1"/>
      </rPr>
      <t>N</t>
    </r>
    <r>
      <rPr>
        <sz val="10.5"/>
        <rFont val="Times New Roman"/>
        <family val="1"/>
      </rPr>
      <t>(0,2)</t>
    </r>
  </si>
  <si>
    <r>
      <t xml:space="preserve">In questo caso </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xml:space="preserve"> = $20, </t>
    </r>
    <r>
      <rPr>
        <i/>
        <sz val="10.5"/>
        <rFont val="Times New Roman"/>
        <family val="1"/>
      </rPr>
      <t>r</t>
    </r>
    <r>
      <rPr>
        <sz val="10.5"/>
        <rFont val="Times New Roman"/>
        <family val="1"/>
      </rPr>
      <t xml:space="preserve"> = 0,06, </t>
    </r>
    <r>
      <rPr>
        <i/>
        <sz val="10.5"/>
        <rFont val="Times New Roman"/>
        <family val="1"/>
      </rPr>
      <t>σ</t>
    </r>
    <r>
      <rPr>
        <sz val="10.5"/>
        <rFont val="Times New Roman"/>
        <family val="1"/>
      </rPr>
      <t xml:space="preserve"> = 0,2 e </t>
    </r>
    <r>
      <rPr>
        <i/>
        <sz val="10.5"/>
        <rFont val="Times New Roman"/>
        <family val="1"/>
      </rPr>
      <t>T</t>
    </r>
    <r>
      <rPr>
        <sz val="10.5"/>
        <rFont val="Times New Roman"/>
        <family val="1"/>
      </rPr>
      <t xml:space="preserve"> = 0,25 per cui </t>
    </r>
    <r>
      <rPr>
        <i/>
        <sz val="10.5"/>
        <rFont val="Times New Roman"/>
        <family val="1"/>
      </rPr>
      <t>Ke</t>
    </r>
    <r>
      <rPr>
        <i/>
        <vertAlign val="superscript"/>
        <sz val="10.5"/>
        <rFont val="Times New Roman"/>
        <family val="1"/>
      </rPr>
      <t>−rT</t>
    </r>
    <r>
      <rPr>
        <sz val="10.5"/>
        <rFont val="Times New Roman"/>
        <family val="1"/>
      </rPr>
      <t xml:space="preserve"> = $20 </t>
    </r>
    <r>
      <rPr>
        <i/>
        <sz val="10.5"/>
        <rFont val="Times New Roman"/>
        <family val="1"/>
      </rPr>
      <t>e</t>
    </r>
    <r>
      <rPr>
        <vertAlign val="superscript"/>
        <sz val="10.5"/>
        <rFont val="Times New Roman"/>
        <family val="1"/>
      </rPr>
      <t>−0,06×0,25</t>
    </r>
    <r>
      <rPr>
        <sz val="10.5"/>
        <rFont val="Times New Roman"/>
        <family val="1"/>
      </rPr>
      <t xml:space="preserve"> = $19,7. Inoltre, </t>
    </r>
    <r>
      <rPr>
        <i/>
        <sz val="10.5"/>
        <rFont val="Times New Roman"/>
        <family val="1"/>
      </rPr>
      <t>d</t>
    </r>
    <r>
      <rPr>
        <vertAlign val="subscript"/>
        <sz val="10.5"/>
        <rFont val="Times New Roman"/>
        <family val="1"/>
      </rPr>
      <t>1</t>
    </r>
    <r>
      <rPr>
        <sz val="10.5"/>
        <rFont val="Times New Roman"/>
        <family val="1"/>
      </rPr>
      <t xml:space="preserve"> = [ln($20/$20) + (0,06 + 0,2</t>
    </r>
    <r>
      <rPr>
        <vertAlign val="superscript"/>
        <sz val="10.5"/>
        <rFont val="Times New Roman"/>
        <family val="1"/>
      </rPr>
      <t>2</t>
    </r>
    <r>
      <rPr>
        <sz val="10.5"/>
        <rFont val="Times New Roman"/>
        <family val="1"/>
      </rPr>
      <t xml:space="preserve">/2) × 0,25]/(0,2 × </t>
    </r>
    <r>
      <rPr>
        <sz val="10.5"/>
        <rFont val="Times New Roman"/>
        <family val="1"/>
      </rPr>
      <t>√</t>
    </r>
    <r>
      <rPr>
        <sz val="10.5"/>
        <rFont val="Times New Roman"/>
        <family val="1"/>
      </rPr>
      <t xml:space="preserve">0,25) = 0,2 e </t>
    </r>
    <r>
      <rPr>
        <i/>
        <sz val="10.5"/>
        <rFont val="Times New Roman"/>
        <family val="1"/>
      </rPr>
      <t>d</t>
    </r>
    <r>
      <rPr>
        <vertAlign val="subscript"/>
        <sz val="10.5"/>
        <rFont val="Times New Roman"/>
        <family val="1"/>
      </rPr>
      <t>2</t>
    </r>
    <r>
      <rPr>
        <sz val="10.5"/>
        <rFont val="Times New Roman"/>
        <family val="1"/>
      </rPr>
      <t xml:space="preserve"> = 0,2 – 0,2 × √0,25 = 0,1. Pertanto, la risposta corretta è quella sub (b).</t>
    </r>
  </si>
  <si>
    <r>
      <t xml:space="preserve">(a) $19,7 × </t>
    </r>
    <r>
      <rPr>
        <i/>
        <sz val="10.5"/>
        <rFont val="Times New Roman"/>
        <family val="1"/>
      </rPr>
      <t>N</t>
    </r>
    <r>
      <rPr>
        <sz val="10.5"/>
        <rFont val="Times New Roman"/>
        <family val="1"/>
      </rPr>
      <t xml:space="preserve">(−0,1) − $20 × </t>
    </r>
    <r>
      <rPr>
        <i/>
        <sz val="10.5"/>
        <rFont val="Times New Roman"/>
        <family val="1"/>
      </rPr>
      <t>N</t>
    </r>
    <r>
      <rPr>
        <sz val="10.5"/>
        <rFont val="Times New Roman"/>
        <family val="1"/>
      </rPr>
      <t>(−0,2)</t>
    </r>
  </si>
  <si>
    <r>
      <t xml:space="preserve">(b) $20 × </t>
    </r>
    <r>
      <rPr>
        <i/>
        <sz val="10.5"/>
        <rFont val="Times New Roman"/>
        <family val="1"/>
      </rPr>
      <t>N</t>
    </r>
    <r>
      <rPr>
        <sz val="10.5"/>
        <rFont val="Times New Roman"/>
        <family val="1"/>
      </rPr>
      <t xml:space="preserve">(−0,1) − $20 × </t>
    </r>
    <r>
      <rPr>
        <i/>
        <sz val="10.5"/>
        <rFont val="Times New Roman"/>
        <family val="1"/>
      </rPr>
      <t>N</t>
    </r>
    <r>
      <rPr>
        <sz val="10.5"/>
        <rFont val="Times New Roman"/>
        <family val="1"/>
      </rPr>
      <t>(−0,2)</t>
    </r>
  </si>
  <si>
    <r>
      <t xml:space="preserve">(c) $19,7 × </t>
    </r>
    <r>
      <rPr>
        <i/>
        <sz val="10.5"/>
        <rFont val="Times New Roman"/>
        <family val="1"/>
      </rPr>
      <t>N</t>
    </r>
    <r>
      <rPr>
        <sz val="10.5"/>
        <rFont val="Times New Roman"/>
        <family val="1"/>
      </rPr>
      <t xml:space="preserve">(−0,2) − $20 × </t>
    </r>
    <r>
      <rPr>
        <i/>
        <sz val="10.5"/>
        <rFont val="Times New Roman"/>
        <family val="1"/>
      </rPr>
      <t>N</t>
    </r>
    <r>
      <rPr>
        <sz val="10.5"/>
        <rFont val="Times New Roman"/>
        <family val="1"/>
      </rPr>
      <t>(−0,1)</t>
    </r>
  </si>
  <si>
    <r>
      <t xml:space="preserve">(d) $20 × </t>
    </r>
    <r>
      <rPr>
        <i/>
        <sz val="10.5"/>
        <rFont val="Times New Roman"/>
        <family val="1"/>
      </rPr>
      <t>N</t>
    </r>
    <r>
      <rPr>
        <sz val="10.5"/>
        <rFont val="Times New Roman"/>
        <family val="1"/>
      </rPr>
      <t xml:space="preserve">(−0,1) − $20 × </t>
    </r>
    <r>
      <rPr>
        <i/>
        <sz val="10.5"/>
        <rFont val="Times New Roman"/>
        <family val="1"/>
      </rPr>
      <t>N</t>
    </r>
    <r>
      <rPr>
        <sz val="10.5"/>
        <rFont val="Times New Roman"/>
        <family val="1"/>
      </rPr>
      <t>(−0,1)</t>
    </r>
  </si>
  <si>
    <r>
      <t xml:space="preserve">In questo caso </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t>
    </r>
    <r>
      <rPr>
        <sz val="10.5"/>
        <rFont val="Times New Roman"/>
        <family val="1"/>
      </rPr>
      <t xml:space="preserve"> = $20, </t>
    </r>
    <r>
      <rPr>
        <i/>
        <sz val="10.5"/>
        <rFont val="Times New Roman"/>
        <family val="1"/>
      </rPr>
      <t>r</t>
    </r>
    <r>
      <rPr>
        <sz val="10.5"/>
        <rFont val="Times New Roman"/>
        <family val="1"/>
      </rPr>
      <t xml:space="preserve"> = 0,06, </t>
    </r>
    <r>
      <rPr>
        <i/>
        <sz val="10.5"/>
        <rFont val="Times New Roman"/>
        <family val="1"/>
      </rPr>
      <t>σ</t>
    </r>
    <r>
      <rPr>
        <sz val="10.5"/>
        <rFont val="Times New Roman"/>
        <family val="1"/>
      </rPr>
      <t xml:space="preserve"> = 0,2 e </t>
    </r>
    <r>
      <rPr>
        <i/>
        <sz val="10.5"/>
        <rFont val="Times New Roman"/>
        <family val="1"/>
      </rPr>
      <t>T</t>
    </r>
    <r>
      <rPr>
        <sz val="10.5"/>
        <rFont val="Times New Roman"/>
        <family val="1"/>
      </rPr>
      <t xml:space="preserve"> = 0,25 per cui </t>
    </r>
    <r>
      <rPr>
        <i/>
        <sz val="10.5"/>
        <rFont val="Times New Roman"/>
        <family val="1"/>
      </rPr>
      <t>Ke</t>
    </r>
    <r>
      <rPr>
        <i/>
        <vertAlign val="superscript"/>
        <sz val="10.5"/>
        <rFont val="Times New Roman"/>
        <family val="1"/>
      </rPr>
      <t>−rT</t>
    </r>
    <r>
      <rPr>
        <sz val="10.5"/>
        <rFont val="Times New Roman"/>
        <family val="1"/>
      </rPr>
      <t xml:space="preserve"> = $20 </t>
    </r>
    <r>
      <rPr>
        <i/>
        <sz val="10.5"/>
        <rFont val="Times New Roman"/>
        <family val="1"/>
      </rPr>
      <t>e</t>
    </r>
    <r>
      <rPr>
        <vertAlign val="superscript"/>
        <sz val="10.5"/>
        <rFont val="Times New Roman"/>
        <family val="1"/>
      </rPr>
      <t>−0,06×0,25</t>
    </r>
    <r>
      <rPr>
        <sz val="10.5"/>
        <rFont val="Times New Roman"/>
        <family val="1"/>
      </rPr>
      <t xml:space="preserve"> = $19,7. Inoltre, </t>
    </r>
    <r>
      <rPr>
        <i/>
        <sz val="10.5"/>
        <rFont val="Times New Roman"/>
        <family val="1"/>
      </rPr>
      <t>d</t>
    </r>
    <r>
      <rPr>
        <vertAlign val="subscript"/>
        <sz val="10.5"/>
        <rFont val="Times New Roman"/>
        <family val="1"/>
      </rPr>
      <t>1</t>
    </r>
    <r>
      <rPr>
        <sz val="10.5"/>
        <rFont val="Times New Roman"/>
        <family val="1"/>
      </rPr>
      <t xml:space="preserve"> = [ln($20/$20) + (0,06 + 0,2</t>
    </r>
    <r>
      <rPr>
        <vertAlign val="superscript"/>
        <sz val="10.5"/>
        <rFont val="Times New Roman"/>
        <family val="1"/>
      </rPr>
      <t>2</t>
    </r>
    <r>
      <rPr>
        <sz val="10.5"/>
        <rFont val="Times New Roman"/>
        <family val="1"/>
      </rPr>
      <t xml:space="preserve">/2) × 0,25]/(0,2 × </t>
    </r>
    <r>
      <rPr>
        <sz val="10.5"/>
        <rFont val="Times New Roman"/>
        <family val="1"/>
      </rPr>
      <t>√</t>
    </r>
    <r>
      <rPr>
        <sz val="10.5"/>
        <rFont val="Times New Roman"/>
        <family val="1"/>
      </rPr>
      <t xml:space="preserve">0,25) = 0,2 e </t>
    </r>
    <r>
      <rPr>
        <i/>
        <sz val="10.5"/>
        <rFont val="Times New Roman"/>
        <family val="1"/>
      </rPr>
      <t>d</t>
    </r>
    <r>
      <rPr>
        <vertAlign val="subscript"/>
        <sz val="10.5"/>
        <rFont val="Times New Roman"/>
        <family val="1"/>
      </rPr>
      <t>2</t>
    </r>
    <r>
      <rPr>
        <sz val="10.5"/>
        <rFont val="Times New Roman"/>
        <family val="1"/>
      </rPr>
      <t xml:space="preserve"> = 0,2 – 0,2 × √0,25 = 0,1. Pertanto, la risposta corretta è quella sub (a).</t>
    </r>
  </si>
  <si>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S</t>
    </r>
    <r>
      <rPr>
        <i/>
        <vertAlign val="subscript"/>
        <sz val="10.5"/>
        <rFont val="Times New Roman"/>
        <family val="1"/>
      </rPr>
      <t>t</t>
    </r>
    <r>
      <rPr>
        <vertAlign val="subscript"/>
        <sz val="10.5"/>
        <rFont val="Times New Roman"/>
        <family val="1"/>
      </rPr>
      <t>−1</t>
    </r>
  </si>
  <si>
    <r>
      <t>ln(</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S</t>
    </r>
    <r>
      <rPr>
        <i/>
        <vertAlign val="subscript"/>
        <sz val="10.5"/>
        <rFont val="Times New Roman"/>
        <family val="1"/>
      </rPr>
      <t>t</t>
    </r>
    <r>
      <rPr>
        <vertAlign val="subscript"/>
        <sz val="10.5"/>
        <rFont val="Times New Roman"/>
        <family val="1"/>
      </rPr>
      <t>−2</t>
    </r>
    <r>
      <rPr>
        <sz val="10.5"/>
        <rFont val="Times New Roman"/>
        <family val="1"/>
      </rPr>
      <t>)</t>
    </r>
  </si>
  <si>
    <r>
      <t>σ</t>
    </r>
    <r>
      <rPr>
        <i/>
        <vertAlign val="subscript"/>
        <sz val="10.5"/>
        <rFont val="Times New Roman"/>
        <family val="1"/>
      </rPr>
      <t>w</t>
    </r>
  </si>
  <si>
    <r>
      <t>σ</t>
    </r>
    <r>
      <rPr>
        <i/>
        <vertAlign val="subscript"/>
        <sz val="10.5"/>
        <rFont val="Times New Roman"/>
        <family val="1"/>
      </rPr>
      <t>m</t>
    </r>
  </si>
  <si>
    <r>
      <t xml:space="preserve">14.1. Una variabile, </t>
    </r>
    <r>
      <rPr>
        <b/>
        <i/>
        <sz val="10.5"/>
        <rFont val="Times New Roman"/>
        <family val="1"/>
      </rPr>
      <t>x</t>
    </r>
    <r>
      <rPr>
        <b/>
        <sz val="10.5"/>
        <rFont val="Times New Roman"/>
        <family val="1"/>
      </rPr>
      <t xml:space="preserve">, il cui livello corrente è 10, segue un processo di Wiener generalizzato </t>
    </r>
    <r>
      <rPr>
        <b/>
        <i/>
        <sz val="10.5"/>
        <rFont val="Times New Roman"/>
        <family val="1"/>
      </rPr>
      <t xml:space="preserve">dx </t>
    </r>
    <r>
      <rPr>
        <b/>
        <sz val="10.5"/>
        <rFont val="Times New Roman"/>
        <family val="1"/>
      </rPr>
      <t xml:space="preserve">= </t>
    </r>
    <r>
      <rPr>
        <b/>
        <i/>
        <sz val="10.5"/>
        <rFont val="Times New Roman"/>
        <family val="1"/>
      </rPr>
      <t>adt</t>
    </r>
    <r>
      <rPr>
        <b/>
        <sz val="10.5"/>
        <rFont val="Times New Roman"/>
        <family val="1"/>
      </rPr>
      <t xml:space="preserve"> + </t>
    </r>
    <r>
      <rPr>
        <b/>
        <i/>
        <sz val="10.5"/>
        <rFont val="Times New Roman"/>
        <family val="1"/>
      </rPr>
      <t>bdz</t>
    </r>
    <r>
      <rPr>
        <b/>
        <sz val="10.5"/>
        <rFont val="Times New Roman"/>
        <family val="1"/>
      </rPr>
      <t xml:space="preserve"> dove </t>
    </r>
    <r>
      <rPr>
        <b/>
        <i/>
        <sz val="10.5"/>
        <rFont val="Times New Roman"/>
        <family val="1"/>
      </rPr>
      <t>a</t>
    </r>
    <r>
      <rPr>
        <b/>
        <sz val="10.5"/>
        <rFont val="Times New Roman"/>
        <family val="1"/>
      </rPr>
      <t xml:space="preserve"> = 2, </t>
    </r>
    <r>
      <rPr>
        <b/>
        <i/>
        <sz val="10.5"/>
        <rFont val="Times New Roman"/>
        <family val="1"/>
      </rPr>
      <t>b</t>
    </r>
    <r>
      <rPr>
        <b/>
        <sz val="10.5"/>
        <rFont val="Times New Roman"/>
        <family val="1"/>
      </rPr>
      <t xml:space="preserve"> = 3 e il tempo è misurato in anni. </t>
    </r>
  </si>
  <si>
    <r>
      <t xml:space="preserve">Qual è il valore atteso di </t>
    </r>
    <r>
      <rPr>
        <b/>
        <i/>
        <sz val="10.5"/>
        <rFont val="Times New Roman"/>
        <family val="1"/>
      </rPr>
      <t>x</t>
    </r>
    <r>
      <rPr>
        <b/>
        <sz val="10.5"/>
        <rFont val="Times New Roman"/>
        <family val="1"/>
      </rPr>
      <t xml:space="preserve"> tra 3 anni?</t>
    </r>
  </si>
  <si>
    <r>
      <t>Il «tasso di deriva» (</t>
    </r>
    <r>
      <rPr>
        <i/>
        <sz val="10.5"/>
        <rFont val="Times New Roman"/>
        <family val="1"/>
      </rPr>
      <t>drift rate</t>
    </r>
    <r>
      <rPr>
        <sz val="10.5"/>
        <rFont val="Times New Roman"/>
        <family val="1"/>
      </rPr>
      <t>) annuo è pari a 2. Pertanto, l’incremento atteso in tre anni è pari a 6 (= 2 × 3) e il valore atteso di x tra 3 anni è pari a 16 (= 10 + 6).</t>
    </r>
  </si>
  <si>
    <r>
      <rPr>
        <i/>
        <sz val="10.5"/>
        <rFont val="Times New Roman"/>
        <family val="1"/>
      </rPr>
      <t>E</t>
    </r>
    <r>
      <rPr>
        <sz val="10.5"/>
        <rFont val="Times New Roman"/>
        <family val="1"/>
      </rPr>
      <t>(</t>
    </r>
    <r>
      <rPr>
        <i/>
        <sz val="10.5"/>
        <rFont val="Times New Roman"/>
        <family val="1"/>
      </rPr>
      <t>x</t>
    </r>
    <r>
      <rPr>
        <sz val="10.5"/>
        <rFont val="Times New Roman"/>
        <family val="1"/>
      </rPr>
      <t>)</t>
    </r>
  </si>
  <si>
    <r>
      <t xml:space="preserve">14.2. Una variabile, </t>
    </r>
    <r>
      <rPr>
        <b/>
        <i/>
        <sz val="10.5"/>
        <rFont val="Times New Roman"/>
        <family val="1"/>
      </rPr>
      <t>x</t>
    </r>
    <r>
      <rPr>
        <b/>
        <sz val="10.5"/>
        <rFont val="Times New Roman"/>
        <family val="1"/>
      </rPr>
      <t xml:space="preserve">, il cui livello corrente è 10, segue un processo di Wiener generalizzato </t>
    </r>
    <r>
      <rPr>
        <b/>
        <i/>
        <sz val="10.5"/>
        <rFont val="Times New Roman"/>
        <family val="1"/>
      </rPr>
      <t xml:space="preserve">dx </t>
    </r>
    <r>
      <rPr>
        <b/>
        <sz val="10.5"/>
        <rFont val="Times New Roman"/>
        <family val="1"/>
      </rPr>
      <t xml:space="preserve">= </t>
    </r>
    <r>
      <rPr>
        <b/>
        <i/>
        <sz val="10.5"/>
        <rFont val="Times New Roman"/>
        <family val="1"/>
      </rPr>
      <t>adt</t>
    </r>
    <r>
      <rPr>
        <b/>
        <sz val="10.5"/>
        <rFont val="Times New Roman"/>
        <family val="1"/>
      </rPr>
      <t xml:space="preserve"> + </t>
    </r>
    <r>
      <rPr>
        <b/>
        <i/>
        <sz val="10.5"/>
        <rFont val="Times New Roman"/>
        <family val="1"/>
      </rPr>
      <t>bdz</t>
    </r>
    <r>
      <rPr>
        <b/>
        <sz val="10.5"/>
        <rFont val="Times New Roman"/>
        <family val="1"/>
      </rPr>
      <t xml:space="preserve"> dove </t>
    </r>
    <r>
      <rPr>
        <b/>
        <i/>
        <sz val="10.5"/>
        <rFont val="Times New Roman"/>
        <family val="1"/>
      </rPr>
      <t>a</t>
    </r>
    <r>
      <rPr>
        <b/>
        <sz val="10.5"/>
        <rFont val="Times New Roman"/>
        <family val="1"/>
      </rPr>
      <t xml:space="preserve"> = 3, </t>
    </r>
    <r>
      <rPr>
        <b/>
        <i/>
        <sz val="10.5"/>
        <rFont val="Times New Roman"/>
        <family val="1"/>
      </rPr>
      <t>b</t>
    </r>
    <r>
      <rPr>
        <b/>
        <sz val="10.5"/>
        <rFont val="Times New Roman"/>
        <family val="1"/>
      </rPr>
      <t xml:space="preserve"> = 4 e il tempo è misurato in anni.</t>
    </r>
  </si>
  <si>
    <r>
      <t xml:space="preserve">Qual è la deviazione standard di </t>
    </r>
    <r>
      <rPr>
        <b/>
        <i/>
        <sz val="10.5"/>
        <rFont val="Times New Roman"/>
        <family val="1"/>
      </rPr>
      <t>x</t>
    </r>
    <r>
      <rPr>
        <b/>
        <sz val="10.5"/>
        <rFont val="Times New Roman"/>
        <family val="1"/>
      </rPr>
      <t xml:space="preserve"> tra 4 anni?</t>
    </r>
  </si>
  <si>
    <r>
      <t>Il «tasso di varianza» (</t>
    </r>
    <r>
      <rPr>
        <i/>
        <sz val="10.5"/>
        <rFont val="Times New Roman"/>
        <family val="1"/>
      </rPr>
      <t>variance rate</t>
    </r>
    <r>
      <rPr>
        <sz val="10.5"/>
        <rFont val="Times New Roman"/>
        <family val="1"/>
      </rPr>
      <t>) annuo è pari a 16 (= 4</t>
    </r>
    <r>
      <rPr>
        <vertAlign val="superscript"/>
        <sz val="10.5"/>
        <rFont val="Times New Roman"/>
        <family val="1"/>
      </rPr>
      <t>2</t>
    </r>
    <r>
      <rPr>
        <sz val="10.5"/>
        <rFont val="Times New Roman"/>
        <family val="1"/>
      </rPr>
      <t xml:space="preserve">). Pertanto, la varianza di </t>
    </r>
    <r>
      <rPr>
        <i/>
        <sz val="10.5"/>
        <rFont val="Times New Roman"/>
        <family val="1"/>
      </rPr>
      <t>x</t>
    </r>
    <r>
      <rPr>
        <sz val="10.5"/>
        <rFont val="Times New Roman"/>
        <family val="1"/>
      </rPr>
      <t xml:space="preserve"> tra 4 anni è pari a 64 (= 16 × 4) e la deviazione standard di x tra 4 anni è pari a 8 (= √64).</t>
    </r>
  </si>
  <si>
    <r>
      <t>b</t>
    </r>
    <r>
      <rPr>
        <vertAlign val="superscript"/>
        <sz val="10.5"/>
        <rFont val="Times New Roman"/>
        <family val="1"/>
      </rPr>
      <t>2</t>
    </r>
  </si>
  <si>
    <r>
      <t>var(</t>
    </r>
    <r>
      <rPr>
        <i/>
        <sz val="10.5"/>
        <rFont val="Times New Roman"/>
        <family val="1"/>
      </rPr>
      <t>x</t>
    </r>
    <r>
      <rPr>
        <sz val="10.5"/>
        <rFont val="Times New Roman"/>
        <family val="1"/>
      </rPr>
      <t>)</t>
    </r>
  </si>
  <si>
    <r>
      <t>std(</t>
    </r>
    <r>
      <rPr>
        <i/>
        <sz val="10.5"/>
        <rFont val="Times New Roman"/>
        <family val="1"/>
      </rPr>
      <t>x</t>
    </r>
    <r>
      <rPr>
        <sz val="10.5"/>
        <rFont val="Times New Roman"/>
        <family val="1"/>
      </rPr>
      <t>)</t>
    </r>
  </si>
  <si>
    <r>
      <t>14.3. Una variabile,</t>
    </r>
    <r>
      <rPr>
        <b/>
        <i/>
        <sz val="10.5"/>
        <rFont val="Times New Roman"/>
        <family val="1"/>
      </rPr>
      <t xml:space="preserve"> x</t>
    </r>
    <r>
      <rPr>
        <b/>
        <sz val="10.5"/>
        <rFont val="Times New Roman"/>
        <family val="1"/>
      </rPr>
      <t xml:space="preserve">, il cui livello corrente è 10, segue un processo di Wiener generalizzato </t>
    </r>
    <r>
      <rPr>
        <b/>
        <i/>
        <sz val="10.5"/>
        <rFont val="Times New Roman"/>
        <family val="1"/>
      </rPr>
      <t>dx</t>
    </r>
    <r>
      <rPr>
        <b/>
        <sz val="10.5"/>
        <rFont val="Times New Roman"/>
        <family val="1"/>
      </rPr>
      <t xml:space="preserve"> = </t>
    </r>
    <r>
      <rPr>
        <b/>
        <i/>
        <sz val="10.5"/>
        <rFont val="Times New Roman"/>
        <family val="1"/>
      </rPr>
      <t>adt</t>
    </r>
    <r>
      <rPr>
        <b/>
        <sz val="10.5"/>
        <rFont val="Times New Roman"/>
        <family val="1"/>
      </rPr>
      <t xml:space="preserve"> + </t>
    </r>
    <r>
      <rPr>
        <b/>
        <i/>
        <sz val="10.5"/>
        <rFont val="Times New Roman"/>
        <family val="1"/>
      </rPr>
      <t>bdz</t>
    </r>
    <r>
      <rPr>
        <b/>
        <sz val="10.5"/>
        <rFont val="Times New Roman"/>
        <family val="1"/>
      </rPr>
      <t xml:space="preserve"> dove </t>
    </r>
    <r>
      <rPr>
        <b/>
        <i/>
        <sz val="10.5"/>
        <rFont val="Times New Roman"/>
        <family val="1"/>
      </rPr>
      <t>a</t>
    </r>
    <r>
      <rPr>
        <b/>
        <sz val="10.5"/>
        <rFont val="Times New Roman"/>
        <family val="1"/>
      </rPr>
      <t xml:space="preserve"> = 3, </t>
    </r>
    <r>
      <rPr>
        <b/>
        <i/>
        <sz val="10.5"/>
        <rFont val="Times New Roman"/>
        <family val="1"/>
      </rPr>
      <t>b</t>
    </r>
    <r>
      <rPr>
        <b/>
        <sz val="10.5"/>
        <rFont val="Times New Roman"/>
        <family val="1"/>
      </rPr>
      <t xml:space="preserve"> = 4 e il tempo è misurato in anni.</t>
    </r>
  </si>
  <si>
    <r>
      <t xml:space="preserve">Qual è la deviazione standard di </t>
    </r>
    <r>
      <rPr>
        <b/>
        <i/>
        <sz val="10.5"/>
        <rFont val="Times New Roman"/>
        <family val="1"/>
      </rPr>
      <t>x</t>
    </r>
    <r>
      <rPr>
        <b/>
        <sz val="10.5"/>
        <rFont val="Times New Roman"/>
        <family val="1"/>
      </rPr>
      <t xml:space="preserve"> tra 3 mesi?</t>
    </r>
  </si>
  <si>
    <r>
      <t xml:space="preserve">(a) </t>
    </r>
    <r>
      <rPr>
        <i/>
        <sz val="10.5"/>
        <rFont val="Times New Roman"/>
        <family val="1"/>
      </rPr>
      <t>t</t>
    </r>
  </si>
  <si>
    <r>
      <t xml:space="preserve">(b) </t>
    </r>
    <r>
      <rPr>
        <i/>
        <sz val="10.5"/>
        <rFont val="Times New Roman"/>
        <family val="1"/>
      </rPr>
      <t>t</t>
    </r>
    <r>
      <rPr>
        <vertAlign val="superscript"/>
        <sz val="10.5"/>
        <rFont val="Times New Roman"/>
        <family val="1"/>
      </rPr>
      <t>2</t>
    </r>
  </si>
  <si>
    <r>
      <t>(c) √</t>
    </r>
    <r>
      <rPr>
        <i/>
        <sz val="10.5"/>
        <rFont val="Times New Roman"/>
        <family val="1"/>
      </rPr>
      <t>t</t>
    </r>
  </si>
  <si>
    <r>
      <t xml:space="preserve">(d) </t>
    </r>
    <r>
      <rPr>
        <i/>
        <sz val="10.5"/>
        <rFont val="Times New Roman"/>
        <family val="1"/>
      </rPr>
      <t>t</t>
    </r>
    <r>
      <rPr>
        <vertAlign val="superscript"/>
        <sz val="10.5"/>
        <rFont val="Times New Roman"/>
        <family val="1"/>
      </rPr>
      <t>4</t>
    </r>
  </si>
  <si>
    <r>
      <t xml:space="preserve">14.5. Una variabile </t>
    </r>
    <r>
      <rPr>
        <b/>
        <i/>
        <sz val="10.5"/>
        <rFont val="Times New Roman"/>
        <family val="1"/>
      </rPr>
      <t>X</t>
    </r>
    <r>
      <rPr>
        <b/>
        <sz val="10.5"/>
        <rFont val="Times New Roman"/>
        <family val="1"/>
      </rPr>
      <t xml:space="preserve"> segue il processo </t>
    </r>
    <r>
      <rPr>
        <b/>
        <i/>
        <sz val="10.5"/>
        <rFont val="Times New Roman"/>
        <family val="1"/>
      </rPr>
      <t>dX</t>
    </r>
    <r>
      <rPr>
        <b/>
        <sz val="10.5"/>
        <rFont val="Times New Roman"/>
        <family val="1"/>
      </rPr>
      <t xml:space="preserve"> = </t>
    </r>
    <r>
      <rPr>
        <b/>
        <i/>
        <sz val="10.5"/>
        <rFont val="Times New Roman"/>
        <family val="1"/>
      </rPr>
      <t>mX dt</t>
    </r>
    <r>
      <rPr>
        <b/>
        <sz val="10.5"/>
        <rFont val="Times New Roman"/>
        <family val="1"/>
      </rPr>
      <t xml:space="preserve"> +</t>
    </r>
    <r>
      <rPr>
        <b/>
        <i/>
        <sz val="10.5"/>
        <rFont val="Times New Roman"/>
        <family val="1"/>
      </rPr>
      <t xml:space="preserve"> sX dz</t>
    </r>
    <r>
      <rPr>
        <b/>
        <sz val="10.5"/>
        <rFont val="Times New Roman"/>
        <family val="1"/>
      </rPr>
      <t xml:space="preserve"> dove </t>
    </r>
    <r>
      <rPr>
        <b/>
        <i/>
        <sz val="10.5"/>
        <rFont val="Times New Roman"/>
        <family val="1"/>
      </rPr>
      <t>z</t>
    </r>
    <r>
      <rPr>
        <b/>
        <sz val="10.5"/>
        <rFont val="Times New Roman"/>
        <family val="1"/>
      </rPr>
      <t xml:space="preserve"> segue un processo di Wiener. Qual è il coefficiente di </t>
    </r>
    <r>
      <rPr>
        <b/>
        <i/>
        <sz val="10.5"/>
        <rFont val="Times New Roman"/>
        <family val="1"/>
      </rPr>
      <t>dz</t>
    </r>
    <r>
      <rPr>
        <b/>
        <sz val="10.5"/>
        <rFont val="Times New Roman"/>
        <family val="1"/>
      </rPr>
      <t xml:space="preserve"> nel processo seguito dalla variabile </t>
    </r>
    <r>
      <rPr>
        <b/>
        <i/>
        <sz val="10.5"/>
        <rFont val="Times New Roman"/>
        <family val="1"/>
      </rPr>
      <t>X</t>
    </r>
    <r>
      <rPr>
        <b/>
        <vertAlign val="superscript"/>
        <sz val="10.5"/>
        <rFont val="Times New Roman"/>
        <family val="1"/>
      </rPr>
      <t>2</t>
    </r>
    <r>
      <rPr>
        <b/>
        <sz val="10.5"/>
        <rFont val="Times New Roman"/>
        <family val="1"/>
      </rPr>
      <t>?</t>
    </r>
  </si>
  <si>
    <r>
      <t xml:space="preserve">(a) </t>
    </r>
    <r>
      <rPr>
        <i/>
        <sz val="10.5"/>
        <rFont val="Times New Roman"/>
        <family val="1"/>
      </rPr>
      <t>sX</t>
    </r>
  </si>
  <si>
    <r>
      <t xml:space="preserve">(b) </t>
    </r>
    <r>
      <rPr>
        <i/>
        <sz val="10.5"/>
        <rFont val="Times New Roman"/>
        <family val="1"/>
      </rPr>
      <t>sX</t>
    </r>
    <r>
      <rPr>
        <vertAlign val="superscript"/>
        <sz val="10.5"/>
        <rFont val="Times New Roman"/>
        <family val="1"/>
      </rPr>
      <t>2</t>
    </r>
  </si>
  <si>
    <r>
      <t>(c) 2</t>
    </r>
    <r>
      <rPr>
        <i/>
        <sz val="10.5"/>
        <rFont val="Times New Roman"/>
        <family val="1"/>
      </rPr>
      <t>sX</t>
    </r>
    <r>
      <rPr>
        <vertAlign val="superscript"/>
        <sz val="10.5"/>
        <rFont val="Times New Roman"/>
        <family val="1"/>
      </rPr>
      <t>2</t>
    </r>
  </si>
  <si>
    <r>
      <t xml:space="preserve">(d) </t>
    </r>
    <r>
      <rPr>
        <i/>
        <sz val="10.5"/>
        <rFont val="Times New Roman"/>
        <family val="1"/>
      </rPr>
      <t>msX</t>
    </r>
  </si>
  <si>
    <r>
      <t xml:space="preserve">In base al lemma di Itô, il coefficiente di </t>
    </r>
    <r>
      <rPr>
        <i/>
        <sz val="10.5"/>
        <rFont val="Times New Roman"/>
        <family val="1"/>
      </rPr>
      <t>dz</t>
    </r>
    <r>
      <rPr>
        <sz val="10.5"/>
        <rFont val="Times New Roman"/>
        <family val="1"/>
      </rPr>
      <t xml:space="preserve"> è</t>
    </r>
    <r>
      <rPr>
        <i/>
        <sz val="10.5"/>
        <rFont val="Times New Roman"/>
        <family val="1"/>
      </rPr>
      <t xml:space="preserve"> sX ∂f</t>
    </r>
    <r>
      <rPr>
        <sz val="10.5"/>
        <rFont val="Times New Roman"/>
        <family val="1"/>
      </rPr>
      <t>/</t>
    </r>
    <r>
      <rPr>
        <i/>
        <sz val="10.5"/>
        <rFont val="Times New Roman"/>
        <family val="1"/>
      </rPr>
      <t>∂X</t>
    </r>
    <r>
      <rPr>
        <sz val="10.5"/>
        <rFont val="Times New Roman"/>
        <family val="1"/>
      </rPr>
      <t>, dove</t>
    </r>
    <r>
      <rPr>
        <i/>
        <sz val="10.5"/>
        <rFont val="Times New Roman"/>
        <family val="1"/>
      </rPr>
      <t xml:space="preserve"> f</t>
    </r>
    <r>
      <rPr>
        <sz val="10.5"/>
        <rFont val="Times New Roman"/>
        <family val="1"/>
      </rPr>
      <t xml:space="preserve"> = </t>
    </r>
    <r>
      <rPr>
        <i/>
        <sz val="10.5"/>
        <rFont val="Times New Roman"/>
        <family val="1"/>
      </rPr>
      <t>X</t>
    </r>
    <r>
      <rPr>
        <vertAlign val="superscript"/>
        <sz val="10.5"/>
        <rFont val="Times New Roman"/>
        <family val="1"/>
      </rPr>
      <t>2</t>
    </r>
    <r>
      <rPr>
        <sz val="10.5"/>
        <rFont val="Times New Roman"/>
        <family val="1"/>
      </rPr>
      <t xml:space="preserve">. Dato che </t>
    </r>
    <r>
      <rPr>
        <i/>
        <sz val="10.5"/>
        <rFont val="Times New Roman"/>
        <family val="1"/>
      </rPr>
      <t xml:space="preserve">∂f/∂X </t>
    </r>
    <r>
      <rPr>
        <sz val="10.5"/>
        <rFont val="Times New Roman"/>
        <family val="1"/>
      </rPr>
      <t>= 2</t>
    </r>
    <r>
      <rPr>
        <i/>
        <sz val="10.5"/>
        <rFont val="Times New Roman"/>
        <family val="1"/>
      </rPr>
      <t>X</t>
    </r>
    <r>
      <rPr>
        <sz val="10.5"/>
        <rFont val="Times New Roman"/>
        <family val="1"/>
      </rPr>
      <t xml:space="preserve">, il coefficiente di </t>
    </r>
    <r>
      <rPr>
        <i/>
        <sz val="10.5"/>
        <rFont val="Times New Roman"/>
        <family val="1"/>
      </rPr>
      <t>dz</t>
    </r>
    <r>
      <rPr>
        <sz val="10.5"/>
        <rFont val="Times New Roman"/>
        <family val="1"/>
      </rPr>
      <t xml:space="preserve"> nel processo seguito dalla variabile </t>
    </r>
    <r>
      <rPr>
        <i/>
        <sz val="10.5"/>
        <rFont val="Times New Roman"/>
        <family val="1"/>
      </rPr>
      <t>X</t>
    </r>
    <r>
      <rPr>
        <vertAlign val="superscript"/>
        <sz val="10.5"/>
        <rFont val="Times New Roman"/>
        <family val="1"/>
      </rPr>
      <t>2</t>
    </r>
    <r>
      <rPr>
        <sz val="10.5"/>
        <rFont val="Times New Roman"/>
        <family val="1"/>
      </rPr>
      <t xml:space="preserve"> è 2</t>
    </r>
    <r>
      <rPr>
        <i/>
        <sz val="10.5"/>
        <rFont val="Times New Roman"/>
        <family val="1"/>
      </rPr>
      <t>sX</t>
    </r>
    <r>
      <rPr>
        <vertAlign val="superscript"/>
        <sz val="10.5"/>
        <rFont val="Times New Roman"/>
        <family val="1"/>
      </rPr>
      <t>2</t>
    </r>
    <r>
      <rPr>
        <sz val="10.5"/>
        <rFont val="Times New Roman"/>
        <family val="1"/>
      </rPr>
      <t>.</t>
    </r>
  </si>
  <si>
    <r>
      <t xml:space="preserve">14.6. Una variabile </t>
    </r>
    <r>
      <rPr>
        <b/>
        <i/>
        <sz val="10.5"/>
        <rFont val="Times New Roman"/>
        <family val="1"/>
      </rPr>
      <t>X</t>
    </r>
    <r>
      <rPr>
        <b/>
        <sz val="10.5"/>
        <rFont val="Times New Roman"/>
        <family val="1"/>
      </rPr>
      <t xml:space="preserve"> segue il processo </t>
    </r>
    <r>
      <rPr>
        <b/>
        <i/>
        <sz val="10.5"/>
        <rFont val="Times New Roman"/>
        <family val="1"/>
      </rPr>
      <t>dX</t>
    </r>
    <r>
      <rPr>
        <b/>
        <sz val="10.5"/>
        <rFont val="Times New Roman"/>
        <family val="1"/>
      </rPr>
      <t xml:space="preserve"> = </t>
    </r>
    <r>
      <rPr>
        <b/>
        <i/>
        <sz val="10.5"/>
        <rFont val="Times New Roman"/>
        <family val="1"/>
      </rPr>
      <t>mX dt</t>
    </r>
    <r>
      <rPr>
        <b/>
        <sz val="10.5"/>
        <rFont val="Times New Roman"/>
        <family val="1"/>
      </rPr>
      <t xml:space="preserve"> +</t>
    </r>
    <r>
      <rPr>
        <b/>
        <i/>
        <sz val="10.5"/>
        <rFont val="Times New Roman"/>
        <family val="1"/>
      </rPr>
      <t xml:space="preserve"> sX dz</t>
    </r>
    <r>
      <rPr>
        <b/>
        <sz val="10.5"/>
        <rFont val="Times New Roman"/>
        <family val="1"/>
      </rPr>
      <t xml:space="preserve"> dove </t>
    </r>
    <r>
      <rPr>
        <b/>
        <i/>
        <sz val="10.5"/>
        <rFont val="Times New Roman"/>
        <family val="1"/>
      </rPr>
      <t>z</t>
    </r>
    <r>
      <rPr>
        <b/>
        <sz val="10.5"/>
        <rFont val="Times New Roman"/>
        <family val="1"/>
      </rPr>
      <t xml:space="preserve"> segue un processo di Wiener. Qual è il coefficiente di </t>
    </r>
    <r>
      <rPr>
        <b/>
        <i/>
        <sz val="10.5"/>
        <rFont val="Times New Roman"/>
        <family val="1"/>
      </rPr>
      <t>dt</t>
    </r>
    <r>
      <rPr>
        <b/>
        <sz val="10.5"/>
        <rFont val="Times New Roman"/>
        <family val="1"/>
      </rPr>
      <t xml:space="preserve"> nel processo seguito dalla variabile </t>
    </r>
    <r>
      <rPr>
        <b/>
        <i/>
        <sz val="10.5"/>
        <rFont val="Times New Roman"/>
        <family val="1"/>
      </rPr>
      <t>X</t>
    </r>
    <r>
      <rPr>
        <b/>
        <vertAlign val="superscript"/>
        <sz val="10.5"/>
        <rFont val="Times New Roman"/>
        <family val="1"/>
      </rPr>
      <t>2</t>
    </r>
    <r>
      <rPr>
        <b/>
        <sz val="10.5"/>
        <rFont val="Times New Roman"/>
        <family val="1"/>
      </rPr>
      <t>?</t>
    </r>
  </si>
  <si>
    <r>
      <t>(a) 2</t>
    </r>
    <r>
      <rPr>
        <i/>
        <sz val="10.5"/>
        <rFont val="Times New Roman"/>
        <family val="1"/>
      </rPr>
      <t>mX</t>
    </r>
    <r>
      <rPr>
        <vertAlign val="superscript"/>
        <sz val="10.5"/>
        <rFont val="Times New Roman"/>
        <family val="1"/>
      </rPr>
      <t>2</t>
    </r>
    <r>
      <rPr>
        <sz val="10.5"/>
        <rFont val="Times New Roman"/>
        <family val="1"/>
      </rPr>
      <t xml:space="preserve"> + </t>
    </r>
    <r>
      <rPr>
        <i/>
        <sz val="10.5"/>
        <rFont val="Times New Roman"/>
        <family val="1"/>
      </rPr>
      <t>s</t>
    </r>
    <r>
      <rPr>
        <vertAlign val="superscript"/>
        <sz val="10.5"/>
        <rFont val="Times New Roman"/>
        <family val="1"/>
      </rPr>
      <t>2</t>
    </r>
    <r>
      <rPr>
        <i/>
        <sz val="10.5"/>
        <rFont val="Times New Roman"/>
        <family val="1"/>
      </rPr>
      <t>X</t>
    </r>
    <r>
      <rPr>
        <vertAlign val="superscript"/>
        <sz val="10.5"/>
        <rFont val="Times New Roman"/>
        <family val="1"/>
      </rPr>
      <t>2</t>
    </r>
  </si>
  <si>
    <r>
      <t>(b) 2</t>
    </r>
    <r>
      <rPr>
        <i/>
        <sz val="10.5"/>
        <rFont val="Times New Roman"/>
        <family val="1"/>
      </rPr>
      <t>mX</t>
    </r>
    <r>
      <rPr>
        <vertAlign val="superscript"/>
        <sz val="10.5"/>
        <rFont val="Times New Roman"/>
        <family val="1"/>
      </rPr>
      <t>2</t>
    </r>
  </si>
  <si>
    <r>
      <t xml:space="preserve">(c) </t>
    </r>
    <r>
      <rPr>
        <i/>
        <sz val="10.5"/>
        <rFont val="Times New Roman"/>
        <family val="1"/>
      </rPr>
      <t>mX</t>
    </r>
    <r>
      <rPr>
        <vertAlign val="superscript"/>
        <sz val="10.5"/>
        <rFont val="Times New Roman"/>
        <family val="1"/>
      </rPr>
      <t>2</t>
    </r>
    <r>
      <rPr>
        <sz val="10.5"/>
        <rFont val="Times New Roman"/>
        <family val="1"/>
      </rPr>
      <t xml:space="preserve"> + 2</t>
    </r>
    <r>
      <rPr>
        <i/>
        <sz val="10.5"/>
        <rFont val="Times New Roman"/>
        <family val="1"/>
      </rPr>
      <t>s</t>
    </r>
    <r>
      <rPr>
        <vertAlign val="superscript"/>
        <sz val="10.5"/>
        <rFont val="Times New Roman"/>
        <family val="1"/>
      </rPr>
      <t>2</t>
    </r>
    <r>
      <rPr>
        <i/>
        <sz val="10.5"/>
        <rFont val="Times New Roman"/>
        <family val="1"/>
      </rPr>
      <t>X</t>
    </r>
    <r>
      <rPr>
        <vertAlign val="superscript"/>
        <sz val="10.5"/>
        <rFont val="Times New Roman"/>
        <family val="1"/>
      </rPr>
      <t>2</t>
    </r>
  </si>
  <si>
    <r>
      <t xml:space="preserve">(d) </t>
    </r>
    <r>
      <rPr>
        <i/>
        <sz val="10.5"/>
        <rFont val="Times New Roman"/>
        <family val="1"/>
      </rPr>
      <t>mX</t>
    </r>
    <r>
      <rPr>
        <vertAlign val="superscript"/>
        <sz val="10.5"/>
        <rFont val="Times New Roman"/>
        <family val="1"/>
      </rPr>
      <t>2</t>
    </r>
    <r>
      <rPr>
        <sz val="10.5"/>
        <rFont val="Times New Roman"/>
        <family val="1"/>
      </rPr>
      <t xml:space="preserve"> + </t>
    </r>
    <r>
      <rPr>
        <i/>
        <sz val="10.5"/>
        <rFont val="Times New Roman"/>
        <family val="1"/>
      </rPr>
      <t>s</t>
    </r>
    <r>
      <rPr>
        <vertAlign val="superscript"/>
        <sz val="10.5"/>
        <rFont val="Times New Roman"/>
        <family val="1"/>
      </rPr>
      <t>2</t>
    </r>
    <r>
      <rPr>
        <i/>
        <sz val="10.5"/>
        <rFont val="Times New Roman"/>
        <family val="1"/>
      </rPr>
      <t>X</t>
    </r>
    <r>
      <rPr>
        <vertAlign val="superscript"/>
        <sz val="10.5"/>
        <rFont val="Times New Roman"/>
        <family val="1"/>
      </rPr>
      <t>2</t>
    </r>
  </si>
  <si>
    <r>
      <t xml:space="preserve">In base al lemma di Itô, il coefficiente di </t>
    </r>
    <r>
      <rPr>
        <i/>
        <sz val="10.5"/>
        <rFont val="Times New Roman"/>
        <family val="1"/>
      </rPr>
      <t>dt</t>
    </r>
    <r>
      <rPr>
        <sz val="10.5"/>
        <rFont val="Times New Roman"/>
        <family val="1"/>
      </rPr>
      <t xml:space="preserve"> è </t>
    </r>
    <r>
      <rPr>
        <i/>
        <sz val="10.5"/>
        <rFont val="Times New Roman"/>
        <family val="1"/>
      </rPr>
      <t>mX</t>
    </r>
    <r>
      <rPr>
        <sz val="10.5"/>
        <rFont val="Times New Roman"/>
        <family val="1"/>
      </rPr>
      <t xml:space="preserve"> </t>
    </r>
    <r>
      <rPr>
        <i/>
        <sz val="10.5"/>
        <rFont val="Times New Roman"/>
        <family val="1"/>
      </rPr>
      <t>∂f</t>
    </r>
    <r>
      <rPr>
        <sz val="10.5"/>
        <rFont val="Times New Roman"/>
        <family val="1"/>
      </rPr>
      <t>/</t>
    </r>
    <r>
      <rPr>
        <i/>
        <sz val="10.5"/>
        <rFont val="Times New Roman"/>
        <family val="1"/>
      </rPr>
      <t>∂X</t>
    </r>
    <r>
      <rPr>
        <sz val="10.5"/>
        <rFont val="Times New Roman"/>
        <family val="1"/>
      </rPr>
      <t xml:space="preserve"> + ½ </t>
    </r>
    <r>
      <rPr>
        <i/>
        <sz val="10.5"/>
        <rFont val="Times New Roman"/>
        <family val="1"/>
      </rPr>
      <t>s</t>
    </r>
    <r>
      <rPr>
        <vertAlign val="superscript"/>
        <sz val="10.5"/>
        <rFont val="Times New Roman"/>
        <family val="1"/>
      </rPr>
      <t>2</t>
    </r>
    <r>
      <rPr>
        <i/>
        <sz val="10.5"/>
        <rFont val="Times New Roman"/>
        <family val="1"/>
      </rPr>
      <t>X</t>
    </r>
    <r>
      <rPr>
        <vertAlign val="superscript"/>
        <sz val="10.5"/>
        <rFont val="Times New Roman"/>
        <family val="1"/>
      </rPr>
      <t>2</t>
    </r>
    <r>
      <rPr>
        <sz val="10.5"/>
        <rFont val="Times New Roman"/>
        <family val="1"/>
      </rPr>
      <t xml:space="preserve"> </t>
    </r>
    <r>
      <rPr>
        <i/>
        <sz val="10.5"/>
        <rFont val="Times New Roman"/>
        <family val="1"/>
      </rPr>
      <t>∂</t>
    </r>
    <r>
      <rPr>
        <vertAlign val="superscript"/>
        <sz val="10.5"/>
        <rFont val="Times New Roman"/>
        <family val="1"/>
      </rPr>
      <t>2</t>
    </r>
    <r>
      <rPr>
        <i/>
        <sz val="10.5"/>
        <rFont val="Times New Roman"/>
        <family val="1"/>
      </rPr>
      <t>f</t>
    </r>
    <r>
      <rPr>
        <sz val="10.5"/>
        <rFont val="Times New Roman"/>
        <family val="1"/>
      </rPr>
      <t>/</t>
    </r>
    <r>
      <rPr>
        <i/>
        <sz val="10.5"/>
        <rFont val="Times New Roman"/>
        <family val="1"/>
      </rPr>
      <t>X</t>
    </r>
    <r>
      <rPr>
        <vertAlign val="superscript"/>
        <sz val="10.5"/>
        <rFont val="Times New Roman"/>
        <family val="1"/>
      </rPr>
      <t>2</t>
    </r>
    <r>
      <rPr>
        <sz val="10.5"/>
        <rFont val="Times New Roman"/>
        <family val="1"/>
      </rPr>
      <t xml:space="preserve">, dove </t>
    </r>
    <r>
      <rPr>
        <i/>
        <sz val="10.5"/>
        <rFont val="Times New Roman"/>
        <family val="1"/>
      </rPr>
      <t>f</t>
    </r>
    <r>
      <rPr>
        <sz val="10.5"/>
        <rFont val="Times New Roman"/>
        <family val="1"/>
      </rPr>
      <t xml:space="preserve"> = </t>
    </r>
    <r>
      <rPr>
        <i/>
        <sz val="10.5"/>
        <rFont val="Times New Roman"/>
        <family val="1"/>
      </rPr>
      <t>X</t>
    </r>
    <r>
      <rPr>
        <vertAlign val="superscript"/>
        <sz val="10.5"/>
        <rFont val="Times New Roman"/>
        <family val="1"/>
      </rPr>
      <t>2</t>
    </r>
    <r>
      <rPr>
        <sz val="10.5"/>
        <rFont val="Times New Roman"/>
        <family val="1"/>
      </rPr>
      <t xml:space="preserve">. Dato che </t>
    </r>
    <r>
      <rPr>
        <i/>
        <sz val="10.5"/>
        <rFont val="Times New Roman"/>
        <family val="1"/>
      </rPr>
      <t>∂f</t>
    </r>
    <r>
      <rPr>
        <sz val="10.5"/>
        <rFont val="Times New Roman"/>
        <family val="1"/>
      </rPr>
      <t>/</t>
    </r>
    <r>
      <rPr>
        <i/>
        <sz val="10.5"/>
        <rFont val="Times New Roman"/>
        <family val="1"/>
      </rPr>
      <t>∂X</t>
    </r>
    <r>
      <rPr>
        <sz val="10.5"/>
        <rFont val="Times New Roman"/>
        <family val="1"/>
      </rPr>
      <t xml:space="preserve"> = 2</t>
    </r>
    <r>
      <rPr>
        <i/>
        <sz val="10.5"/>
        <rFont val="Times New Roman"/>
        <family val="1"/>
      </rPr>
      <t>X</t>
    </r>
    <r>
      <rPr>
        <sz val="10.5"/>
        <rFont val="Times New Roman"/>
        <family val="1"/>
      </rPr>
      <t xml:space="preserve"> e </t>
    </r>
    <r>
      <rPr>
        <i/>
        <sz val="10.5"/>
        <rFont val="Times New Roman"/>
        <family val="1"/>
      </rPr>
      <t>∂</t>
    </r>
    <r>
      <rPr>
        <vertAlign val="superscript"/>
        <sz val="10.5"/>
        <rFont val="Times New Roman"/>
        <family val="1"/>
      </rPr>
      <t>2</t>
    </r>
    <r>
      <rPr>
        <i/>
        <sz val="10.5"/>
        <rFont val="Times New Roman"/>
        <family val="1"/>
      </rPr>
      <t>f</t>
    </r>
    <r>
      <rPr>
        <sz val="10.5"/>
        <rFont val="Times New Roman"/>
        <family val="1"/>
      </rPr>
      <t>/</t>
    </r>
    <r>
      <rPr>
        <i/>
        <sz val="10.5"/>
        <rFont val="Times New Roman"/>
        <family val="1"/>
      </rPr>
      <t>∂X</t>
    </r>
    <r>
      <rPr>
        <vertAlign val="superscript"/>
        <sz val="10.5"/>
        <rFont val="Times New Roman"/>
        <family val="1"/>
      </rPr>
      <t>2</t>
    </r>
    <r>
      <rPr>
        <sz val="10.5"/>
        <rFont val="Times New Roman"/>
        <family val="1"/>
      </rPr>
      <t xml:space="preserve"> = 2, il coefficiente di </t>
    </r>
    <r>
      <rPr>
        <i/>
        <sz val="10.5"/>
        <rFont val="Times New Roman"/>
        <family val="1"/>
      </rPr>
      <t>dt</t>
    </r>
    <r>
      <rPr>
        <sz val="10.5"/>
        <rFont val="Times New Roman"/>
        <family val="1"/>
      </rPr>
      <t xml:space="preserve"> nel processo seguito dalla variabile </t>
    </r>
    <r>
      <rPr>
        <i/>
        <sz val="10.5"/>
        <rFont val="Times New Roman"/>
        <family val="1"/>
      </rPr>
      <t>X</t>
    </r>
    <r>
      <rPr>
        <vertAlign val="superscript"/>
        <sz val="10.5"/>
        <rFont val="Times New Roman"/>
        <family val="1"/>
      </rPr>
      <t>2</t>
    </r>
    <r>
      <rPr>
        <sz val="10.5"/>
        <rFont val="Times New Roman"/>
        <family val="1"/>
      </rPr>
      <t xml:space="preserve"> è 2</t>
    </r>
    <r>
      <rPr>
        <i/>
        <sz val="10.5"/>
        <rFont val="Times New Roman"/>
        <family val="1"/>
      </rPr>
      <t>mX</t>
    </r>
    <r>
      <rPr>
        <vertAlign val="superscript"/>
        <sz val="10.5"/>
        <rFont val="Times New Roman"/>
        <family val="1"/>
      </rPr>
      <t>2</t>
    </r>
    <r>
      <rPr>
        <sz val="10.5"/>
        <rFont val="Times New Roman"/>
        <family val="1"/>
      </rPr>
      <t xml:space="preserve"> + </t>
    </r>
    <r>
      <rPr>
        <i/>
        <sz val="10.5"/>
        <rFont val="Times New Roman"/>
        <family val="1"/>
      </rPr>
      <t>s</t>
    </r>
    <r>
      <rPr>
        <vertAlign val="superscript"/>
        <sz val="10.5"/>
        <rFont val="Times New Roman"/>
        <family val="1"/>
      </rPr>
      <t>2</t>
    </r>
    <r>
      <rPr>
        <i/>
        <sz val="10.5"/>
        <rFont val="Times New Roman"/>
        <family val="1"/>
      </rPr>
      <t>X</t>
    </r>
    <r>
      <rPr>
        <vertAlign val="superscript"/>
        <sz val="10.5"/>
        <rFont val="Times New Roman"/>
        <family val="1"/>
      </rPr>
      <t>2</t>
    </r>
    <r>
      <rPr>
        <sz val="10.5"/>
        <rFont val="Times New Roman"/>
        <family val="1"/>
      </rPr>
      <t>.</t>
    </r>
  </si>
  <si>
    <r>
      <t xml:space="preserve">14.9. Una variabile, </t>
    </r>
    <r>
      <rPr>
        <b/>
        <i/>
        <sz val="10.5"/>
        <rFont val="Times New Roman"/>
        <family val="1"/>
      </rPr>
      <t>x</t>
    </r>
    <r>
      <rPr>
        <b/>
        <sz val="10.5"/>
        <rFont val="Times New Roman"/>
        <family val="1"/>
      </rPr>
      <t xml:space="preserve">, il cui livello corrente è 0, segue un processo di Wiener generalizzato </t>
    </r>
    <r>
      <rPr>
        <b/>
        <i/>
        <sz val="10.5"/>
        <rFont val="Times New Roman"/>
        <family val="1"/>
      </rPr>
      <t>dx</t>
    </r>
    <r>
      <rPr>
        <b/>
        <sz val="10.5"/>
        <rFont val="Times New Roman"/>
        <family val="1"/>
      </rPr>
      <t xml:space="preserve"> = </t>
    </r>
    <r>
      <rPr>
        <b/>
        <i/>
        <sz val="10.5"/>
        <rFont val="Times New Roman"/>
        <family val="1"/>
      </rPr>
      <t>adt</t>
    </r>
    <r>
      <rPr>
        <b/>
        <sz val="10.5"/>
        <rFont val="Times New Roman"/>
        <family val="1"/>
      </rPr>
      <t xml:space="preserve"> + </t>
    </r>
    <r>
      <rPr>
        <b/>
        <i/>
        <sz val="10.5"/>
        <rFont val="Times New Roman"/>
        <family val="1"/>
      </rPr>
      <t>bdz</t>
    </r>
    <r>
      <rPr>
        <b/>
        <sz val="10.5"/>
        <rFont val="Times New Roman"/>
        <family val="1"/>
      </rPr>
      <t xml:space="preserve"> dove il tempo è misurato in anni. </t>
    </r>
  </si>
  <si>
    <r>
      <t xml:space="preserve">Nei primi 2 anni </t>
    </r>
    <r>
      <rPr>
        <b/>
        <i/>
        <sz val="10.5"/>
        <rFont val="Times New Roman"/>
        <family val="1"/>
      </rPr>
      <t>a</t>
    </r>
    <r>
      <rPr>
        <b/>
        <sz val="10.5"/>
        <rFont val="Times New Roman"/>
        <family val="1"/>
      </rPr>
      <t xml:space="preserve"> = 3 e </t>
    </r>
    <r>
      <rPr>
        <b/>
        <i/>
        <sz val="10.5"/>
        <rFont val="Times New Roman"/>
        <family val="1"/>
      </rPr>
      <t>b</t>
    </r>
    <r>
      <rPr>
        <b/>
        <sz val="10.5"/>
        <rFont val="Times New Roman"/>
        <family val="1"/>
      </rPr>
      <t xml:space="preserve"> = 4. Nei 3 anni successivi </t>
    </r>
    <r>
      <rPr>
        <b/>
        <i/>
        <sz val="10.5"/>
        <rFont val="Times New Roman"/>
        <family val="1"/>
      </rPr>
      <t>a</t>
    </r>
    <r>
      <rPr>
        <b/>
        <sz val="10.5"/>
        <rFont val="Times New Roman"/>
        <family val="1"/>
      </rPr>
      <t xml:space="preserve"> = 6 e </t>
    </r>
    <r>
      <rPr>
        <b/>
        <i/>
        <sz val="10.5"/>
        <rFont val="Times New Roman"/>
        <family val="1"/>
      </rPr>
      <t>b</t>
    </r>
    <r>
      <rPr>
        <b/>
        <sz val="10.5"/>
        <rFont val="Times New Roman"/>
        <family val="1"/>
      </rPr>
      <t xml:space="preserve"> = 3. Qual è il valore atteso di </t>
    </r>
    <r>
      <rPr>
        <i/>
        <sz val="10.5"/>
        <rFont val="Times New Roman"/>
        <family val="1"/>
      </rPr>
      <t>x</t>
    </r>
    <r>
      <rPr>
        <b/>
        <sz val="10.5"/>
        <rFont val="Times New Roman"/>
        <family val="1"/>
      </rPr>
      <t xml:space="preserve"> tra 5 anni?</t>
    </r>
  </si>
  <si>
    <r>
      <t xml:space="preserve">Nei 5 anni, il tasso di deriva complessivo è pari a 24 (= 6 + 18). Pertanto, dato che il valore iniziale di </t>
    </r>
    <r>
      <rPr>
        <i/>
        <sz val="10.5"/>
        <rFont val="Times New Roman"/>
        <family val="1"/>
      </rPr>
      <t>x</t>
    </r>
    <r>
      <rPr>
        <sz val="10.5"/>
        <rFont val="Times New Roman"/>
        <family val="1"/>
      </rPr>
      <t xml:space="preserve"> è 0, il valore atteso di </t>
    </r>
    <r>
      <rPr>
        <i/>
        <sz val="10.5"/>
        <rFont val="Times New Roman"/>
        <family val="1"/>
      </rPr>
      <t>x</t>
    </r>
    <r>
      <rPr>
        <sz val="10.5"/>
        <rFont val="Times New Roman"/>
        <family val="1"/>
      </rPr>
      <t xml:space="preserve"> tra 5 anni è pari a 24.</t>
    </r>
  </si>
  <si>
    <r>
      <rPr>
        <i/>
        <sz val="10.5"/>
        <rFont val="Times New Roman"/>
        <family val="1"/>
      </rPr>
      <t>T</t>
    </r>
    <r>
      <rPr>
        <vertAlign val="subscript"/>
        <sz val="10.5"/>
        <rFont val="Times New Roman"/>
        <family val="1"/>
      </rPr>
      <t>1</t>
    </r>
  </si>
  <si>
    <r>
      <rPr>
        <i/>
        <sz val="10.5"/>
        <rFont val="Times New Roman"/>
        <family val="1"/>
      </rPr>
      <t>T</t>
    </r>
    <r>
      <rPr>
        <vertAlign val="subscript"/>
        <sz val="10.5"/>
        <rFont val="Times New Roman"/>
        <family val="1"/>
      </rPr>
      <t>2</t>
    </r>
  </si>
  <si>
    <r>
      <rPr>
        <i/>
        <sz val="10.5"/>
        <rFont val="Times New Roman"/>
        <family val="1"/>
      </rPr>
      <t>a</t>
    </r>
    <r>
      <rPr>
        <vertAlign val="subscript"/>
        <sz val="10.5"/>
        <rFont val="Times New Roman"/>
        <family val="1"/>
      </rPr>
      <t>1</t>
    </r>
  </si>
  <si>
    <r>
      <rPr>
        <i/>
        <sz val="10.5"/>
        <rFont val="Times New Roman"/>
        <family val="1"/>
      </rPr>
      <t>a</t>
    </r>
    <r>
      <rPr>
        <vertAlign val="subscript"/>
        <sz val="10.5"/>
        <rFont val="Times New Roman"/>
        <family val="1"/>
      </rPr>
      <t>2</t>
    </r>
    <r>
      <rPr>
        <sz val="10.5"/>
        <color theme="1"/>
        <rFont val="Times New Roman"/>
        <family val="1"/>
      </rPr>
      <t/>
    </r>
  </si>
  <si>
    <r>
      <rPr>
        <i/>
        <sz val="10.5"/>
        <rFont val="Times New Roman"/>
        <family val="1"/>
      </rPr>
      <t>b</t>
    </r>
    <r>
      <rPr>
        <vertAlign val="subscript"/>
        <sz val="10.5"/>
        <rFont val="Times New Roman"/>
        <family val="1"/>
      </rPr>
      <t>1</t>
    </r>
  </si>
  <si>
    <r>
      <rPr>
        <i/>
        <sz val="10.5"/>
        <rFont val="Times New Roman"/>
        <family val="1"/>
      </rPr>
      <t>b</t>
    </r>
    <r>
      <rPr>
        <vertAlign val="subscript"/>
        <sz val="10.5"/>
        <rFont val="Times New Roman"/>
        <family val="1"/>
      </rPr>
      <t>2</t>
    </r>
    <r>
      <rPr>
        <sz val="10.5"/>
        <color theme="1"/>
        <rFont val="Times New Roman"/>
        <family val="1"/>
      </rPr>
      <t/>
    </r>
  </si>
  <si>
    <r>
      <t xml:space="preserve">14.10. Una variabile, </t>
    </r>
    <r>
      <rPr>
        <b/>
        <i/>
        <sz val="10.5"/>
        <rFont val="Times New Roman"/>
        <family val="1"/>
      </rPr>
      <t>x</t>
    </r>
    <r>
      <rPr>
        <b/>
        <sz val="10.5"/>
        <rFont val="Times New Roman"/>
        <family val="1"/>
      </rPr>
      <t xml:space="preserve">, il cui livello corrente è 0, segue un processo di Wiener generalizzato </t>
    </r>
    <r>
      <rPr>
        <b/>
        <i/>
        <sz val="10.5"/>
        <rFont val="Times New Roman"/>
        <family val="1"/>
      </rPr>
      <t>dx</t>
    </r>
    <r>
      <rPr>
        <b/>
        <sz val="10.5"/>
        <rFont val="Times New Roman"/>
        <family val="1"/>
      </rPr>
      <t xml:space="preserve"> = </t>
    </r>
    <r>
      <rPr>
        <b/>
        <i/>
        <sz val="10.5"/>
        <rFont val="Times New Roman"/>
        <family val="1"/>
      </rPr>
      <t>adt</t>
    </r>
    <r>
      <rPr>
        <b/>
        <sz val="10.5"/>
        <rFont val="Times New Roman"/>
        <family val="1"/>
      </rPr>
      <t xml:space="preserve"> + </t>
    </r>
    <r>
      <rPr>
        <b/>
        <i/>
        <sz val="10.5"/>
        <rFont val="Times New Roman"/>
        <family val="1"/>
      </rPr>
      <t>bdz</t>
    </r>
    <r>
      <rPr>
        <b/>
        <sz val="10.5"/>
        <rFont val="Times New Roman"/>
        <family val="1"/>
      </rPr>
      <t xml:space="preserve"> dove il tempo è misurato in anni. </t>
    </r>
  </si>
  <si>
    <r>
      <t xml:space="preserve">Nei primi 2 anni </t>
    </r>
    <r>
      <rPr>
        <b/>
        <i/>
        <sz val="10.5"/>
        <rFont val="Times New Roman"/>
        <family val="1"/>
      </rPr>
      <t>a</t>
    </r>
    <r>
      <rPr>
        <b/>
        <sz val="10.5"/>
        <rFont val="Times New Roman"/>
        <family val="1"/>
      </rPr>
      <t xml:space="preserve"> = 3 e </t>
    </r>
    <r>
      <rPr>
        <b/>
        <i/>
        <sz val="10.5"/>
        <rFont val="Times New Roman"/>
        <family val="1"/>
      </rPr>
      <t>b</t>
    </r>
    <r>
      <rPr>
        <b/>
        <sz val="10.5"/>
        <rFont val="Times New Roman"/>
        <family val="1"/>
      </rPr>
      <t xml:space="preserve"> = 4. Nei 3 anni successivi </t>
    </r>
    <r>
      <rPr>
        <b/>
        <i/>
        <sz val="10.5"/>
        <rFont val="Times New Roman"/>
        <family val="1"/>
      </rPr>
      <t>a</t>
    </r>
    <r>
      <rPr>
        <b/>
        <sz val="10.5"/>
        <rFont val="Times New Roman"/>
        <family val="1"/>
      </rPr>
      <t xml:space="preserve"> = 6 e </t>
    </r>
    <r>
      <rPr>
        <b/>
        <i/>
        <sz val="10.5"/>
        <rFont val="Times New Roman"/>
        <family val="1"/>
      </rPr>
      <t>b</t>
    </r>
    <r>
      <rPr>
        <b/>
        <sz val="10.5"/>
        <rFont val="Times New Roman"/>
        <family val="1"/>
      </rPr>
      <t xml:space="preserve"> = 3. Qual è la deviazione standard di </t>
    </r>
    <r>
      <rPr>
        <b/>
        <i/>
        <sz val="10.5"/>
        <rFont val="Times New Roman"/>
        <family val="1"/>
      </rPr>
      <t>x</t>
    </r>
    <r>
      <rPr>
        <b/>
        <sz val="10.5"/>
        <rFont val="Times New Roman"/>
        <family val="1"/>
      </rPr>
      <t xml:space="preserve"> tra 5 anni?</t>
    </r>
  </si>
  <si>
    <r>
      <t>Il tasso di varianza annuo per i primi 2 anni è pari a 16 (= 4</t>
    </r>
    <r>
      <rPr>
        <vertAlign val="superscript"/>
        <sz val="10.5"/>
        <rFont val="Times New Roman"/>
        <family val="1"/>
      </rPr>
      <t>2</t>
    </r>
    <r>
      <rPr>
        <sz val="10.5"/>
        <rFont val="Times New Roman"/>
        <family val="1"/>
      </rPr>
      <t>).</t>
    </r>
  </si>
  <si>
    <r>
      <t xml:space="preserve"> Il tasso di varianza annuo per i successivi 3 anni è pari a 9 (= 3</t>
    </r>
    <r>
      <rPr>
        <vertAlign val="superscript"/>
        <sz val="10.5"/>
        <rFont val="Times New Roman"/>
        <family val="1"/>
      </rPr>
      <t>2</t>
    </r>
    <r>
      <rPr>
        <sz val="10.5"/>
        <rFont val="Times New Roman"/>
        <family val="1"/>
      </rPr>
      <t xml:space="preserve">). </t>
    </r>
  </si>
  <si>
    <r>
      <t xml:space="preserve">Pertanto, la varianza di </t>
    </r>
    <r>
      <rPr>
        <i/>
        <sz val="10.5"/>
        <rFont val="Times New Roman"/>
        <family val="1"/>
      </rPr>
      <t>x</t>
    </r>
    <r>
      <rPr>
        <sz val="10.5"/>
        <rFont val="Times New Roman"/>
        <family val="1"/>
      </rPr>
      <t xml:space="preserve"> tra 5 anni è pari a 59 (= 2 × 16 + 3 × 9) e la deviazione standard di </t>
    </r>
    <r>
      <rPr>
        <i/>
        <sz val="10.5"/>
        <rFont val="Times New Roman"/>
        <family val="1"/>
      </rPr>
      <t>x</t>
    </r>
    <r>
      <rPr>
        <sz val="10.5"/>
        <rFont val="Times New Roman"/>
        <family val="1"/>
      </rPr>
      <t xml:space="preserve"> tra 5 anni è pari a 7,7 (= </t>
    </r>
    <r>
      <rPr>
        <sz val="10.5"/>
        <rFont val="Times New Roman"/>
        <family val="1"/>
      </rPr>
      <t>√</t>
    </r>
    <r>
      <rPr>
        <sz val="10.5"/>
        <rFont val="Times New Roman"/>
        <family val="1"/>
      </rPr>
      <t>59).</t>
    </r>
  </si>
  <si>
    <r>
      <t>var</t>
    </r>
    <r>
      <rPr>
        <sz val="10.5"/>
        <rFont val="Times New Roman"/>
        <family val="1"/>
      </rPr>
      <t>(</t>
    </r>
    <r>
      <rPr>
        <i/>
        <sz val="10.5"/>
        <rFont val="Times New Roman"/>
        <family val="1"/>
      </rPr>
      <t>x</t>
    </r>
    <r>
      <rPr>
        <sz val="10.5"/>
        <rFont val="Times New Roman"/>
        <family val="1"/>
      </rPr>
      <t>)</t>
    </r>
  </si>
  <si>
    <r>
      <t>std</t>
    </r>
    <r>
      <rPr>
        <sz val="10.5"/>
        <rFont val="Times New Roman"/>
        <family val="1"/>
      </rPr>
      <t>(</t>
    </r>
    <r>
      <rPr>
        <i/>
        <sz val="10.5"/>
        <rFont val="Times New Roman"/>
        <family val="1"/>
      </rPr>
      <t>x</t>
    </r>
    <r>
      <rPr>
        <sz val="10.5"/>
        <rFont val="Times New Roman"/>
        <family val="1"/>
      </rPr>
      <t>)</t>
    </r>
  </si>
  <si>
    <r>
      <t xml:space="preserve">14.11. Una variabile </t>
    </r>
    <r>
      <rPr>
        <b/>
        <i/>
        <sz val="10.5"/>
        <rFont val="Times New Roman"/>
        <family val="1"/>
      </rPr>
      <t>x</t>
    </r>
    <r>
      <rPr>
        <b/>
        <sz val="10.5"/>
        <rFont val="Times New Roman"/>
        <family val="1"/>
      </rPr>
      <t xml:space="preserve"> segue il processo </t>
    </r>
    <r>
      <rPr>
        <b/>
        <i/>
        <sz val="10.5"/>
        <rFont val="Times New Roman"/>
        <family val="1"/>
      </rPr>
      <t>dx</t>
    </r>
    <r>
      <rPr>
        <b/>
        <sz val="10.5"/>
        <rFont val="Times New Roman"/>
        <family val="1"/>
      </rPr>
      <t xml:space="preserve"> = </t>
    </r>
    <r>
      <rPr>
        <b/>
        <i/>
        <sz val="10.5"/>
        <rFont val="Times New Roman"/>
        <family val="1"/>
      </rPr>
      <t>b dz</t>
    </r>
    <r>
      <rPr>
        <b/>
        <sz val="10.5"/>
        <rFont val="Times New Roman"/>
        <family val="1"/>
      </rPr>
      <t xml:space="preserve">, dove </t>
    </r>
    <r>
      <rPr>
        <b/>
        <i/>
        <sz val="10.5"/>
        <rFont val="Times New Roman"/>
        <family val="1"/>
      </rPr>
      <t>z</t>
    </r>
    <r>
      <rPr>
        <b/>
        <sz val="10.5"/>
        <rFont val="Times New Roman"/>
        <family val="1"/>
      </rPr>
      <t xml:space="preserve"> segue un processo di Wiener. Qual è il processo seguito da </t>
    </r>
    <r>
      <rPr>
        <b/>
        <i/>
        <sz val="10.5"/>
        <rFont val="Times New Roman"/>
        <family val="1"/>
      </rPr>
      <t>y</t>
    </r>
    <r>
      <rPr>
        <b/>
        <sz val="10.5"/>
        <rFont val="Times New Roman"/>
        <family val="1"/>
      </rPr>
      <t xml:space="preserve"> = </t>
    </r>
    <r>
      <rPr>
        <b/>
        <i/>
        <sz val="10.5"/>
        <rFont val="Times New Roman"/>
        <family val="1"/>
      </rPr>
      <t>e</t>
    </r>
    <r>
      <rPr>
        <b/>
        <i/>
        <vertAlign val="superscript"/>
        <sz val="10.5"/>
        <rFont val="Times New Roman"/>
        <family val="1"/>
      </rPr>
      <t>x</t>
    </r>
    <r>
      <rPr>
        <b/>
        <sz val="10.5"/>
        <rFont val="Times New Roman"/>
        <family val="1"/>
      </rPr>
      <t xml:space="preserve"> ?</t>
    </r>
  </si>
  <si>
    <r>
      <t xml:space="preserve">(a) </t>
    </r>
    <r>
      <rPr>
        <i/>
        <sz val="10.5"/>
        <rFont val="Times New Roman"/>
        <family val="1"/>
      </rPr>
      <t>dy</t>
    </r>
    <r>
      <rPr>
        <sz val="10.5"/>
        <rFont val="Times New Roman"/>
        <family val="1"/>
      </rPr>
      <t xml:space="preserve"> = </t>
    </r>
    <r>
      <rPr>
        <i/>
        <sz val="10.5"/>
        <rFont val="Times New Roman"/>
        <family val="1"/>
      </rPr>
      <t>b y dz</t>
    </r>
  </si>
  <si>
    <r>
      <t xml:space="preserve">(b) </t>
    </r>
    <r>
      <rPr>
        <i/>
        <sz val="10.5"/>
        <rFont val="Times New Roman"/>
        <family val="1"/>
      </rPr>
      <t>dy</t>
    </r>
    <r>
      <rPr>
        <sz val="10.5"/>
        <rFont val="Times New Roman"/>
        <family val="1"/>
      </rPr>
      <t xml:space="preserve"> = ½ </t>
    </r>
    <r>
      <rPr>
        <i/>
        <sz val="10.5"/>
        <rFont val="Times New Roman"/>
        <family val="1"/>
      </rPr>
      <t>b</t>
    </r>
    <r>
      <rPr>
        <vertAlign val="superscript"/>
        <sz val="10.5"/>
        <rFont val="Times New Roman"/>
        <family val="1"/>
      </rPr>
      <t>2</t>
    </r>
    <r>
      <rPr>
        <sz val="10.5"/>
        <rFont val="Times New Roman"/>
        <family val="1"/>
      </rPr>
      <t xml:space="preserve"> </t>
    </r>
    <r>
      <rPr>
        <i/>
        <sz val="10.5"/>
        <rFont val="Times New Roman"/>
        <family val="1"/>
      </rPr>
      <t>y dt</t>
    </r>
    <r>
      <rPr>
        <sz val="10.5"/>
        <rFont val="Times New Roman"/>
        <family val="1"/>
      </rPr>
      <t xml:space="preserve"> +</t>
    </r>
    <r>
      <rPr>
        <i/>
        <sz val="10.5"/>
        <rFont val="Times New Roman"/>
        <family val="1"/>
      </rPr>
      <t xml:space="preserve"> b y dz</t>
    </r>
  </si>
  <si>
    <r>
      <t xml:space="preserve">(c) </t>
    </r>
    <r>
      <rPr>
        <i/>
        <sz val="10.5"/>
        <rFont val="Times New Roman"/>
        <family val="1"/>
      </rPr>
      <t>dy</t>
    </r>
    <r>
      <rPr>
        <sz val="10.5"/>
        <rFont val="Times New Roman"/>
        <family val="1"/>
      </rPr>
      <t xml:space="preserve"> = (</t>
    </r>
    <r>
      <rPr>
        <i/>
        <sz val="10.5"/>
        <rFont val="Times New Roman"/>
        <family val="1"/>
      </rPr>
      <t>y</t>
    </r>
    <r>
      <rPr>
        <sz val="10.5"/>
        <rFont val="Times New Roman"/>
        <family val="1"/>
      </rPr>
      <t xml:space="preserve"> + ½ </t>
    </r>
    <r>
      <rPr>
        <i/>
        <sz val="10.5"/>
        <rFont val="Times New Roman"/>
        <family val="1"/>
      </rPr>
      <t>b</t>
    </r>
    <r>
      <rPr>
        <vertAlign val="superscript"/>
        <sz val="10.5"/>
        <rFont val="Times New Roman"/>
        <family val="1"/>
      </rPr>
      <t>2</t>
    </r>
    <r>
      <rPr>
        <sz val="10.5"/>
        <rFont val="Times New Roman"/>
        <family val="1"/>
      </rPr>
      <t xml:space="preserve"> </t>
    </r>
    <r>
      <rPr>
        <i/>
        <sz val="10.5"/>
        <rFont val="Times New Roman"/>
        <family val="1"/>
      </rPr>
      <t>y</t>
    </r>
    <r>
      <rPr>
        <sz val="10.5"/>
        <rFont val="Times New Roman"/>
        <family val="1"/>
      </rPr>
      <t xml:space="preserve">) </t>
    </r>
    <r>
      <rPr>
        <i/>
        <sz val="10.5"/>
        <rFont val="Times New Roman"/>
        <family val="1"/>
      </rPr>
      <t>dt</t>
    </r>
    <r>
      <rPr>
        <sz val="10.5"/>
        <rFont val="Times New Roman"/>
        <family val="1"/>
      </rPr>
      <t xml:space="preserve"> + </t>
    </r>
    <r>
      <rPr>
        <i/>
        <sz val="10.5"/>
        <rFont val="Times New Roman"/>
        <family val="1"/>
      </rPr>
      <t>b y dz</t>
    </r>
  </si>
  <si>
    <r>
      <t xml:space="preserve">(d) </t>
    </r>
    <r>
      <rPr>
        <i/>
        <sz val="10.5"/>
        <rFont val="Times New Roman"/>
        <family val="1"/>
      </rPr>
      <t>dy</t>
    </r>
    <r>
      <rPr>
        <sz val="10.5"/>
        <rFont val="Times New Roman"/>
        <family val="1"/>
      </rPr>
      <t xml:space="preserve"> = ½ </t>
    </r>
    <r>
      <rPr>
        <i/>
        <sz val="10.5"/>
        <rFont val="Times New Roman"/>
        <family val="1"/>
      </rPr>
      <t>b</t>
    </r>
    <r>
      <rPr>
        <vertAlign val="superscript"/>
        <sz val="10.5"/>
        <rFont val="Times New Roman"/>
        <family val="1"/>
      </rPr>
      <t>2</t>
    </r>
    <r>
      <rPr>
        <sz val="10.5"/>
        <rFont val="Times New Roman"/>
        <family val="1"/>
      </rPr>
      <t xml:space="preserve"> </t>
    </r>
    <r>
      <rPr>
        <i/>
        <sz val="10.5"/>
        <rFont val="Times New Roman"/>
        <family val="1"/>
      </rPr>
      <t>y dt</t>
    </r>
    <r>
      <rPr>
        <sz val="10.5"/>
        <rFont val="Times New Roman"/>
        <family val="1"/>
      </rPr>
      <t xml:space="preserve"> + </t>
    </r>
    <r>
      <rPr>
        <i/>
        <sz val="10.5"/>
        <rFont val="Times New Roman"/>
        <family val="1"/>
      </rPr>
      <t>b dz</t>
    </r>
  </si>
  <si>
    <r>
      <t xml:space="preserve">In base al lemma di Itô, il processo seguito da </t>
    </r>
    <r>
      <rPr>
        <i/>
        <sz val="10.5"/>
        <rFont val="Times New Roman"/>
        <family val="1"/>
      </rPr>
      <t>y</t>
    </r>
    <r>
      <rPr>
        <sz val="10.5"/>
        <rFont val="Times New Roman"/>
        <family val="1"/>
      </rPr>
      <t xml:space="preserve"> è </t>
    </r>
    <r>
      <rPr>
        <i/>
        <sz val="10.5"/>
        <rFont val="Times New Roman"/>
        <family val="1"/>
      </rPr>
      <t>dy</t>
    </r>
    <r>
      <rPr>
        <sz val="10.5"/>
        <rFont val="Times New Roman"/>
        <family val="1"/>
      </rPr>
      <t xml:space="preserve"> = ½ </t>
    </r>
    <r>
      <rPr>
        <i/>
        <sz val="10.5"/>
        <rFont val="Times New Roman"/>
        <family val="1"/>
      </rPr>
      <t>b</t>
    </r>
    <r>
      <rPr>
        <vertAlign val="superscript"/>
        <sz val="10.5"/>
        <rFont val="Times New Roman"/>
        <family val="1"/>
      </rPr>
      <t>2</t>
    </r>
    <r>
      <rPr>
        <sz val="10.5"/>
        <rFont val="Times New Roman"/>
        <family val="1"/>
      </rPr>
      <t xml:space="preserve"> </t>
    </r>
    <r>
      <rPr>
        <i/>
        <sz val="10.5"/>
        <rFont val="Times New Roman"/>
        <family val="1"/>
      </rPr>
      <t>e</t>
    </r>
    <r>
      <rPr>
        <i/>
        <vertAlign val="superscript"/>
        <sz val="10.5"/>
        <rFont val="Times New Roman"/>
        <family val="1"/>
      </rPr>
      <t>x</t>
    </r>
    <r>
      <rPr>
        <i/>
        <sz val="10.5"/>
        <rFont val="Times New Roman"/>
        <family val="1"/>
      </rPr>
      <t xml:space="preserve"> dt </t>
    </r>
    <r>
      <rPr>
        <sz val="10.5"/>
        <rFont val="Times New Roman"/>
        <family val="1"/>
      </rPr>
      <t xml:space="preserve">+ </t>
    </r>
    <r>
      <rPr>
        <i/>
        <sz val="10.5"/>
        <rFont val="Times New Roman"/>
        <family val="1"/>
      </rPr>
      <t>b e</t>
    </r>
    <r>
      <rPr>
        <i/>
        <vertAlign val="superscript"/>
        <sz val="10.5"/>
        <rFont val="Times New Roman"/>
        <family val="1"/>
      </rPr>
      <t>x</t>
    </r>
    <r>
      <rPr>
        <i/>
        <sz val="10.5"/>
        <rFont val="Times New Roman"/>
        <family val="1"/>
      </rPr>
      <t xml:space="preserve"> dz</t>
    </r>
    <r>
      <rPr>
        <sz val="10.5"/>
        <rFont val="Times New Roman"/>
        <family val="1"/>
      </rPr>
      <t xml:space="preserve">. Sostituendo </t>
    </r>
    <r>
      <rPr>
        <i/>
        <sz val="10.5"/>
        <rFont val="Times New Roman"/>
        <family val="1"/>
      </rPr>
      <t>y</t>
    </r>
    <r>
      <rPr>
        <sz val="10.5"/>
        <rFont val="Times New Roman"/>
        <family val="1"/>
      </rPr>
      <t xml:space="preserve"> = </t>
    </r>
    <r>
      <rPr>
        <i/>
        <sz val="10.5"/>
        <rFont val="Times New Roman"/>
        <family val="1"/>
      </rPr>
      <t>e</t>
    </r>
    <r>
      <rPr>
        <i/>
        <vertAlign val="superscript"/>
        <sz val="10.5"/>
        <rFont val="Times New Roman"/>
        <family val="1"/>
      </rPr>
      <t>x</t>
    </r>
    <r>
      <rPr>
        <sz val="10.5"/>
        <rFont val="Times New Roman"/>
        <family val="1"/>
      </rPr>
      <t xml:space="preserve">, si ottiene </t>
    </r>
    <r>
      <rPr>
        <i/>
        <sz val="10.5"/>
        <rFont val="Times New Roman"/>
        <family val="1"/>
      </rPr>
      <t>dy</t>
    </r>
    <r>
      <rPr>
        <sz val="10.5"/>
        <rFont val="Times New Roman"/>
        <family val="1"/>
      </rPr>
      <t xml:space="preserve"> = ½ </t>
    </r>
    <r>
      <rPr>
        <i/>
        <sz val="10.5"/>
        <rFont val="Times New Roman"/>
        <family val="1"/>
      </rPr>
      <t>b</t>
    </r>
    <r>
      <rPr>
        <vertAlign val="superscript"/>
        <sz val="10.5"/>
        <rFont val="Times New Roman"/>
        <family val="1"/>
      </rPr>
      <t>2</t>
    </r>
    <r>
      <rPr>
        <sz val="10.5"/>
        <rFont val="Times New Roman"/>
        <family val="1"/>
      </rPr>
      <t xml:space="preserve"> </t>
    </r>
    <r>
      <rPr>
        <i/>
        <sz val="10.5"/>
        <rFont val="Times New Roman"/>
        <family val="1"/>
      </rPr>
      <t xml:space="preserve">y dt </t>
    </r>
    <r>
      <rPr>
        <sz val="10.5"/>
        <rFont val="Times New Roman"/>
        <family val="1"/>
      </rPr>
      <t xml:space="preserve">+ </t>
    </r>
    <r>
      <rPr>
        <i/>
        <sz val="10.5"/>
        <rFont val="Times New Roman"/>
        <family val="1"/>
      </rPr>
      <t>b y dz.</t>
    </r>
  </si>
  <si>
    <r>
      <t xml:space="preserve">14.12. Sia </t>
    </r>
    <r>
      <rPr>
        <b/>
        <i/>
        <sz val="10.5"/>
        <rFont val="Times New Roman"/>
        <family val="1"/>
      </rPr>
      <t>r</t>
    </r>
    <r>
      <rPr>
        <b/>
        <sz val="10.5"/>
        <rFont val="Times New Roman"/>
        <family val="1"/>
      </rPr>
      <t xml:space="preserve"> il tasso d’interesse privo di rischio. Se il prezzo di un’azione cresce al tasso </t>
    </r>
    <r>
      <rPr>
        <b/>
        <i/>
        <sz val="10.5"/>
        <rFont val="Times New Roman"/>
        <family val="1"/>
      </rPr>
      <t>m</t>
    </r>
    <r>
      <rPr>
        <b/>
        <sz val="10.5"/>
        <rFont val="Times New Roman"/>
        <family val="1"/>
      </rPr>
      <t xml:space="preserve"> con volatilità </t>
    </r>
    <r>
      <rPr>
        <b/>
        <i/>
        <sz val="10.5"/>
        <rFont val="Times New Roman"/>
        <family val="1"/>
      </rPr>
      <t>s</t>
    </r>
    <r>
      <rPr>
        <b/>
        <sz val="10.5"/>
        <rFont val="Times New Roman"/>
        <family val="1"/>
      </rPr>
      <t xml:space="preserve">, a quale tasso cresce il prezzo forward di un contratto forward, con scadenza </t>
    </r>
    <r>
      <rPr>
        <b/>
        <i/>
        <sz val="10.5"/>
        <rFont val="Times New Roman"/>
        <family val="1"/>
      </rPr>
      <t>T</t>
    </r>
    <r>
      <rPr>
        <b/>
        <sz val="10.5"/>
        <rFont val="Times New Roman"/>
        <family val="1"/>
      </rPr>
      <t>, scritto sull’azione?</t>
    </r>
  </si>
  <si>
    <r>
      <t xml:space="preserve">(a) </t>
    </r>
    <r>
      <rPr>
        <i/>
        <sz val="10.5"/>
        <rFont val="Times New Roman"/>
        <family val="1"/>
      </rPr>
      <t>m</t>
    </r>
  </si>
  <si>
    <r>
      <t xml:space="preserve">(b) </t>
    </r>
    <r>
      <rPr>
        <i/>
        <sz val="10.5"/>
        <rFont val="Times New Roman"/>
        <family val="1"/>
      </rPr>
      <t>m</t>
    </r>
    <r>
      <rPr>
        <sz val="10.5"/>
        <rFont val="Times New Roman"/>
        <family val="1"/>
      </rPr>
      <t xml:space="preserve"> − </t>
    </r>
    <r>
      <rPr>
        <i/>
        <sz val="10.5"/>
        <rFont val="Times New Roman"/>
        <family val="1"/>
      </rPr>
      <t>s</t>
    </r>
    <r>
      <rPr>
        <vertAlign val="superscript"/>
        <sz val="10.5"/>
        <rFont val="Times New Roman"/>
        <family val="1"/>
      </rPr>
      <t>2</t>
    </r>
    <r>
      <rPr>
        <sz val="10.5"/>
        <rFont val="Times New Roman"/>
        <family val="1"/>
      </rPr>
      <t>/2</t>
    </r>
  </si>
  <si>
    <r>
      <t xml:space="preserve">(c) </t>
    </r>
    <r>
      <rPr>
        <i/>
        <sz val="10.5"/>
        <rFont val="Times New Roman"/>
        <family val="1"/>
      </rPr>
      <t>m</t>
    </r>
    <r>
      <rPr>
        <sz val="10.5"/>
        <rFont val="Times New Roman"/>
        <family val="1"/>
      </rPr>
      <t xml:space="preserve"> − </t>
    </r>
    <r>
      <rPr>
        <i/>
        <sz val="10.5"/>
        <rFont val="Times New Roman"/>
        <family val="1"/>
      </rPr>
      <t>r</t>
    </r>
  </si>
  <si>
    <r>
      <t xml:space="preserve">(d) </t>
    </r>
    <r>
      <rPr>
        <i/>
        <sz val="10.5"/>
        <rFont val="Times New Roman"/>
        <family val="1"/>
      </rPr>
      <t>r</t>
    </r>
    <r>
      <rPr>
        <sz val="10.5"/>
        <rFont val="Times New Roman"/>
        <family val="1"/>
      </rPr>
      <t xml:space="preserve"> − </t>
    </r>
    <r>
      <rPr>
        <i/>
        <sz val="10.5"/>
        <rFont val="Times New Roman"/>
        <family val="1"/>
      </rPr>
      <t>s</t>
    </r>
    <r>
      <rPr>
        <vertAlign val="superscript"/>
        <sz val="10.5"/>
        <rFont val="Times New Roman"/>
        <family val="1"/>
      </rPr>
      <t>2</t>
    </r>
    <r>
      <rPr>
        <sz val="10.5"/>
        <rFont val="Times New Roman"/>
        <family val="1"/>
      </rPr>
      <t>/2</t>
    </r>
  </si>
  <si>
    <r>
      <t xml:space="preserve">Il prezzo forward cresce al tasso </t>
    </r>
    <r>
      <rPr>
        <i/>
        <sz val="10.5"/>
        <rFont val="Times New Roman"/>
        <family val="1"/>
      </rPr>
      <t>m</t>
    </r>
    <r>
      <rPr>
        <sz val="10.5"/>
        <rFont val="Times New Roman"/>
        <family val="1"/>
      </rPr>
      <t xml:space="preserve"> − </t>
    </r>
    <r>
      <rPr>
        <i/>
        <sz val="10.5"/>
        <rFont val="Times New Roman"/>
        <family val="1"/>
      </rPr>
      <t>r</t>
    </r>
    <r>
      <rPr>
        <sz val="10.5"/>
        <rFont val="Times New Roman"/>
        <family val="1"/>
      </rPr>
      <t>. Questo risultato si ottiene applicando il lemma di Itô (Sezione 14.6).</t>
    </r>
  </si>
  <si>
    <r>
      <t xml:space="preserve">14.13. Il prezzo spot, </t>
    </r>
    <r>
      <rPr>
        <b/>
        <i/>
        <sz val="10.5"/>
        <rFont val="Times New Roman"/>
        <family val="1"/>
      </rPr>
      <t>S</t>
    </r>
    <r>
      <rPr>
        <b/>
        <sz val="10.5"/>
        <rFont val="Times New Roman"/>
        <family val="1"/>
      </rPr>
      <t xml:space="preserve">, di un’azione segue un moto geometrico Browniano con tasso di deriva </t>
    </r>
    <r>
      <rPr>
        <b/>
        <i/>
        <sz val="10.5"/>
        <rFont val="Times New Roman"/>
        <family val="1"/>
      </rPr>
      <t>m</t>
    </r>
    <r>
      <rPr>
        <b/>
        <sz val="10.5"/>
        <rFont val="Times New Roman"/>
        <family val="1"/>
      </rPr>
      <t xml:space="preserve"> e volatilità </t>
    </r>
    <r>
      <rPr>
        <b/>
        <i/>
        <sz val="10.5"/>
        <rFont val="Times New Roman"/>
        <family val="1"/>
      </rPr>
      <t>s</t>
    </r>
    <r>
      <rPr>
        <b/>
        <sz val="10.5"/>
        <rFont val="Times New Roman"/>
        <family val="1"/>
      </rPr>
      <t xml:space="preserve">. Qual è il processo seguito da </t>
    </r>
    <r>
      <rPr>
        <b/>
        <i/>
        <sz val="10.5"/>
        <rFont val="Times New Roman"/>
        <family val="1"/>
      </rPr>
      <t>X</t>
    </r>
    <r>
      <rPr>
        <b/>
        <sz val="10.5"/>
        <rFont val="Times New Roman"/>
        <family val="1"/>
      </rPr>
      <t xml:space="preserve"> = ln(</t>
    </r>
    <r>
      <rPr>
        <b/>
        <i/>
        <sz val="10.5"/>
        <rFont val="Times New Roman"/>
        <family val="1"/>
      </rPr>
      <t>S</t>
    </r>
    <r>
      <rPr>
        <b/>
        <sz val="10.5"/>
        <rFont val="Times New Roman"/>
        <family val="1"/>
      </rPr>
      <t>)?</t>
    </r>
  </si>
  <si>
    <r>
      <t xml:space="preserve">(a) </t>
    </r>
    <r>
      <rPr>
        <i/>
        <sz val="10.5"/>
        <rFont val="Times New Roman"/>
        <family val="1"/>
      </rPr>
      <t>dX</t>
    </r>
    <r>
      <rPr>
        <sz val="10.5"/>
        <rFont val="Times New Roman"/>
        <family val="1"/>
      </rPr>
      <t xml:space="preserve"> = </t>
    </r>
    <r>
      <rPr>
        <i/>
        <sz val="10.5"/>
        <rFont val="Times New Roman"/>
        <family val="1"/>
      </rPr>
      <t>m dt</t>
    </r>
    <r>
      <rPr>
        <sz val="10.5"/>
        <rFont val="Times New Roman"/>
        <family val="1"/>
      </rPr>
      <t xml:space="preserve"> + </t>
    </r>
    <r>
      <rPr>
        <i/>
        <sz val="10.5"/>
        <rFont val="Times New Roman"/>
        <family val="1"/>
      </rPr>
      <t>s dz</t>
    </r>
  </si>
  <si>
    <r>
      <t xml:space="preserve">(b) </t>
    </r>
    <r>
      <rPr>
        <i/>
        <sz val="10.5"/>
        <rFont val="Times New Roman"/>
        <family val="1"/>
      </rPr>
      <t>dX</t>
    </r>
    <r>
      <rPr>
        <sz val="10.5"/>
        <rFont val="Times New Roman"/>
        <family val="1"/>
      </rPr>
      <t xml:space="preserve"> = (</t>
    </r>
    <r>
      <rPr>
        <i/>
        <sz val="10.5"/>
        <rFont val="Times New Roman"/>
        <family val="1"/>
      </rPr>
      <t>m</t>
    </r>
    <r>
      <rPr>
        <sz val="10.5"/>
        <rFont val="Times New Roman"/>
        <family val="1"/>
      </rPr>
      <t>−</t>
    </r>
    <r>
      <rPr>
        <i/>
        <sz val="10.5"/>
        <rFont val="Times New Roman"/>
        <family val="1"/>
      </rPr>
      <t>r</t>
    </r>
    <r>
      <rPr>
        <sz val="10.5"/>
        <rFont val="Times New Roman"/>
        <family val="1"/>
      </rPr>
      <t xml:space="preserve">) </t>
    </r>
    <r>
      <rPr>
        <i/>
        <sz val="10.5"/>
        <rFont val="Times New Roman"/>
        <family val="1"/>
      </rPr>
      <t>dt</t>
    </r>
    <r>
      <rPr>
        <sz val="10.5"/>
        <rFont val="Times New Roman"/>
        <family val="1"/>
      </rPr>
      <t xml:space="preserve"> + </t>
    </r>
    <r>
      <rPr>
        <i/>
        <sz val="10.5"/>
        <rFont val="Times New Roman"/>
        <family val="1"/>
      </rPr>
      <t>s dz</t>
    </r>
  </si>
  <si>
    <r>
      <t xml:space="preserve">(c) </t>
    </r>
    <r>
      <rPr>
        <i/>
        <sz val="10.5"/>
        <rFont val="Times New Roman"/>
        <family val="1"/>
      </rPr>
      <t>dX</t>
    </r>
    <r>
      <rPr>
        <sz val="10.5"/>
        <rFont val="Times New Roman"/>
        <family val="1"/>
      </rPr>
      <t xml:space="preserve"> = (</t>
    </r>
    <r>
      <rPr>
        <i/>
        <sz val="10.5"/>
        <rFont val="Times New Roman"/>
        <family val="1"/>
      </rPr>
      <t>m</t>
    </r>
    <r>
      <rPr>
        <sz val="10.5"/>
        <rFont val="Times New Roman"/>
        <family val="1"/>
      </rPr>
      <t xml:space="preserve"> − </t>
    </r>
    <r>
      <rPr>
        <i/>
        <sz val="10.5"/>
        <rFont val="Times New Roman"/>
        <family val="1"/>
      </rPr>
      <t>s</t>
    </r>
    <r>
      <rPr>
        <vertAlign val="superscript"/>
        <sz val="10.5"/>
        <rFont val="Times New Roman"/>
        <family val="1"/>
      </rPr>
      <t>2</t>
    </r>
    <r>
      <rPr>
        <sz val="10.5"/>
        <rFont val="Times New Roman"/>
        <family val="1"/>
      </rPr>
      <t xml:space="preserve">) </t>
    </r>
    <r>
      <rPr>
        <i/>
        <sz val="10.5"/>
        <rFont val="Times New Roman"/>
        <family val="1"/>
      </rPr>
      <t>dt</t>
    </r>
    <r>
      <rPr>
        <sz val="10.5"/>
        <rFont val="Times New Roman"/>
        <family val="1"/>
      </rPr>
      <t xml:space="preserve"> + </t>
    </r>
    <r>
      <rPr>
        <i/>
        <sz val="10.5"/>
        <rFont val="Times New Roman"/>
        <family val="1"/>
      </rPr>
      <t>s dz</t>
    </r>
  </si>
  <si>
    <r>
      <t xml:space="preserve">(d) </t>
    </r>
    <r>
      <rPr>
        <i/>
        <sz val="10.5"/>
        <rFont val="Times New Roman"/>
        <family val="1"/>
      </rPr>
      <t>dX</t>
    </r>
    <r>
      <rPr>
        <sz val="10.5"/>
        <rFont val="Times New Roman"/>
        <family val="1"/>
      </rPr>
      <t xml:space="preserve"> = (</t>
    </r>
    <r>
      <rPr>
        <i/>
        <sz val="10.5"/>
        <rFont val="Times New Roman"/>
        <family val="1"/>
      </rPr>
      <t>m</t>
    </r>
    <r>
      <rPr>
        <sz val="10.5"/>
        <rFont val="Times New Roman"/>
        <family val="1"/>
      </rPr>
      <t xml:space="preserve"> − </t>
    </r>
    <r>
      <rPr>
        <i/>
        <sz val="10.5"/>
        <rFont val="Times New Roman"/>
        <family val="1"/>
      </rPr>
      <t>s</t>
    </r>
    <r>
      <rPr>
        <vertAlign val="superscript"/>
        <sz val="10.5"/>
        <rFont val="Times New Roman"/>
        <family val="1"/>
      </rPr>
      <t>2</t>
    </r>
    <r>
      <rPr>
        <sz val="10.5"/>
        <rFont val="Times New Roman"/>
        <family val="1"/>
      </rPr>
      <t xml:space="preserve">/2) </t>
    </r>
    <r>
      <rPr>
        <i/>
        <sz val="10.5"/>
        <rFont val="Times New Roman"/>
        <family val="1"/>
      </rPr>
      <t>dt</t>
    </r>
    <r>
      <rPr>
        <sz val="10.5"/>
        <rFont val="Times New Roman"/>
        <family val="1"/>
      </rPr>
      <t xml:space="preserve"> + </t>
    </r>
    <r>
      <rPr>
        <i/>
        <sz val="10.5"/>
        <rFont val="Times New Roman"/>
        <family val="1"/>
      </rPr>
      <t>s dz</t>
    </r>
  </si>
  <si>
    <r>
      <t xml:space="preserve">Il processo seguito da </t>
    </r>
    <r>
      <rPr>
        <i/>
        <sz val="10.5"/>
        <rFont val="Times New Roman"/>
        <family val="1"/>
      </rPr>
      <t>X</t>
    </r>
    <r>
      <rPr>
        <sz val="10.5"/>
        <rFont val="Times New Roman"/>
        <family val="1"/>
      </rPr>
      <t xml:space="preserve"> = ln(</t>
    </r>
    <r>
      <rPr>
        <i/>
        <sz val="10.5"/>
        <rFont val="Times New Roman"/>
        <family val="1"/>
      </rPr>
      <t>S</t>
    </r>
    <r>
      <rPr>
        <sz val="10.5"/>
        <rFont val="Times New Roman"/>
        <family val="1"/>
      </rPr>
      <t>) è</t>
    </r>
    <r>
      <rPr>
        <i/>
        <sz val="10.5"/>
        <rFont val="Times New Roman"/>
        <family val="1"/>
      </rPr>
      <t xml:space="preserve"> dX</t>
    </r>
    <r>
      <rPr>
        <sz val="10.5"/>
        <rFont val="Times New Roman"/>
        <family val="1"/>
      </rPr>
      <t xml:space="preserve"> = (</t>
    </r>
    <r>
      <rPr>
        <i/>
        <sz val="10.5"/>
        <rFont val="Times New Roman"/>
        <family val="1"/>
      </rPr>
      <t>m</t>
    </r>
    <r>
      <rPr>
        <sz val="10.5"/>
        <rFont val="Times New Roman"/>
        <family val="1"/>
      </rPr>
      <t xml:space="preserve"> − </t>
    </r>
    <r>
      <rPr>
        <i/>
        <sz val="10.5"/>
        <rFont val="Times New Roman"/>
        <family val="1"/>
      </rPr>
      <t>s</t>
    </r>
    <r>
      <rPr>
        <vertAlign val="superscript"/>
        <sz val="10.5"/>
        <rFont val="Times New Roman"/>
        <family val="1"/>
      </rPr>
      <t>2</t>
    </r>
    <r>
      <rPr>
        <sz val="10.5"/>
        <rFont val="Times New Roman"/>
        <family val="1"/>
      </rPr>
      <t xml:space="preserve">/2) </t>
    </r>
    <r>
      <rPr>
        <i/>
        <sz val="10.5"/>
        <rFont val="Times New Roman"/>
        <family val="1"/>
      </rPr>
      <t>dt</t>
    </r>
    <r>
      <rPr>
        <sz val="10.5"/>
        <rFont val="Times New Roman"/>
        <family val="1"/>
      </rPr>
      <t xml:space="preserve"> + </t>
    </r>
    <r>
      <rPr>
        <i/>
        <sz val="10.5"/>
        <rFont val="Times New Roman"/>
        <family val="1"/>
      </rPr>
      <t>s dz</t>
    </r>
    <r>
      <rPr>
        <sz val="10.5"/>
        <rFont val="Times New Roman"/>
        <family val="1"/>
      </rPr>
      <t xml:space="preserve">. Questo risultato si ottiene appli-cando il lemma di Itô (Sezione 14.7). </t>
    </r>
  </si>
  <si>
    <r>
      <t xml:space="preserve">(a) Processi nei quali il </t>
    </r>
    <r>
      <rPr>
        <i/>
        <sz val="10.5"/>
        <rFont val="Times New Roman"/>
        <family val="1"/>
      </rPr>
      <t>drift</t>
    </r>
    <r>
      <rPr>
        <sz val="10.5"/>
        <rFont val="Times New Roman"/>
        <family val="1"/>
      </rPr>
      <t xml:space="preserve"> non è costante e può essere stocastico.</t>
    </r>
  </si>
  <si>
    <r>
      <t xml:space="preserve">(b) Processi nei quali il coefficiente di </t>
    </r>
    <r>
      <rPr>
        <i/>
        <sz val="10.5"/>
        <rFont val="Times New Roman"/>
        <family val="1"/>
      </rPr>
      <t>dz</t>
    </r>
    <r>
      <rPr>
        <sz val="10.5"/>
        <rFont val="Times New Roman"/>
        <family val="1"/>
      </rPr>
      <t xml:space="preserve"> non è costante e può essere stocastico.</t>
    </r>
  </si>
  <si>
    <r>
      <t xml:space="preserve">(c) Processi nei quali il </t>
    </r>
    <r>
      <rPr>
        <i/>
        <sz val="10.5"/>
        <rFont val="Times New Roman"/>
        <family val="1"/>
      </rPr>
      <t>drift</t>
    </r>
    <r>
      <rPr>
        <sz val="10.5"/>
        <rFont val="Times New Roman"/>
        <family val="1"/>
      </rPr>
      <t xml:space="preserve"> e/o il coefficiente di </t>
    </r>
    <r>
      <rPr>
        <i/>
        <sz val="10.5"/>
        <rFont val="Times New Roman"/>
        <family val="1"/>
      </rPr>
      <t>dz</t>
    </r>
    <r>
      <rPr>
        <sz val="10.5"/>
        <rFont val="Times New Roman"/>
        <family val="1"/>
      </rPr>
      <t xml:space="preserve"> non sono costanti e possono essere stocastici.</t>
    </r>
  </si>
  <si>
    <r>
      <t xml:space="preserve">Nei processi di Wiener generalizzati, il </t>
    </r>
    <r>
      <rPr>
        <i/>
        <sz val="10.5"/>
        <rFont val="Times New Roman"/>
        <family val="1"/>
      </rPr>
      <t>drift</t>
    </r>
    <r>
      <rPr>
        <sz val="10.5"/>
        <rFont val="Times New Roman"/>
        <family val="1"/>
      </rPr>
      <t xml:space="preserve"> e il coefficiente di </t>
    </r>
    <r>
      <rPr>
        <i/>
        <sz val="10.5"/>
        <rFont val="Times New Roman"/>
        <family val="1"/>
      </rPr>
      <t>dz</t>
    </r>
    <r>
      <rPr>
        <sz val="10.5"/>
        <rFont val="Times New Roman"/>
        <family val="1"/>
      </rPr>
      <t xml:space="preserve"> sono entrambi costanti. Nei processi di Itô, il </t>
    </r>
    <r>
      <rPr>
        <i/>
        <sz val="10.5"/>
        <rFont val="Times New Roman"/>
        <family val="1"/>
      </rPr>
      <t>drift</t>
    </r>
    <r>
      <rPr>
        <sz val="10.5"/>
        <rFont val="Times New Roman"/>
        <family val="1"/>
      </rPr>
      <t xml:space="preserve"> e/o il coefficiente di </t>
    </r>
    <r>
      <rPr>
        <i/>
        <sz val="10.5"/>
        <rFont val="Times New Roman"/>
        <family val="1"/>
      </rPr>
      <t>dz</t>
    </r>
    <r>
      <rPr>
        <sz val="10.5"/>
        <rFont val="Times New Roman"/>
        <family val="1"/>
      </rPr>
      <t xml:space="preserve"> non sono costanti.</t>
    </r>
  </si>
  <si>
    <r>
      <t>std(</t>
    </r>
    <r>
      <rPr>
        <sz val="10.5"/>
        <rFont val="Times New Roman"/>
        <family val="1"/>
      </rPr>
      <t>Δ</t>
    </r>
    <r>
      <rPr>
        <i/>
        <sz val="10.5"/>
        <rFont val="Times New Roman"/>
        <family val="1"/>
      </rPr>
      <t>S</t>
    </r>
    <r>
      <rPr>
        <sz val="10.5"/>
        <rFont val="Times New Roman"/>
        <family val="1"/>
      </rPr>
      <t>)</t>
    </r>
  </si>
  <si>
    <r>
      <t xml:space="preserve">C’è una probabilità del 2,5% che il prezzo dell’azione aumenti in misura maggiore di 1,96 [= </t>
    </r>
    <r>
      <rPr>
        <i/>
        <sz val="10.5"/>
        <rFont val="Times New Roman"/>
        <family val="1"/>
      </rPr>
      <t>N</t>
    </r>
    <r>
      <rPr>
        <vertAlign val="superscript"/>
        <sz val="10.5"/>
        <rFont val="Times New Roman"/>
        <family val="1"/>
      </rPr>
      <t>−1</t>
    </r>
    <r>
      <rPr>
        <sz val="10.5"/>
        <rFont val="Times New Roman"/>
        <family val="1"/>
      </rPr>
      <t>(0,975)] deviazioni standard.</t>
    </r>
  </si>
  <si>
    <r>
      <rPr>
        <i/>
        <sz val="10.5"/>
        <rFont val="Times New Roman"/>
        <family val="1"/>
      </rPr>
      <t>N</t>
    </r>
    <r>
      <rPr>
        <vertAlign val="superscript"/>
        <sz val="10.5"/>
        <rFont val="Times New Roman"/>
        <family val="1"/>
      </rPr>
      <t>−1</t>
    </r>
    <r>
      <rPr>
        <sz val="10.5"/>
        <rFont val="Times New Roman"/>
        <family val="1"/>
      </rPr>
      <t>(0,975)</t>
    </r>
  </si>
  <si>
    <r>
      <t xml:space="preserve">(a) La varianza della variazione in un breve periodo di tempo </t>
    </r>
    <r>
      <rPr>
        <i/>
        <sz val="10.5"/>
        <rFont val="Times New Roman"/>
        <family val="1"/>
      </rPr>
      <t>dt</t>
    </r>
    <r>
      <rPr>
        <sz val="10.5"/>
        <rFont val="Times New Roman"/>
        <family val="1"/>
      </rPr>
      <t xml:space="preserve"> è pari a </t>
    </r>
    <r>
      <rPr>
        <i/>
        <sz val="10.5"/>
        <rFont val="Times New Roman"/>
        <family val="1"/>
      </rPr>
      <t>dt</t>
    </r>
    <r>
      <rPr>
        <sz val="10.5"/>
        <rFont val="Times New Roman"/>
        <family val="1"/>
      </rPr>
      <t>.</t>
    </r>
  </si>
  <si>
    <r>
      <t xml:space="preserve">14.19. Sia </t>
    </r>
    <r>
      <rPr>
        <b/>
        <i/>
        <sz val="10.5"/>
        <rFont val="Times New Roman"/>
        <family val="1"/>
      </rPr>
      <t>ε</t>
    </r>
    <r>
      <rPr>
        <b/>
        <sz val="10.5"/>
        <rFont val="Times New Roman"/>
        <family val="1"/>
      </rPr>
      <t xml:space="preserve"> un campione casuale estratto da una distribuzione normale standardizzata e </t>
    </r>
    <r>
      <rPr>
        <b/>
        <i/>
        <sz val="10.5"/>
        <rFont val="Times New Roman"/>
        <family val="1"/>
      </rPr>
      <t xml:space="preserve">z </t>
    </r>
    <r>
      <rPr>
        <b/>
        <sz val="10.5"/>
        <rFont val="Times New Roman"/>
        <family val="1"/>
      </rPr>
      <t xml:space="preserve">una variabile che segue un processo di Wiener. </t>
    </r>
  </si>
  <si>
    <r>
      <t xml:space="preserve">Solo una delle seguenti formule definisce </t>
    </r>
    <r>
      <rPr>
        <b/>
        <i/>
        <sz val="10.5"/>
        <rFont val="Times New Roman"/>
        <family val="1"/>
      </rPr>
      <t>dz</t>
    </r>
    <r>
      <rPr>
        <b/>
        <sz val="10.5"/>
        <rFont val="Times New Roman"/>
        <family val="1"/>
      </rPr>
      <t xml:space="preserve">, la variazione di </t>
    </r>
    <r>
      <rPr>
        <b/>
        <i/>
        <sz val="10.5"/>
        <rFont val="Times New Roman"/>
        <family val="1"/>
      </rPr>
      <t>z</t>
    </r>
    <r>
      <rPr>
        <b/>
        <sz val="10.5"/>
        <rFont val="Times New Roman"/>
        <family val="1"/>
      </rPr>
      <t xml:space="preserve"> nel periodo di tempo </t>
    </r>
    <r>
      <rPr>
        <b/>
        <i/>
        <sz val="10.5"/>
        <rFont val="Times New Roman"/>
        <family val="1"/>
      </rPr>
      <t>dt</t>
    </r>
    <r>
      <rPr>
        <b/>
        <sz val="10.5"/>
        <rFont val="Times New Roman"/>
        <family val="1"/>
      </rPr>
      <t>. Quale?</t>
    </r>
  </si>
  <si>
    <r>
      <t xml:space="preserve">(a) </t>
    </r>
    <r>
      <rPr>
        <i/>
        <sz val="10.5"/>
        <rFont val="Times New Roman"/>
        <family val="1"/>
      </rPr>
      <t>ε</t>
    </r>
    <r>
      <rPr>
        <sz val="10.5"/>
        <rFont val="Times New Roman"/>
        <family val="1"/>
      </rPr>
      <t xml:space="preserve"> </t>
    </r>
    <r>
      <rPr>
        <sz val="10.5"/>
        <rFont val="Times New Roman"/>
        <family val="1"/>
      </rPr>
      <t>√</t>
    </r>
    <r>
      <rPr>
        <i/>
        <sz val="10.5"/>
        <rFont val="Times New Roman"/>
        <family val="1"/>
      </rPr>
      <t>dt</t>
    </r>
  </si>
  <si>
    <r>
      <t xml:space="preserve">(b) </t>
    </r>
    <r>
      <rPr>
        <i/>
        <sz val="10.5"/>
        <rFont val="Times New Roman"/>
        <family val="1"/>
      </rPr>
      <t>ε dt</t>
    </r>
  </si>
  <si>
    <r>
      <t xml:space="preserve">(c) </t>
    </r>
    <r>
      <rPr>
        <sz val="10.5"/>
        <rFont val="Times New Roman"/>
        <family val="1"/>
      </rPr>
      <t>√</t>
    </r>
    <r>
      <rPr>
        <i/>
        <sz val="10.5"/>
        <rFont val="Times New Roman"/>
        <family val="1"/>
      </rPr>
      <t>ε dt</t>
    </r>
  </si>
  <si>
    <r>
      <t xml:space="preserve">(d) </t>
    </r>
    <r>
      <rPr>
        <sz val="10.5"/>
        <rFont val="Times New Roman"/>
        <family val="1"/>
      </rPr>
      <t>√</t>
    </r>
    <r>
      <rPr>
        <i/>
        <sz val="10.5"/>
        <rFont val="Times New Roman"/>
        <family val="1"/>
      </rPr>
      <t>ε</t>
    </r>
    <r>
      <rPr>
        <sz val="10.5"/>
        <rFont val="Times New Roman"/>
        <family val="1"/>
      </rPr>
      <t xml:space="preserve"> √</t>
    </r>
    <r>
      <rPr>
        <i/>
        <sz val="10.5"/>
        <rFont val="Times New Roman"/>
        <family val="1"/>
      </rPr>
      <t>dt</t>
    </r>
  </si>
  <si>
    <r>
      <t xml:space="preserve">La variazione di </t>
    </r>
    <r>
      <rPr>
        <i/>
        <sz val="10.5"/>
        <rFont val="Times New Roman"/>
        <family val="1"/>
      </rPr>
      <t>z</t>
    </r>
    <r>
      <rPr>
        <sz val="10.5"/>
        <rFont val="Times New Roman"/>
        <family val="1"/>
      </rPr>
      <t xml:space="preserve"> nel periodo di tempo </t>
    </r>
    <r>
      <rPr>
        <i/>
        <sz val="10.5"/>
        <rFont val="Times New Roman"/>
        <family val="1"/>
      </rPr>
      <t>dt</t>
    </r>
    <r>
      <rPr>
        <sz val="10.5"/>
        <rFont val="Times New Roman"/>
        <family val="1"/>
      </rPr>
      <t xml:space="preserve"> è pari a </t>
    </r>
    <r>
      <rPr>
        <i/>
        <sz val="10.5"/>
        <rFont val="Times New Roman"/>
        <family val="1"/>
      </rPr>
      <t>ε</t>
    </r>
    <r>
      <rPr>
        <sz val="10.5"/>
        <rFont val="Times New Roman"/>
        <family val="1"/>
      </rPr>
      <t xml:space="preserve"> </t>
    </r>
    <r>
      <rPr>
        <sz val="10.5"/>
        <rFont val="Times New Roman"/>
        <family val="1"/>
      </rPr>
      <t>√</t>
    </r>
    <r>
      <rPr>
        <i/>
        <sz val="10.5"/>
        <rFont val="Times New Roman"/>
        <family val="1"/>
      </rPr>
      <t>dt</t>
    </r>
    <r>
      <rPr>
        <sz val="10.5"/>
        <rFont val="Times New Roman"/>
        <family val="1"/>
      </rPr>
      <t>. Questa formula viene utilizzata quando si simulano le variazioni di una variabile che segue un processo di Wiener.</t>
    </r>
  </si>
  <si>
    <r>
      <t xml:space="preserve">14.20. Sia </t>
    </r>
    <r>
      <rPr>
        <b/>
        <i/>
        <sz val="10.5"/>
        <rFont val="Times New Roman"/>
        <family val="1"/>
      </rPr>
      <t>ρ</t>
    </r>
    <r>
      <rPr>
        <b/>
        <sz val="10.5"/>
        <rFont val="Times New Roman"/>
        <family val="1"/>
      </rPr>
      <t xml:space="preserve"> il coefficiente di correlazione tra le variazioni di due variabili che seguono un processo di Wiener. </t>
    </r>
  </si>
  <si>
    <r>
      <t xml:space="preserve">Per quale valore di </t>
    </r>
    <r>
      <rPr>
        <b/>
        <i/>
        <sz val="10.5"/>
        <rFont val="Times New Roman"/>
        <family val="1"/>
      </rPr>
      <t>ρ</t>
    </r>
    <r>
      <rPr>
        <b/>
        <sz val="10.5"/>
        <rFont val="Times New Roman"/>
        <family val="1"/>
      </rPr>
      <t xml:space="preserve"> la somma delle due variabili segue anch’essa un processo di Wiener?</t>
    </r>
  </si>
  <si>
    <r>
      <t>La varianza di ciascun processo nell’unità di tempo è pari a 1. La varianza della somma è pari a 1 + 1 + 2</t>
    </r>
    <r>
      <rPr>
        <i/>
        <sz val="10.5"/>
        <rFont val="Times New Roman"/>
        <family val="1"/>
      </rPr>
      <t>ρ</t>
    </r>
    <r>
      <rPr>
        <sz val="10.5"/>
        <rFont val="Times New Roman"/>
        <family val="1"/>
      </rPr>
      <t xml:space="preserve">. È pari a 1 quando </t>
    </r>
    <r>
      <rPr>
        <i/>
        <sz val="10.5"/>
        <rFont val="Times New Roman"/>
        <family val="1"/>
      </rPr>
      <t>ρ</t>
    </r>
    <r>
      <rPr>
        <sz val="10.5"/>
        <rFont val="Times New Roman"/>
        <family val="1"/>
      </rPr>
      <t xml:space="preserve"> = −0,5.</t>
    </r>
  </si>
  <si>
    <r>
      <t xml:space="preserve">Il valore della call a scadenza è pari a $4 [= max($36 </t>
    </r>
    <r>
      <rPr>
        <sz val="10.5"/>
        <rFont val="Times New Roman"/>
        <family val="1"/>
      </rPr>
      <t>−</t>
    </r>
    <r>
      <rPr>
        <sz val="10.5"/>
        <rFont val="Times New Roman"/>
        <family val="1"/>
      </rPr>
      <t xml:space="preserve"> $32, $0)] in caso di rialzo o a $0 [= max($26 − $32, $0)] in caso di ribasso. </t>
    </r>
  </si>
  <si>
    <r>
      <t xml:space="preserve">La formula per calcolare la probabilità di rialzo, </t>
    </r>
    <r>
      <rPr>
        <i/>
        <sz val="10.5"/>
        <rFont val="Times New Roman"/>
        <family val="1"/>
      </rPr>
      <t>p</t>
    </r>
    <r>
      <rPr>
        <sz val="10.5"/>
        <rFont val="Times New Roman"/>
        <family val="1"/>
      </rPr>
      <t>, in un mondo neutrale verso il rischio, è:</t>
    </r>
  </si>
  <si>
    <r>
      <t xml:space="preserve">In questo caso si ha </t>
    </r>
    <r>
      <rPr>
        <i/>
        <sz val="10.5"/>
        <rFont val="Times New Roman"/>
        <family val="1"/>
      </rPr>
      <t>u</t>
    </r>
    <r>
      <rPr>
        <sz val="10.5"/>
        <rFont val="Times New Roman"/>
        <family val="1"/>
      </rPr>
      <t xml:space="preserve"> = 1,2 (= $36 / $30) e </t>
    </r>
    <r>
      <rPr>
        <i/>
        <sz val="10.5"/>
        <rFont val="Times New Roman"/>
        <family val="1"/>
      </rPr>
      <t>d</t>
    </r>
    <r>
      <rPr>
        <sz val="10.5"/>
        <rFont val="Times New Roman"/>
        <family val="1"/>
      </rPr>
      <t xml:space="preserve"> = 0,8667 (= $26 / $30). Inoltre, </t>
    </r>
    <r>
      <rPr>
        <i/>
        <sz val="10.5"/>
        <rFont val="Times New Roman"/>
        <family val="1"/>
      </rPr>
      <t>r</t>
    </r>
    <r>
      <rPr>
        <sz val="10.5"/>
        <rFont val="Times New Roman"/>
        <family val="1"/>
      </rPr>
      <t xml:space="preserve"> = 0 e </t>
    </r>
    <r>
      <rPr>
        <i/>
        <sz val="10.5"/>
        <rFont val="Times New Roman"/>
        <family val="1"/>
      </rPr>
      <t>T</t>
    </r>
    <r>
      <rPr>
        <sz val="10.5"/>
        <rFont val="Times New Roman"/>
        <family val="1"/>
      </rPr>
      <t xml:space="preserve"> = 0,5. Pertanto, in base alla formula, </t>
    </r>
    <r>
      <rPr>
        <i/>
        <sz val="10.5"/>
        <rFont val="Times New Roman"/>
        <family val="1"/>
      </rPr>
      <t>p</t>
    </r>
    <r>
      <rPr>
        <sz val="10.5"/>
        <rFont val="Times New Roman"/>
        <family val="1"/>
      </rPr>
      <t xml:space="preserve"> = 0,40.</t>
    </r>
  </si>
  <si>
    <r>
      <t xml:space="preserve">Il payoff della call è pari $4 [= max($36 </t>
    </r>
    <r>
      <rPr>
        <sz val="10.5"/>
        <rFont val="Times New Roman"/>
        <family val="1"/>
      </rPr>
      <t>−</t>
    </r>
    <r>
      <rPr>
        <sz val="10.5"/>
        <rFont val="Times New Roman"/>
        <family val="1"/>
      </rPr>
      <t xml:space="preserve"> $32, 0)] in caso di rialzo e a $0 [= max($26 </t>
    </r>
    <r>
      <rPr>
        <sz val="10.5"/>
        <rFont val="Times New Roman"/>
        <family val="1"/>
      </rPr>
      <t>−</t>
    </r>
    <r>
      <rPr>
        <sz val="10.5"/>
        <rFont val="Times New Roman"/>
        <family val="1"/>
      </rPr>
      <t xml:space="preserve"> $32, 0)] in caso di ribasso. Pertanto, il valore corrente è pari a $1,60.</t>
    </r>
  </si>
  <si>
    <r>
      <t xml:space="preserve">In questo caso si ha </t>
    </r>
    <r>
      <rPr>
        <i/>
        <sz val="10.5"/>
        <rFont val="Times New Roman"/>
        <family val="1"/>
      </rPr>
      <t>u</t>
    </r>
    <r>
      <rPr>
        <sz val="10.5"/>
        <rFont val="Times New Roman"/>
        <family val="1"/>
      </rPr>
      <t xml:space="preserve"> = 1,05 (= $42 / $40) e </t>
    </r>
    <r>
      <rPr>
        <i/>
        <sz val="10.5"/>
        <rFont val="Times New Roman"/>
        <family val="1"/>
      </rPr>
      <t>d</t>
    </r>
    <r>
      <rPr>
        <sz val="10.5"/>
        <rFont val="Times New Roman"/>
        <family val="1"/>
      </rPr>
      <t xml:space="preserve"> = 0,925 (= $37 / $40). Inoltre, </t>
    </r>
    <r>
      <rPr>
        <i/>
        <sz val="10.5"/>
        <rFont val="Times New Roman"/>
        <family val="1"/>
      </rPr>
      <t>r</t>
    </r>
    <r>
      <rPr>
        <sz val="10.5"/>
        <rFont val="Times New Roman"/>
        <family val="1"/>
      </rPr>
      <t xml:space="preserve"> = 0,02 e </t>
    </r>
    <r>
      <rPr>
        <i/>
        <sz val="10.5"/>
        <rFont val="Times New Roman"/>
        <family val="1"/>
      </rPr>
      <t>T</t>
    </r>
    <r>
      <rPr>
        <sz val="10.5"/>
        <rFont val="Times New Roman"/>
        <family val="1"/>
      </rPr>
      <t xml:space="preserve"> = 1. Pertanto, in base alla formula, </t>
    </r>
    <r>
      <rPr>
        <i/>
        <sz val="10.5"/>
        <rFont val="Times New Roman"/>
        <family val="1"/>
      </rPr>
      <t>p</t>
    </r>
    <r>
      <rPr>
        <sz val="10.5"/>
        <rFont val="Times New Roman"/>
        <family val="1"/>
      </rPr>
      <t xml:space="preserve"> = 0,7616.</t>
    </r>
  </si>
  <si>
    <r>
      <t>Il payoff della put è pari $0 [= max($41 − $42, 0)] in caso di rialzo e a $4 [= max($41 − $37, 0)] in caso di ribasso. Pertanto, il valore corrente è pari a $0,93</t>
    </r>
    <r>
      <rPr>
        <sz val="10.5"/>
        <rFont val="Times New Roman"/>
        <family val="1"/>
      </rPr>
      <t>.</t>
    </r>
  </si>
  <si>
    <r>
      <t xml:space="preserve">La lunghezza di ogni stadio, </t>
    </r>
    <r>
      <rPr>
        <b/>
        <sz val="10.5"/>
        <rFont val="Times New Roman"/>
        <family val="1"/>
      </rPr>
      <t>Δ</t>
    </r>
    <r>
      <rPr>
        <b/>
        <i/>
        <sz val="10.5"/>
        <rFont val="Times New Roman"/>
        <family val="1"/>
      </rPr>
      <t>t</t>
    </r>
    <r>
      <rPr>
        <b/>
        <sz val="10.5"/>
        <rFont val="Times New Roman"/>
        <family val="1"/>
      </rPr>
      <t>,</t>
    </r>
    <r>
      <rPr>
        <b/>
        <sz val="10.5"/>
        <rFont val="Times New Roman"/>
        <family val="1"/>
      </rPr>
      <t xml:space="preserve"> è pari a un trimestre. Il tasso d’interesse privo di rischio è pari all’8% annuo (composto continuamente). Qual è il valore corrente delle call se </t>
    </r>
    <r>
      <rPr>
        <b/>
        <i/>
        <sz val="10.5"/>
        <rFont val="Times New Roman"/>
        <family val="1"/>
      </rPr>
      <t>u</t>
    </r>
    <r>
      <rPr>
        <b/>
        <sz val="10.5"/>
        <rFont val="Times New Roman"/>
        <family val="1"/>
      </rPr>
      <t xml:space="preserve"> = 1,1 e </t>
    </r>
    <r>
      <rPr>
        <b/>
        <i/>
        <sz val="10.5"/>
        <rFont val="Times New Roman"/>
        <family val="1"/>
      </rPr>
      <t>d</t>
    </r>
    <r>
      <rPr>
        <b/>
        <sz val="10.5"/>
        <rFont val="Times New Roman"/>
        <family val="1"/>
      </rPr>
      <t xml:space="preserve"> =0,9?</t>
    </r>
  </si>
  <si>
    <r>
      <t>Δ</t>
    </r>
    <r>
      <rPr>
        <i/>
        <sz val="10.5"/>
        <rFont val="Times New Roman"/>
        <family val="1"/>
      </rPr>
      <t>t</t>
    </r>
  </si>
  <si>
    <r>
      <t xml:space="preserve">La lunghezza di ogni stadio, </t>
    </r>
    <r>
      <rPr>
        <b/>
        <sz val="10.5"/>
        <rFont val="Times New Roman"/>
        <family val="1"/>
      </rPr>
      <t>Δ</t>
    </r>
    <r>
      <rPr>
        <b/>
        <i/>
        <sz val="10.5"/>
        <rFont val="Times New Roman"/>
        <family val="1"/>
      </rPr>
      <t>t</t>
    </r>
    <r>
      <rPr>
        <b/>
        <sz val="10.5"/>
        <rFont val="Times New Roman"/>
        <family val="1"/>
      </rPr>
      <t>,</t>
    </r>
    <r>
      <rPr>
        <b/>
        <sz val="10.5"/>
        <rFont val="Times New Roman"/>
        <family val="1"/>
      </rPr>
      <t xml:space="preserve"> è pari a un trimestre. Il tasso d’interesse privo di rischio è pari all’8% annuo (composto continuamente). Qual è il valore corrente delle put se </t>
    </r>
    <r>
      <rPr>
        <b/>
        <i/>
        <sz val="10.5"/>
        <rFont val="Times New Roman"/>
        <family val="1"/>
      </rPr>
      <t>u</t>
    </r>
    <r>
      <rPr>
        <b/>
        <sz val="10.5"/>
        <rFont val="Times New Roman"/>
        <family val="1"/>
      </rPr>
      <t xml:space="preserve"> = 1,1 e </t>
    </r>
    <r>
      <rPr>
        <b/>
        <i/>
        <sz val="10.5"/>
        <rFont val="Times New Roman"/>
        <family val="1"/>
      </rPr>
      <t>d</t>
    </r>
    <r>
      <rPr>
        <b/>
        <sz val="10.5"/>
        <rFont val="Times New Roman"/>
        <family val="1"/>
      </rPr>
      <t xml:space="preserve"> =0,9?</t>
    </r>
  </si>
  <si>
    <r>
      <t>Se la lunghezza degli stadi di un albero, Δ</t>
    </r>
    <r>
      <rPr>
        <b/>
        <i/>
        <sz val="10.5"/>
        <rFont val="Times New Roman"/>
        <family val="1"/>
      </rPr>
      <t>t</t>
    </r>
    <r>
      <rPr>
        <b/>
        <sz val="10.5"/>
        <rFont val="Times New Roman"/>
        <family val="1"/>
      </rPr>
      <t xml:space="preserve">, è pari a 3 mesi, qual è il parametro </t>
    </r>
    <r>
      <rPr>
        <b/>
        <i/>
        <sz val="10.5"/>
        <rFont val="Times New Roman"/>
        <family val="1"/>
      </rPr>
      <t>u</t>
    </r>
    <r>
      <rPr>
        <b/>
        <sz val="10.5"/>
        <rFont val="Times New Roman"/>
        <family val="1"/>
      </rPr>
      <t xml:space="preserve"> secondo Cox, Ross e Rubinstein?</t>
    </r>
  </si>
  <si>
    <r>
      <t xml:space="preserve">La formula per </t>
    </r>
    <r>
      <rPr>
        <i/>
        <sz val="10.5"/>
        <rFont val="Times New Roman"/>
        <family val="1"/>
      </rPr>
      <t>u</t>
    </r>
    <r>
      <rPr>
        <sz val="10.5"/>
        <rFont val="Times New Roman"/>
        <family val="1"/>
      </rPr>
      <t xml:space="preserve"> è la seguente:</t>
    </r>
  </si>
  <si>
    <r>
      <t>Se la lunghezza degli stadi di un albero, Δ</t>
    </r>
    <r>
      <rPr>
        <b/>
        <i/>
        <sz val="10.5"/>
        <rFont val="Times New Roman"/>
        <family val="1"/>
      </rPr>
      <t>t</t>
    </r>
    <r>
      <rPr>
        <b/>
        <sz val="10.5"/>
        <rFont val="Times New Roman"/>
        <family val="1"/>
      </rPr>
      <t xml:space="preserve">, è pari a 3 mesi, qual è il parametro </t>
    </r>
    <r>
      <rPr>
        <b/>
        <i/>
        <sz val="10.5"/>
        <rFont val="Times New Roman"/>
        <family val="1"/>
      </rPr>
      <t>p</t>
    </r>
    <r>
      <rPr>
        <b/>
        <sz val="10.5"/>
        <rFont val="Times New Roman"/>
        <family val="1"/>
      </rPr>
      <t xml:space="preserve"> secondo Cox, Ross e Rubinstein?</t>
    </r>
  </si>
  <si>
    <r>
      <t xml:space="preserve">La formula per </t>
    </r>
    <r>
      <rPr>
        <i/>
        <sz val="10.5"/>
        <rFont val="Times New Roman"/>
        <family val="1"/>
      </rPr>
      <t>p</t>
    </r>
    <r>
      <rPr>
        <sz val="10.5"/>
        <rFont val="Times New Roman"/>
        <family val="1"/>
      </rPr>
      <t xml:space="preserve"> è la seguente:</t>
    </r>
  </si>
  <si>
    <r>
      <t>La lunghezza di ogni stadio, Δ</t>
    </r>
    <r>
      <rPr>
        <b/>
        <i/>
        <sz val="10.5"/>
        <rFont val="Times New Roman"/>
        <family val="1"/>
      </rPr>
      <t>t</t>
    </r>
    <r>
      <rPr>
        <b/>
        <sz val="10.5"/>
        <rFont val="Times New Roman"/>
        <family val="1"/>
      </rPr>
      <t xml:space="preserve">, è pari a un semestre. Il tasso d’interesse privo di rischio è pari al 5% annuo (composto continuamente). Qual è il valore corrente della put se </t>
    </r>
    <r>
      <rPr>
        <b/>
        <i/>
        <sz val="10.5"/>
        <rFont val="Times New Roman"/>
        <family val="1"/>
      </rPr>
      <t>σ</t>
    </r>
    <r>
      <rPr>
        <b/>
        <sz val="10.5"/>
        <rFont val="Times New Roman"/>
        <family val="1"/>
      </rPr>
      <t xml:space="preserve"> = 20%?</t>
    </r>
  </si>
  <si>
    <r>
      <t>Il delta è pari al rapporto Δ</t>
    </r>
    <r>
      <rPr>
        <i/>
        <sz val="10.5"/>
        <rFont val="Times New Roman"/>
        <family val="1"/>
      </rPr>
      <t>f</t>
    </r>
    <r>
      <rPr>
        <sz val="10.5"/>
        <rFont val="Times New Roman"/>
        <family val="1"/>
      </rPr>
      <t xml:space="preserve"> / Δ</t>
    </r>
    <r>
      <rPr>
        <i/>
        <sz val="10.5"/>
        <rFont val="Times New Roman"/>
        <family val="1"/>
      </rPr>
      <t>S</t>
    </r>
    <r>
      <rPr>
        <sz val="10.5"/>
        <rFont val="Times New Roman"/>
        <family val="1"/>
      </rPr>
      <t>, dove Δ</t>
    </r>
    <r>
      <rPr>
        <i/>
        <sz val="10.5"/>
        <rFont val="Times New Roman"/>
        <family val="1"/>
      </rPr>
      <t>S</t>
    </r>
    <r>
      <rPr>
        <sz val="10.5"/>
        <rFont val="Times New Roman"/>
        <family val="1"/>
      </rPr>
      <t xml:space="preserve"> è una piccola variazione del prezzo dell’azione (a parità di altre condizioni) e Δ</t>
    </r>
    <r>
      <rPr>
        <i/>
        <sz val="10.5"/>
        <rFont val="Times New Roman"/>
        <family val="1"/>
      </rPr>
      <t>f</t>
    </r>
    <r>
      <rPr>
        <sz val="10.5"/>
        <rFont val="Times New Roman"/>
        <family val="1"/>
      </rPr>
      <t xml:space="preserve"> è la corrispondente variazione del prezzo dell’opzione.</t>
    </r>
  </si>
  <si>
    <r>
      <t xml:space="preserve">(b) La formula per </t>
    </r>
    <r>
      <rPr>
        <i/>
        <sz val="10.5"/>
        <rFont val="Times New Roman"/>
        <family val="1"/>
      </rPr>
      <t>u</t>
    </r>
    <r>
      <rPr>
        <sz val="10.5"/>
        <rFont val="Times New Roman"/>
        <family val="1"/>
      </rPr>
      <t xml:space="preserve"> cambia.</t>
    </r>
  </si>
  <si>
    <r>
      <t xml:space="preserve">(d) Il tasso d’interesse privo di rischio viene sostituito dalla differenza tra il tasso d’interesse interno e quello estero nel calcolo di </t>
    </r>
    <r>
      <rPr>
        <i/>
        <sz val="10.5"/>
        <rFont val="Times New Roman"/>
        <family val="1"/>
      </rPr>
      <t>p</t>
    </r>
    <r>
      <rPr>
        <sz val="10.5"/>
        <rFont val="Times New Roman"/>
        <family val="1"/>
      </rPr>
      <t>.</t>
    </r>
  </si>
  <si>
    <r>
      <t xml:space="preserve">La formula per </t>
    </r>
    <r>
      <rPr>
        <i/>
        <sz val="10.5"/>
        <rFont val="Times New Roman"/>
        <family val="1"/>
      </rPr>
      <t>u</t>
    </r>
    <r>
      <rPr>
        <sz val="10.5"/>
        <rFont val="Times New Roman"/>
        <family val="1"/>
      </rPr>
      <t xml:space="preserve"> non cambia. Il tasso usato per l’attualizzazione non cambia. La formula per </t>
    </r>
    <r>
      <rPr>
        <i/>
        <sz val="10.5"/>
        <rFont val="Times New Roman"/>
        <family val="1"/>
      </rPr>
      <t>p</t>
    </r>
    <r>
      <rPr>
        <sz val="10.5"/>
        <rFont val="Times New Roman"/>
        <family val="1"/>
      </rPr>
      <t xml:space="preserve"> diventa</t>
    </r>
  </si>
  <si>
    <r>
      <t xml:space="preserve">(a) I parametri </t>
    </r>
    <r>
      <rPr>
        <i/>
        <sz val="10.5"/>
        <rFont val="Times New Roman"/>
        <family val="1"/>
      </rPr>
      <t>p</t>
    </r>
    <r>
      <rPr>
        <sz val="10.5"/>
        <rFont val="Times New Roman"/>
        <family val="1"/>
      </rPr>
      <t xml:space="preserve"> e </t>
    </r>
    <r>
      <rPr>
        <i/>
        <sz val="10.5"/>
        <rFont val="Times New Roman"/>
        <family val="1"/>
      </rPr>
      <t>u</t>
    </r>
    <r>
      <rPr>
        <sz val="10.5"/>
        <rFont val="Times New Roman"/>
        <family val="1"/>
      </rPr>
      <t xml:space="preserve"> sono gli stessi in entrambi gli alberi.</t>
    </r>
  </si>
  <si>
    <r>
      <t xml:space="preserve">(b) Il parametro </t>
    </r>
    <r>
      <rPr>
        <i/>
        <sz val="10.5"/>
        <rFont val="Times New Roman"/>
        <family val="1"/>
      </rPr>
      <t>p</t>
    </r>
    <r>
      <rPr>
        <sz val="10.5"/>
        <rFont val="Times New Roman"/>
        <family val="1"/>
      </rPr>
      <t xml:space="preserve"> è lo stesso in entrambi gli alberi, ma il parametro </t>
    </r>
    <r>
      <rPr>
        <i/>
        <sz val="10.5"/>
        <rFont val="Times New Roman"/>
        <family val="1"/>
      </rPr>
      <t>u</t>
    </r>
    <r>
      <rPr>
        <sz val="10.5"/>
        <rFont val="Times New Roman"/>
        <family val="1"/>
      </rPr>
      <t xml:space="preserve"> è diverso.</t>
    </r>
  </si>
  <si>
    <r>
      <t xml:space="preserve">(c) Il parametro </t>
    </r>
    <r>
      <rPr>
        <i/>
        <sz val="10.5"/>
        <rFont val="Times New Roman"/>
        <family val="1"/>
      </rPr>
      <t>u</t>
    </r>
    <r>
      <rPr>
        <sz val="10.5"/>
        <rFont val="Times New Roman"/>
        <family val="1"/>
      </rPr>
      <t xml:space="preserve"> è lo stesso in entrambi gli alberi, ma il parametro </t>
    </r>
    <r>
      <rPr>
        <i/>
        <sz val="10.5"/>
        <rFont val="Times New Roman"/>
        <family val="1"/>
      </rPr>
      <t>p</t>
    </r>
    <r>
      <rPr>
        <sz val="10.5"/>
        <rFont val="Times New Roman"/>
        <family val="1"/>
      </rPr>
      <t xml:space="preserve"> è diverso.</t>
    </r>
  </si>
  <si>
    <r>
      <t xml:space="preserve">Il parametro </t>
    </r>
    <r>
      <rPr>
        <i/>
        <sz val="10.5"/>
        <rFont val="Times New Roman"/>
        <family val="1"/>
      </rPr>
      <t>u</t>
    </r>
    <r>
      <rPr>
        <sz val="10.5"/>
        <rFont val="Times New Roman"/>
        <family val="1"/>
      </rPr>
      <t xml:space="preserve"> è lo stesso in entrambi gli alberi, per cui i prezzi spot dell’indice e quelli dell’azione sono gli stessi. Invece, il parametro </t>
    </r>
    <r>
      <rPr>
        <i/>
        <sz val="10.5"/>
        <rFont val="Times New Roman"/>
        <family val="1"/>
      </rPr>
      <t>p</t>
    </r>
    <r>
      <rPr>
        <sz val="10.5"/>
        <rFont val="Times New Roman"/>
        <family val="1"/>
      </rPr>
      <t xml:space="preserve"> è diverso. Nel primo albero, </t>
    </r>
    <r>
      <rPr>
        <i/>
        <sz val="10.5"/>
        <rFont val="Times New Roman"/>
        <family val="1"/>
      </rPr>
      <t>r</t>
    </r>
    <r>
      <rPr>
        <sz val="10.5"/>
        <rFont val="Times New Roman"/>
        <family val="1"/>
      </rPr>
      <t xml:space="preserve"> viene sostituito da </t>
    </r>
    <r>
      <rPr>
        <i/>
        <sz val="10.5"/>
        <rFont val="Times New Roman"/>
        <family val="1"/>
      </rPr>
      <t>r</t>
    </r>
    <r>
      <rPr>
        <sz val="10.5"/>
        <rFont val="Times New Roman"/>
        <family val="1"/>
      </rPr>
      <t xml:space="preserve"> − </t>
    </r>
    <r>
      <rPr>
        <i/>
        <sz val="10.5"/>
        <rFont val="Times New Roman"/>
        <family val="1"/>
      </rPr>
      <t>q</t>
    </r>
    <r>
      <rPr>
        <sz val="10.5"/>
        <rFont val="Times New Roman"/>
        <family val="1"/>
      </rPr>
      <t>.</t>
    </r>
  </si>
  <si>
    <r>
      <t xml:space="preserve">Se il prezzo dell’azione è molto basso, nessun opzione viene esercitata e il profitto è pari a </t>
    </r>
    <r>
      <rPr>
        <i/>
        <sz val="10.5"/>
        <rFont val="Times New Roman"/>
        <family val="1"/>
      </rPr>
      <t>c</t>
    </r>
    <r>
      <rPr>
        <vertAlign val="subscript"/>
        <sz val="10.5"/>
        <rFont val="Times New Roman"/>
        <family val="1"/>
      </rPr>
      <t>1</t>
    </r>
    <r>
      <rPr>
        <sz val="10.5"/>
        <rFont val="Times New Roman"/>
        <family val="1"/>
      </rPr>
      <t xml:space="preserve"> −2</t>
    </r>
    <r>
      <rPr>
        <i/>
        <sz val="10.5"/>
        <rFont val="Times New Roman"/>
        <family val="1"/>
      </rPr>
      <t>c</t>
    </r>
    <r>
      <rPr>
        <vertAlign val="subscript"/>
        <sz val="10.5"/>
        <rFont val="Times New Roman"/>
        <family val="1"/>
      </rPr>
      <t>2</t>
    </r>
    <r>
      <rPr>
        <sz val="10.5"/>
        <rFont val="Times New Roman"/>
        <family val="1"/>
      </rPr>
      <t xml:space="preserve"> + </t>
    </r>
    <r>
      <rPr>
        <i/>
        <sz val="10.5"/>
        <rFont val="Times New Roman"/>
        <family val="1"/>
      </rPr>
      <t>c</t>
    </r>
    <r>
      <rPr>
        <vertAlign val="subscript"/>
        <sz val="10.5"/>
        <rFont val="Times New Roman"/>
        <family val="1"/>
      </rPr>
      <t>3</t>
    </r>
    <r>
      <rPr>
        <sz val="10.5"/>
        <rFont val="Times New Roman"/>
        <family val="1"/>
      </rPr>
      <t>. Se il prezzo dell’azione è molto alto, tutte le opzioni vengono esercitate. La somma algebrica dei payoffs è nulla e il profitto è lo stesso.</t>
    </r>
  </si>
  <si>
    <r>
      <t xml:space="preserve">Lo zero-coupon bond a 1 anno vale circa $951 (= $1.000 </t>
    </r>
    <r>
      <rPr>
        <i/>
        <sz val="10.5"/>
        <rFont val="Times New Roman"/>
        <family val="1"/>
      </rPr>
      <t>e</t>
    </r>
    <r>
      <rPr>
        <vertAlign val="superscript"/>
        <sz val="10.5"/>
        <rFont val="Times New Roman"/>
        <family val="1"/>
      </rPr>
      <t>−0,05×1</t>
    </r>
    <r>
      <rPr>
        <sz val="10.5"/>
        <rFont val="Times New Roman"/>
        <family val="1"/>
      </rPr>
      <t>). Per acquistare la call, restano quindi $49.</t>
    </r>
  </si>
  <si>
    <r>
      <t xml:space="preserve">Il massimo profitto viene realizzato quando il prezzo dell’azione è </t>
    </r>
    <r>
      <rPr>
        <i/>
        <sz val="10.5"/>
        <rFont val="Times New Roman"/>
        <family val="1"/>
      </rPr>
      <t>S</t>
    </r>
    <r>
      <rPr>
        <i/>
        <vertAlign val="subscript"/>
        <sz val="10.5"/>
        <rFont val="Times New Roman"/>
        <family val="1"/>
      </rPr>
      <t>T</t>
    </r>
    <r>
      <rPr>
        <sz val="10.5"/>
        <rFont val="Times New Roman"/>
        <family val="1"/>
      </rPr>
      <t xml:space="preserve"> ≥ $40. In tal caso, il payoff complessivo  pari a $500. Pertanto, il massimo profitto che si può realizzare è pari a $300 (= $500 − $200).</t>
    </r>
  </si>
  <si>
    <r>
      <t>Il limite inferiore è pari a max(</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0). In questo caso è pari a $5,98.</t>
    </r>
  </si>
  <si>
    <r>
      <t>Il limite inferiore è pari a max(</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0). In questo caso è pari a $0,86.</t>
    </r>
  </si>
  <si>
    <r>
      <t xml:space="preserve">In base alla put-call parity si ha </t>
    </r>
    <r>
      <rPr>
        <i/>
        <sz val="10.5"/>
        <rFont val="Times New Roman"/>
        <family val="1"/>
      </rPr>
      <t>c</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t>
    </r>
  </si>
  <si>
    <r>
      <t xml:space="preserve">In base alla put-call parity si ha </t>
    </r>
    <r>
      <rPr>
        <i/>
        <sz val="10.5"/>
        <rFont val="Times New Roman"/>
        <family val="1"/>
      </rPr>
      <t>c</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 da cui </t>
    </r>
    <r>
      <rPr>
        <i/>
        <sz val="10.5"/>
        <rFont val="Times New Roman"/>
        <family val="1"/>
      </rPr>
      <t>p</t>
    </r>
    <r>
      <rPr>
        <sz val="10.5"/>
        <rFont val="Times New Roman"/>
        <family val="1"/>
      </rPr>
      <t xml:space="preserve"> = </t>
    </r>
    <r>
      <rPr>
        <i/>
        <sz val="10.5"/>
        <rFont val="Times New Roman"/>
        <family val="1"/>
      </rPr>
      <t>c</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In questo caso, </t>
    </r>
    <r>
      <rPr>
        <i/>
        <sz val="10.5"/>
        <rFont val="Times New Roman"/>
        <family val="1"/>
      </rPr>
      <t>S</t>
    </r>
    <r>
      <rPr>
        <vertAlign val="subscript"/>
        <sz val="10.5"/>
        <rFont val="Times New Roman"/>
        <family val="1"/>
      </rPr>
      <t>0</t>
    </r>
    <r>
      <rPr>
        <sz val="10.5"/>
        <rFont val="Times New Roman"/>
        <family val="1"/>
      </rPr>
      <t xml:space="preserve"> = $51, </t>
    </r>
    <r>
      <rPr>
        <i/>
        <sz val="10.5"/>
        <rFont val="Times New Roman"/>
        <family val="1"/>
      </rPr>
      <t>K</t>
    </r>
    <r>
      <rPr>
        <sz val="10.5"/>
        <rFont val="Times New Roman"/>
        <family val="1"/>
      </rPr>
      <t xml:space="preserve"> = $50, </t>
    </r>
    <r>
      <rPr>
        <i/>
        <sz val="10.5"/>
        <rFont val="Times New Roman"/>
        <family val="1"/>
      </rPr>
      <t>T</t>
    </r>
    <r>
      <rPr>
        <sz val="10.5"/>
        <rFont val="Times New Roman"/>
        <family val="1"/>
      </rPr>
      <t xml:space="preserve"> = 1, </t>
    </r>
    <r>
      <rPr>
        <i/>
        <sz val="10.5"/>
        <rFont val="Times New Roman"/>
        <family val="1"/>
      </rPr>
      <t>r</t>
    </r>
    <r>
      <rPr>
        <sz val="10.5"/>
        <rFont val="Times New Roman"/>
        <family val="1"/>
      </rPr>
      <t xml:space="preserve"> = 0,06 e </t>
    </r>
    <r>
      <rPr>
        <i/>
        <sz val="10.5"/>
        <rFont val="Times New Roman"/>
        <family val="1"/>
      </rPr>
      <t>c</t>
    </r>
    <r>
      <rPr>
        <sz val="10.5"/>
        <rFont val="Times New Roman"/>
        <family val="1"/>
      </rPr>
      <t xml:space="preserve"> = $6. Pertanto, </t>
    </r>
    <r>
      <rPr>
        <i/>
        <sz val="10.5"/>
        <rFont val="Times New Roman"/>
        <family val="1"/>
      </rPr>
      <t>p</t>
    </r>
    <r>
      <rPr>
        <sz val="10.5"/>
        <rFont val="Times New Roman"/>
        <family val="1"/>
      </rPr>
      <t xml:space="preserve"> = $2,09.</t>
    </r>
  </si>
  <si>
    <r>
      <t xml:space="preserve">In base alla put-call parity si ha </t>
    </r>
    <r>
      <rPr>
        <i/>
        <sz val="10.5"/>
        <rFont val="Times New Roman"/>
        <family val="1"/>
      </rPr>
      <t>c</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t>
    </r>
    <r>
      <rPr>
        <vertAlign val="subscript"/>
        <sz val="10.5"/>
        <rFont val="Times New Roman"/>
        <family val="1"/>
      </rPr>
      <t xml:space="preserve"> </t>
    </r>
    <r>
      <rPr>
        <i/>
        <sz val="10.5"/>
        <rFont val="Times New Roman"/>
        <family val="1"/>
      </rPr>
      <t>D</t>
    </r>
    <r>
      <rPr>
        <sz val="10.5"/>
        <rFont val="Times New Roman"/>
        <family val="1"/>
      </rPr>
      <t xml:space="preserve">, da cui </t>
    </r>
    <r>
      <rPr>
        <i/>
        <sz val="10.5"/>
        <rFont val="Times New Roman"/>
        <family val="1"/>
      </rPr>
      <t>p</t>
    </r>
    <r>
      <rPr>
        <sz val="10.5"/>
        <rFont val="Times New Roman"/>
        <family val="1"/>
      </rPr>
      <t xml:space="preserve"> = </t>
    </r>
    <r>
      <rPr>
        <i/>
        <sz val="10.5"/>
        <rFont val="Times New Roman"/>
        <family val="1"/>
      </rPr>
      <t>c</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xml:space="preserve"> </t>
    </r>
    <r>
      <rPr>
        <sz val="10.5"/>
        <rFont val="Times New Roman"/>
        <family val="1"/>
      </rPr>
      <t>−</t>
    </r>
    <r>
      <rPr>
        <sz val="10.5"/>
        <rFont val="Times New Roman"/>
        <family val="1"/>
      </rPr>
      <t xml:space="preserve"> </t>
    </r>
    <r>
      <rPr>
        <i/>
        <sz val="10.5"/>
        <rFont val="Times New Roman"/>
        <family val="1"/>
      </rPr>
      <t>D)</t>
    </r>
    <r>
      <rPr>
        <sz val="10.5"/>
        <rFont val="Times New Roman"/>
        <family val="1"/>
      </rPr>
      <t xml:space="preserve"> + </t>
    </r>
    <r>
      <rPr>
        <i/>
        <sz val="10.5"/>
        <rFont val="Times New Roman"/>
        <family val="1"/>
      </rPr>
      <t>Ke</t>
    </r>
    <r>
      <rPr>
        <vertAlign val="superscript"/>
        <sz val="10.5"/>
        <rFont val="Times New Roman"/>
        <family val="1"/>
      </rPr>
      <t>−</t>
    </r>
    <r>
      <rPr>
        <i/>
        <vertAlign val="superscript"/>
        <sz val="10.5"/>
        <rFont val="Times New Roman"/>
        <family val="1"/>
      </rPr>
      <t>rT</t>
    </r>
    <r>
      <rPr>
        <sz val="10.5"/>
        <rFont val="Times New Roman"/>
        <family val="1"/>
      </rPr>
      <t xml:space="preserve">. In questo caso, </t>
    </r>
    <r>
      <rPr>
        <i/>
        <sz val="10.5"/>
        <rFont val="Times New Roman"/>
        <family val="1"/>
      </rPr>
      <t>S</t>
    </r>
    <r>
      <rPr>
        <vertAlign val="subscript"/>
        <sz val="10.5"/>
        <rFont val="Times New Roman"/>
        <family val="1"/>
      </rPr>
      <t>0</t>
    </r>
    <r>
      <rPr>
        <sz val="10.5"/>
        <rFont val="Times New Roman"/>
        <family val="1"/>
      </rPr>
      <t xml:space="preserve"> = $51, </t>
    </r>
    <r>
      <rPr>
        <i/>
        <sz val="10.5"/>
        <rFont val="Times New Roman"/>
        <family val="1"/>
      </rPr>
      <t>K</t>
    </r>
    <r>
      <rPr>
        <sz val="10.5"/>
        <rFont val="Times New Roman"/>
        <family val="1"/>
      </rPr>
      <t xml:space="preserve"> = $50, </t>
    </r>
    <r>
      <rPr>
        <i/>
        <sz val="10.5"/>
        <rFont val="Times New Roman"/>
        <family val="1"/>
      </rPr>
      <t>T</t>
    </r>
    <r>
      <rPr>
        <sz val="10.5"/>
        <rFont val="Times New Roman"/>
        <family val="1"/>
      </rPr>
      <t xml:space="preserve"> = 1, </t>
    </r>
    <r>
      <rPr>
        <i/>
        <sz val="10.5"/>
        <rFont val="Times New Roman"/>
        <family val="1"/>
      </rPr>
      <t>r</t>
    </r>
    <r>
      <rPr>
        <sz val="10.5"/>
        <rFont val="Times New Roman"/>
        <family val="1"/>
      </rPr>
      <t xml:space="preserve"> = 0,06, </t>
    </r>
    <r>
      <rPr>
        <i/>
        <sz val="10.5"/>
        <rFont val="Times New Roman"/>
        <family val="1"/>
      </rPr>
      <t>c</t>
    </r>
    <r>
      <rPr>
        <sz val="10.5"/>
        <rFont val="Times New Roman"/>
        <family val="1"/>
      </rPr>
      <t xml:space="preserve"> = $6 e </t>
    </r>
    <r>
      <rPr>
        <i/>
        <sz val="10.5"/>
        <rFont val="Times New Roman"/>
        <family val="1"/>
      </rPr>
      <t>D</t>
    </r>
    <r>
      <rPr>
        <sz val="10.5"/>
        <rFont val="Times New Roman"/>
        <family val="1"/>
      </rPr>
      <t xml:space="preserve"> = $1</t>
    </r>
    <r>
      <rPr>
        <i/>
        <sz val="10.5"/>
        <rFont val="Times New Roman"/>
        <family val="1"/>
      </rPr>
      <t>e</t>
    </r>
    <r>
      <rPr>
        <vertAlign val="superscript"/>
        <sz val="10.5"/>
        <rFont val="Times New Roman"/>
        <family val="1"/>
      </rPr>
      <t>−0,06×0,5</t>
    </r>
    <r>
      <rPr>
        <sz val="10.5"/>
        <rFont val="Times New Roman"/>
        <family val="1"/>
      </rPr>
      <t xml:space="preserve">. Pertanto, </t>
    </r>
    <r>
      <rPr>
        <i/>
        <sz val="10.5"/>
        <rFont val="Times New Roman"/>
        <family val="1"/>
      </rPr>
      <t>p</t>
    </r>
    <r>
      <rPr>
        <sz val="10.5"/>
        <rFont val="Times New Roman"/>
        <family val="1"/>
      </rPr>
      <t xml:space="preserve"> = $3,06.</t>
    </r>
  </si>
  <si>
    <r>
      <t>c</t>
    </r>
    <r>
      <rPr>
        <vertAlign val="subscript"/>
        <sz val="10.5"/>
        <rFont val="Times New Roman"/>
        <family val="1"/>
      </rPr>
      <t>1</t>
    </r>
  </si>
  <si>
    <r>
      <t>p</t>
    </r>
    <r>
      <rPr>
        <vertAlign val="subscript"/>
        <sz val="10.5"/>
        <rFont val="Times New Roman"/>
        <family val="1"/>
      </rPr>
      <t>1</t>
    </r>
  </si>
  <si>
    <r>
      <t>c</t>
    </r>
    <r>
      <rPr>
        <vertAlign val="subscript"/>
        <sz val="10.5"/>
        <rFont val="Times New Roman"/>
        <family val="1"/>
      </rPr>
      <t>2</t>
    </r>
  </si>
  <si>
    <r>
      <t>p</t>
    </r>
    <r>
      <rPr>
        <vertAlign val="subscript"/>
        <sz val="10.5"/>
        <rFont val="Times New Roman"/>
        <family val="1"/>
      </rPr>
      <t>2</t>
    </r>
  </si>
  <si>
    <r>
      <t xml:space="preserve">Dato che i tassi d’interesse sono nulli, si ha </t>
    </r>
    <r>
      <rPr>
        <i/>
        <sz val="10.5"/>
        <rFont val="Times New Roman"/>
        <family val="1"/>
      </rPr>
      <t>c</t>
    </r>
    <r>
      <rPr>
        <sz val="10.5"/>
        <rFont val="Times New Roman"/>
        <family val="1"/>
      </rPr>
      <t xml:space="preserve"> + </t>
    </r>
    <r>
      <rPr>
        <i/>
        <sz val="10.5"/>
        <rFont val="Times New Roman"/>
        <family val="1"/>
      </rPr>
      <t>K</t>
    </r>
    <r>
      <rPr>
        <sz val="10.5"/>
        <rFont val="Times New Roman"/>
        <family val="1"/>
      </rPr>
      <t xml:space="preserve"> = </t>
    </r>
    <r>
      <rPr>
        <i/>
        <sz val="10.5"/>
        <rFont val="Times New Roman"/>
        <family val="1"/>
      </rPr>
      <t>p</t>
    </r>
    <r>
      <rPr>
        <sz val="10.5"/>
        <rFont val="Times New Roman"/>
        <family val="1"/>
      </rPr>
      <t xml:space="preserve"> + </t>
    </r>
    <r>
      <rPr>
        <i/>
        <sz val="10.5"/>
        <rFont val="Times New Roman"/>
        <family val="1"/>
      </rPr>
      <t>S</t>
    </r>
    <r>
      <rPr>
        <vertAlign val="subscript"/>
        <sz val="10.5"/>
        <rFont val="Times New Roman"/>
        <family val="1"/>
      </rPr>
      <t>0</t>
    </r>
    <r>
      <rPr>
        <sz val="10.5"/>
        <rFont val="Times New Roman"/>
        <family val="1"/>
      </rPr>
      <t>. Il lato sinistro della put-call parity è pari a $56 (= $6 + $50). Anche il lato destro è pari a $56 (= $7 + $49). Non ci sono errori di valutazione.</t>
    </r>
  </si>
  <si>
    <r>
      <t>p + S</t>
    </r>
    <r>
      <rPr>
        <vertAlign val="subscript"/>
        <sz val="10.5"/>
        <rFont val="Times New Roman"/>
        <family val="1"/>
      </rPr>
      <t>0</t>
    </r>
  </si>
  <si>
    <r>
      <t>N</t>
    </r>
    <r>
      <rPr>
        <vertAlign val="subscript"/>
        <sz val="10.5"/>
        <rFont val="Times New Roman"/>
        <family val="1"/>
      </rPr>
      <t>put</t>
    </r>
  </si>
  <si>
    <r>
      <t>n</t>
    </r>
    <r>
      <rPr>
        <vertAlign val="subscript"/>
        <sz val="10.5"/>
        <rFont val="Times New Roman"/>
        <family val="1"/>
      </rPr>
      <t>1</t>
    </r>
  </si>
  <si>
    <r>
      <t>m</t>
    </r>
    <r>
      <rPr>
        <vertAlign val="subscript"/>
        <sz val="10.5"/>
        <rFont val="Times New Roman"/>
        <family val="1"/>
      </rPr>
      <t>1</t>
    </r>
  </si>
  <si>
    <r>
      <t>Sommando algebricamente i payoffs delle due opzioni si vede che la risposta corretta è quella sub (a): max(</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0) − max(</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T</t>
    </r>
    <r>
      <rPr>
        <sz val="10.5"/>
        <rFont val="Times New Roman"/>
        <family val="1"/>
      </rPr>
      <t>, 0) = max(</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0) + min(</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xml:space="preserve">, 0) = </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t>
    </r>
  </si>
  <si>
    <r>
      <t>PV(EL</t>
    </r>
    <r>
      <rPr>
        <vertAlign val="subscript"/>
        <sz val="10.5"/>
        <rFont val="Times New Roman"/>
        <family val="1"/>
      </rPr>
      <t>1</t>
    </r>
    <r>
      <rPr>
        <sz val="10.5"/>
        <rFont val="Times New Roman"/>
        <family val="1"/>
      </rPr>
      <t>)</t>
    </r>
  </si>
  <si>
    <r>
      <t>PV(EL</t>
    </r>
    <r>
      <rPr>
        <vertAlign val="subscript"/>
        <sz val="10.5"/>
        <rFont val="Times New Roman"/>
        <family val="1"/>
      </rPr>
      <t>2</t>
    </r>
    <r>
      <rPr>
        <sz val="10.5"/>
        <rFont val="Times New Roman"/>
        <family val="1"/>
      </rPr>
      <t>)</t>
    </r>
  </si>
  <si>
    <r>
      <t>PD</t>
    </r>
    <r>
      <rPr>
        <vertAlign val="subscript"/>
        <sz val="10.5"/>
        <rFont val="Times New Roman"/>
        <family val="1"/>
      </rPr>
      <t>1</t>
    </r>
  </si>
  <si>
    <r>
      <t>PD</t>
    </r>
    <r>
      <rPr>
        <vertAlign val="subscript"/>
        <sz val="10.5"/>
        <rFont val="Times New Roman"/>
        <family val="1"/>
      </rPr>
      <t>2</t>
    </r>
    <r>
      <rPr>
        <sz val="10.5"/>
        <color theme="1"/>
        <rFont val="Times New Roman"/>
        <family val="1"/>
      </rPr>
      <t/>
    </r>
  </si>
  <si>
    <r>
      <rPr>
        <i/>
        <sz val="10.5"/>
        <rFont val="Times New Roman"/>
        <family val="1"/>
      </rPr>
      <t>V</t>
    </r>
    <r>
      <rPr>
        <vertAlign val="subscript"/>
        <sz val="10.5"/>
        <rFont val="Times New Roman"/>
        <family val="1"/>
      </rPr>
      <t>1</t>
    </r>
  </si>
  <si>
    <r>
      <rPr>
        <i/>
        <sz val="10.5"/>
        <rFont val="Times New Roman"/>
        <family val="1"/>
      </rPr>
      <t>V</t>
    </r>
    <r>
      <rPr>
        <vertAlign val="subscript"/>
        <sz val="10.5"/>
        <rFont val="Times New Roman"/>
        <family val="1"/>
      </rPr>
      <t>2</t>
    </r>
    <r>
      <rPr>
        <sz val="10.5"/>
        <color theme="1"/>
        <rFont val="Times New Roman"/>
        <family val="1"/>
      </rPr>
      <t/>
    </r>
  </si>
  <si>
    <r>
      <rPr>
        <i/>
        <sz val="10.5"/>
        <rFont val="Times New Roman"/>
        <family val="1"/>
      </rPr>
      <t>V</t>
    </r>
    <r>
      <rPr>
        <vertAlign val="subscript"/>
        <sz val="10.5"/>
        <rFont val="Times New Roman"/>
        <family val="1"/>
      </rPr>
      <t>3</t>
    </r>
    <r>
      <rPr>
        <sz val="10.5"/>
        <color theme="1"/>
        <rFont val="Times New Roman"/>
        <family val="1"/>
      </rPr>
      <t/>
    </r>
  </si>
  <si>
    <r>
      <t xml:space="preserve">(b) La fissazione di un tetto al </t>
    </r>
    <r>
      <rPr>
        <i/>
        <sz val="10.5"/>
        <rFont val="Times New Roman"/>
        <family val="1"/>
      </rPr>
      <t xml:space="preserve">loan-to-value ratio </t>
    </r>
    <r>
      <rPr>
        <sz val="10.5"/>
        <rFont val="Times New Roman"/>
        <family val="1"/>
      </rPr>
      <t>dei mutui da parte delle autorità di vigilanza.</t>
    </r>
  </si>
  <si>
    <r>
      <t xml:space="preserve">(c) La riduzione del livello minimo del FICO </t>
    </r>
    <r>
      <rPr>
        <i/>
        <sz val="10.5"/>
        <rFont val="Times New Roman"/>
        <family val="1"/>
      </rPr>
      <t>score</t>
    </r>
    <r>
      <rPr>
        <sz val="10.5"/>
        <rFont val="Times New Roman"/>
        <family val="1"/>
      </rPr>
      <t xml:space="preserve"> richiesto dalle banche per la concessione dei mutui.</t>
    </r>
  </si>
  <si>
    <r>
      <t>8.2. Solo una delle seguenti affermazioni sui mutui «senza rivalsa» (</t>
    </r>
    <r>
      <rPr>
        <b/>
        <i/>
        <sz val="10.5"/>
        <rFont val="Times New Roman"/>
        <family val="1"/>
      </rPr>
      <t>non-recourse</t>
    </r>
    <r>
      <rPr>
        <b/>
        <sz val="10.5"/>
        <rFont val="Times New Roman"/>
        <family val="1"/>
      </rPr>
      <t>) è esatta. Quale?</t>
    </r>
  </si>
  <si>
    <r>
      <t xml:space="preserve">8.3. Solo una delle seguenti affermazioni </t>
    </r>
    <r>
      <rPr>
        <b/>
        <u/>
        <sz val="10.5"/>
        <rFont val="Times New Roman"/>
        <family val="1"/>
      </rPr>
      <t>non</t>
    </r>
    <r>
      <rPr>
        <b/>
        <sz val="10.5"/>
        <rFont val="Times New Roman"/>
        <family val="1"/>
      </rPr>
      <t xml:space="preserve"> è corretta Quale?</t>
    </r>
  </si>
  <si>
    <r>
      <t xml:space="preserve">(a) La struttura dei </t>
    </r>
    <r>
      <rPr>
        <i/>
        <sz val="10.5"/>
        <rFont val="Times New Roman"/>
        <family val="1"/>
      </rPr>
      <t>bonus</t>
    </r>
    <r>
      <rPr>
        <sz val="10.5"/>
        <rFont val="Times New Roman"/>
        <family val="1"/>
      </rPr>
      <t xml:space="preserve"> può indurre i dipendenti delle banche a prendere decisioni in un’ottica di breve termine.</t>
    </r>
  </si>
  <si>
    <r>
      <t xml:space="preserve">Il portafoglio di mutui </t>
    </r>
    <r>
      <rPr>
        <b/>
        <i/>
        <sz val="10.5"/>
        <rFont val="Times New Roman"/>
        <family val="1"/>
      </rPr>
      <t>subprime</t>
    </r>
    <r>
      <rPr>
        <b/>
        <sz val="10.5"/>
        <rFont val="Times New Roman"/>
        <family val="1"/>
      </rPr>
      <t xml:space="preserve"> subisce perdite pari al 16% del capitale. </t>
    </r>
  </si>
  <si>
    <r>
      <t>L</t>
    </r>
    <r>
      <rPr>
        <i/>
        <vertAlign val="subscript"/>
        <sz val="10.5"/>
        <rFont val="Times New Roman"/>
        <family val="1"/>
      </rPr>
      <t>S</t>
    </r>
    <r>
      <rPr>
        <sz val="10.5"/>
        <rFont val="Times New Roman"/>
        <family val="1"/>
      </rPr>
      <t xml:space="preserve"> / </t>
    </r>
    <r>
      <rPr>
        <i/>
        <sz val="10.5"/>
        <rFont val="Times New Roman"/>
        <family val="1"/>
      </rPr>
      <t>L</t>
    </r>
  </si>
  <si>
    <r>
      <t>L</t>
    </r>
    <r>
      <rPr>
        <i/>
        <vertAlign val="subscript"/>
        <sz val="10.5"/>
        <rFont val="Times New Roman"/>
        <family val="1"/>
      </rPr>
      <t>M</t>
    </r>
    <r>
      <rPr>
        <sz val="10.5"/>
        <rFont val="Times New Roman"/>
        <family val="1"/>
      </rPr>
      <t xml:space="preserve"> / </t>
    </r>
    <r>
      <rPr>
        <i/>
        <sz val="10.5"/>
        <rFont val="Times New Roman"/>
        <family val="1"/>
      </rPr>
      <t>L</t>
    </r>
  </si>
  <si>
    <r>
      <t>L</t>
    </r>
    <r>
      <rPr>
        <i/>
        <vertAlign val="subscript"/>
        <sz val="10.5"/>
        <rFont val="Times New Roman"/>
        <family val="1"/>
      </rPr>
      <t>E</t>
    </r>
    <r>
      <rPr>
        <sz val="10.5"/>
        <rFont val="Times New Roman"/>
        <family val="1"/>
      </rPr>
      <t xml:space="preserve"> / </t>
    </r>
    <r>
      <rPr>
        <i/>
        <sz val="10.5"/>
        <rFont val="Times New Roman"/>
        <family val="1"/>
      </rPr>
      <t>L</t>
    </r>
  </si>
  <si>
    <r>
      <t xml:space="preserve">Viene poi creata una ABS CDO sulla base delle mezzanine </t>
    </r>
    <r>
      <rPr>
        <b/>
        <i/>
        <sz val="10.5"/>
        <rFont val="Times New Roman"/>
        <family val="1"/>
      </rPr>
      <t xml:space="preserve">tranches </t>
    </r>
    <r>
      <rPr>
        <b/>
        <sz val="10.5"/>
        <rFont val="Times New Roman"/>
        <family val="1"/>
      </rPr>
      <t xml:space="preserve">dell’ABS. </t>
    </r>
  </si>
  <si>
    <r>
      <t xml:space="preserve">L’allocazione del capitale alle singole </t>
    </r>
    <r>
      <rPr>
        <b/>
        <i/>
        <sz val="10.5"/>
        <rFont val="Times New Roman"/>
        <family val="1"/>
      </rPr>
      <t>tranches</t>
    </r>
    <r>
      <rPr>
        <b/>
        <sz val="10.5"/>
        <rFont val="Times New Roman"/>
        <family val="1"/>
      </rPr>
      <t xml:space="preserve"> dell’ABS CDO è uguale a quella degli ABSs. </t>
    </r>
  </si>
  <si>
    <r>
      <t xml:space="preserve">In percentuale del capitale della </t>
    </r>
    <r>
      <rPr>
        <b/>
        <i/>
        <sz val="10.5"/>
        <rFont val="Times New Roman"/>
        <family val="1"/>
      </rPr>
      <t>tranche,</t>
    </r>
    <r>
      <rPr>
        <b/>
        <sz val="10.5"/>
        <rFont val="Times New Roman"/>
        <family val="1"/>
      </rPr>
      <t xml:space="preserve"> quali sono le perdite per la mezzanine tranche dell’ABS CDO?</t>
    </r>
  </si>
  <si>
    <r>
      <t>L</t>
    </r>
    <r>
      <rPr>
        <i/>
        <vertAlign val="subscript"/>
        <sz val="10.5"/>
        <rFont val="Times New Roman"/>
        <family val="1"/>
      </rPr>
      <t>ABS CDO, S</t>
    </r>
    <r>
      <rPr>
        <i/>
        <sz val="10.5"/>
        <rFont val="Times New Roman"/>
        <family val="1"/>
      </rPr>
      <t xml:space="preserve"> / L</t>
    </r>
    <r>
      <rPr>
        <i/>
        <vertAlign val="subscript"/>
        <sz val="10.5"/>
        <rFont val="Times New Roman"/>
        <family val="1"/>
      </rPr>
      <t>ABS CDO</t>
    </r>
  </si>
  <si>
    <r>
      <t>L</t>
    </r>
    <r>
      <rPr>
        <i/>
        <vertAlign val="subscript"/>
        <sz val="10.5"/>
        <rFont val="Times New Roman"/>
        <family val="1"/>
      </rPr>
      <t>ABS CDO, M</t>
    </r>
    <r>
      <rPr>
        <i/>
        <sz val="10.5"/>
        <rFont val="Times New Roman"/>
        <family val="1"/>
      </rPr>
      <t xml:space="preserve"> / L</t>
    </r>
    <r>
      <rPr>
        <i/>
        <vertAlign val="subscript"/>
        <sz val="10.5"/>
        <rFont val="Times New Roman"/>
        <family val="1"/>
      </rPr>
      <t>ABS CDO</t>
    </r>
  </si>
  <si>
    <r>
      <t>L</t>
    </r>
    <r>
      <rPr>
        <i/>
        <vertAlign val="subscript"/>
        <sz val="10.5"/>
        <rFont val="Times New Roman"/>
        <family val="1"/>
      </rPr>
      <t>ABS CDO, E</t>
    </r>
    <r>
      <rPr>
        <i/>
        <sz val="10.5"/>
        <rFont val="Times New Roman"/>
        <family val="1"/>
      </rPr>
      <t>/ L</t>
    </r>
    <r>
      <rPr>
        <i/>
        <vertAlign val="subscript"/>
        <sz val="10.5"/>
        <rFont val="Times New Roman"/>
        <family val="1"/>
      </rPr>
      <t>ABS CDO</t>
    </r>
  </si>
  <si>
    <r>
      <t>L</t>
    </r>
    <r>
      <rPr>
        <i/>
        <vertAlign val="subscript"/>
        <sz val="10.5"/>
        <rFont val="Times New Roman"/>
        <family val="1"/>
      </rPr>
      <t>ABS CDO, S</t>
    </r>
    <r>
      <rPr>
        <i/>
        <sz val="10.5"/>
        <rFont val="Times New Roman"/>
        <family val="1"/>
      </rPr>
      <t xml:space="preserve"> / L</t>
    </r>
  </si>
  <si>
    <r>
      <t>L</t>
    </r>
    <r>
      <rPr>
        <i/>
        <vertAlign val="subscript"/>
        <sz val="10.5"/>
        <rFont val="Times New Roman"/>
        <family val="1"/>
      </rPr>
      <t>ABS CDO, M</t>
    </r>
    <r>
      <rPr>
        <i/>
        <sz val="10.5"/>
        <rFont val="Times New Roman"/>
        <family val="1"/>
      </rPr>
      <t xml:space="preserve"> / L</t>
    </r>
  </si>
  <si>
    <r>
      <t>L</t>
    </r>
    <r>
      <rPr>
        <i/>
        <vertAlign val="subscript"/>
        <sz val="10.5"/>
        <rFont val="Times New Roman"/>
        <family val="1"/>
      </rPr>
      <t>ABS CDO, E</t>
    </r>
    <r>
      <rPr>
        <i/>
        <sz val="10.5"/>
        <rFont val="Times New Roman"/>
        <family val="1"/>
      </rPr>
      <t xml:space="preserve"> / L</t>
    </r>
  </si>
  <si>
    <r>
      <t>L</t>
    </r>
    <r>
      <rPr>
        <i/>
        <vertAlign val="subscript"/>
        <sz val="10.5"/>
        <rFont val="Times New Roman"/>
        <family val="1"/>
      </rPr>
      <t>S</t>
    </r>
    <r>
      <rPr>
        <sz val="10.5"/>
        <rFont val="Times New Roman"/>
        <family val="1"/>
      </rPr>
      <t xml:space="preserve">/ </t>
    </r>
    <r>
      <rPr>
        <i/>
        <sz val="10.5"/>
        <rFont val="Times New Roman"/>
        <family val="1"/>
      </rPr>
      <t>L</t>
    </r>
    <r>
      <rPr>
        <sz val="10.5"/>
        <rFont val="Times New Roman"/>
        <family val="1"/>
      </rPr>
      <t xml:space="preserve"> + </t>
    </r>
    <r>
      <rPr>
        <i/>
        <sz val="10.5"/>
        <rFont val="Times New Roman"/>
        <family val="1"/>
      </rPr>
      <t>L</t>
    </r>
    <r>
      <rPr>
        <i/>
        <vertAlign val="subscript"/>
        <sz val="10.5"/>
        <rFont val="Times New Roman"/>
        <family val="1"/>
      </rPr>
      <t>ABS CDO, S</t>
    </r>
    <r>
      <rPr>
        <sz val="10.5"/>
        <rFont val="Times New Roman"/>
        <family val="1"/>
      </rPr>
      <t xml:space="preserve"> / </t>
    </r>
    <r>
      <rPr>
        <i/>
        <sz val="10.5"/>
        <rFont val="Times New Roman"/>
        <family val="1"/>
      </rPr>
      <t>L</t>
    </r>
  </si>
  <si>
    <r>
      <t xml:space="preserve">Viene poi creata una ABS CDO sulla base delle mezzanine </t>
    </r>
    <r>
      <rPr>
        <b/>
        <i/>
        <sz val="10.5"/>
        <rFont val="Times New Roman"/>
        <family val="1"/>
      </rPr>
      <t>tranches.</t>
    </r>
    <r>
      <rPr>
        <b/>
        <sz val="10.5"/>
        <rFont val="Times New Roman"/>
        <family val="1"/>
      </rPr>
      <t xml:space="preserve"> </t>
    </r>
  </si>
  <si>
    <r>
      <t xml:space="preserve">In percentuale del capitale della </t>
    </r>
    <r>
      <rPr>
        <b/>
        <i/>
        <sz val="10.5"/>
        <rFont val="Times New Roman"/>
        <family val="1"/>
      </rPr>
      <t>tranche,</t>
    </r>
    <r>
      <rPr>
        <b/>
        <sz val="10.5"/>
        <rFont val="Times New Roman"/>
        <family val="1"/>
      </rPr>
      <t xml:space="preserve"> quali sono le perdite per la senior tranche dell’ABS CDO?</t>
    </r>
  </si>
  <si>
    <r>
      <t>R</t>
    </r>
    <r>
      <rPr>
        <i/>
        <vertAlign val="subscript"/>
        <sz val="10.5"/>
        <rFont val="Times New Roman"/>
        <family val="1"/>
      </rPr>
      <t>fl</t>
    </r>
  </si>
  <si>
    <r>
      <t>R</t>
    </r>
    <r>
      <rPr>
        <i/>
        <vertAlign val="subscript"/>
        <sz val="10.5"/>
        <rFont val="Times New Roman"/>
        <family val="1"/>
      </rPr>
      <t>swap</t>
    </r>
  </si>
  <si>
    <r>
      <t>R</t>
    </r>
    <r>
      <rPr>
        <i/>
        <vertAlign val="subscript"/>
        <sz val="10.5"/>
        <rFont val="Times New Roman"/>
        <family val="1"/>
      </rPr>
      <t>fx</t>
    </r>
  </si>
  <si>
    <r>
      <t xml:space="preserve">(a) Di solito, nei </t>
    </r>
    <r>
      <rPr>
        <i/>
        <sz val="10.5"/>
        <rFont val="Times New Roman"/>
        <family val="1"/>
      </rPr>
      <t>currency swap</t>
    </r>
    <r>
      <rPr>
        <sz val="10.5"/>
        <rFont val="Times New Roman"/>
        <family val="1"/>
      </rPr>
      <t>s non si scambiano i capitali.</t>
    </r>
  </si>
  <si>
    <r>
      <t xml:space="preserve">(b) Di solito, nei </t>
    </r>
    <r>
      <rPr>
        <i/>
        <sz val="10.5"/>
        <rFont val="Times New Roman"/>
        <family val="1"/>
      </rPr>
      <t>currency swaps</t>
    </r>
    <r>
      <rPr>
        <sz val="10.5"/>
        <rFont val="Times New Roman"/>
        <family val="1"/>
      </rPr>
      <t xml:space="preserve"> i capitali viaggiano nella direzione opposta degli interessi all’inizio e nella stessa direzione degli interessi alla fine.</t>
    </r>
  </si>
  <si>
    <r>
      <t xml:space="preserve">(c) Di solito, nei </t>
    </r>
    <r>
      <rPr>
        <i/>
        <sz val="10.5"/>
        <rFont val="Times New Roman"/>
        <family val="1"/>
      </rPr>
      <t xml:space="preserve">currency swaps </t>
    </r>
    <r>
      <rPr>
        <sz val="10.5"/>
        <rFont val="Times New Roman"/>
        <family val="1"/>
      </rPr>
      <t>i capitali viaggiano nella stessa direzione degli interessi all’inizio e nella direzione opposta degli interessi alla fine.</t>
    </r>
  </si>
  <si>
    <r>
      <t xml:space="preserve">(d)  Di solito, nei </t>
    </r>
    <r>
      <rPr>
        <i/>
        <sz val="10.5"/>
        <rFont val="Times New Roman"/>
        <family val="1"/>
      </rPr>
      <t>currency swaps</t>
    </r>
    <r>
      <rPr>
        <sz val="10.5"/>
        <rFont val="Times New Roman"/>
        <family val="1"/>
      </rPr>
      <t xml:space="preserve"> non si specificano i capitali.</t>
    </r>
  </si>
  <si>
    <r>
      <t>t</t>
    </r>
    <r>
      <rPr>
        <i/>
        <vertAlign val="subscript"/>
        <sz val="10.5"/>
        <rFont val="Times New Roman"/>
        <family val="1"/>
      </rPr>
      <t>1</t>
    </r>
  </si>
  <si>
    <r>
      <t>t</t>
    </r>
    <r>
      <rPr>
        <i/>
        <vertAlign val="subscript"/>
        <sz val="10.5"/>
        <rFont val="Times New Roman"/>
        <family val="1"/>
      </rPr>
      <t>2</t>
    </r>
  </si>
  <si>
    <r>
      <t>t</t>
    </r>
    <r>
      <rPr>
        <i/>
        <vertAlign val="subscript"/>
        <sz val="10.5"/>
        <rFont val="Times New Roman"/>
        <family val="1"/>
      </rPr>
      <t>3</t>
    </r>
  </si>
  <si>
    <r>
      <t>V</t>
    </r>
    <r>
      <rPr>
        <i/>
        <vertAlign val="subscript"/>
        <sz val="10.5"/>
        <rFont val="Times New Roman"/>
        <family val="1"/>
      </rPr>
      <t>swap</t>
    </r>
  </si>
  <si>
    <r>
      <t>R</t>
    </r>
    <r>
      <rPr>
        <vertAlign val="subscript"/>
        <sz val="10.5"/>
        <rFont val="Times New Roman"/>
        <family val="1"/>
      </rPr>
      <t>0</t>
    </r>
  </si>
  <si>
    <r>
      <rPr>
        <i/>
        <sz val="10.5"/>
        <rFont val="Times New Roman"/>
        <family val="1"/>
      </rPr>
      <t>t</t>
    </r>
    <r>
      <rPr>
        <vertAlign val="subscript"/>
        <sz val="10.5"/>
        <rFont val="Times New Roman"/>
        <family val="1"/>
      </rPr>
      <t>1</t>
    </r>
  </si>
  <si>
    <r>
      <rPr>
        <i/>
        <sz val="10.5"/>
        <rFont val="Times New Roman"/>
        <family val="1"/>
      </rPr>
      <t>t</t>
    </r>
    <r>
      <rPr>
        <vertAlign val="subscript"/>
        <sz val="10.5"/>
        <rFont val="Times New Roman"/>
        <family val="1"/>
      </rPr>
      <t>2</t>
    </r>
  </si>
  <si>
    <r>
      <t>T</t>
    </r>
    <r>
      <rPr>
        <vertAlign val="subscript"/>
        <sz val="10.5"/>
        <rFont val="Times New Roman"/>
        <family val="1"/>
      </rPr>
      <t>0</t>
    </r>
  </si>
  <si>
    <r>
      <t xml:space="preserve">(a) La possibilità di consegnare un qualsiasi </t>
    </r>
    <r>
      <rPr>
        <i/>
        <sz val="10.5"/>
        <rFont val="Times New Roman"/>
        <family val="1"/>
      </rPr>
      <t>T-bond</t>
    </r>
    <r>
      <rPr>
        <sz val="10.5"/>
        <rFont val="Times New Roman"/>
        <family val="1"/>
      </rPr>
      <t xml:space="preserve"> all’interno di un certo paniere.</t>
    </r>
  </si>
  <si>
    <r>
      <t>(b) La possibilità di avvalersi del «gioco della matta» (</t>
    </r>
    <r>
      <rPr>
        <i/>
        <sz val="10.5"/>
        <rFont val="Times New Roman"/>
        <family val="1"/>
      </rPr>
      <t>wild card play</t>
    </r>
    <r>
      <rPr>
        <sz val="10.5"/>
        <rFont val="Times New Roman"/>
        <family val="1"/>
      </rPr>
      <t>).</t>
    </r>
  </si>
  <si>
    <r>
      <t xml:space="preserve">Ci si attende che alla scadenza del </t>
    </r>
    <r>
      <rPr>
        <b/>
        <i/>
        <sz val="10.5"/>
        <rFont val="Times New Roman"/>
        <family val="1"/>
      </rPr>
      <t>futures,</t>
    </r>
    <r>
      <rPr>
        <b/>
        <sz val="10.5"/>
        <rFont val="Times New Roman"/>
        <family val="1"/>
      </rPr>
      <t xml:space="preserve"> la </t>
    </r>
    <r>
      <rPr>
        <b/>
        <i/>
        <sz val="10.5"/>
        <rFont val="Times New Roman"/>
        <family val="1"/>
      </rPr>
      <t>duration</t>
    </r>
    <r>
      <rPr>
        <b/>
        <sz val="10.5"/>
        <rFont val="Times New Roman"/>
        <family val="1"/>
      </rPr>
      <t xml:space="preserve"> del </t>
    </r>
    <r>
      <rPr>
        <b/>
        <i/>
        <sz val="10.5"/>
        <rFont val="Times New Roman"/>
        <family val="1"/>
      </rPr>
      <t>cheapest to deliver</t>
    </r>
    <r>
      <rPr>
        <b/>
        <sz val="10.5"/>
        <rFont val="Times New Roman"/>
        <family val="1"/>
      </rPr>
      <t xml:space="preserve"> sia di 6 anni. Quanti contratti si devono vendere per coprire il portafoglio?</t>
    </r>
  </si>
  <si>
    <r>
      <t>D</t>
    </r>
    <r>
      <rPr>
        <i/>
        <vertAlign val="subscript"/>
        <sz val="10.5"/>
        <rFont val="Times New Roman"/>
        <family val="1"/>
      </rPr>
      <t>A</t>
    </r>
  </si>
  <si>
    <r>
      <t>V</t>
    </r>
    <r>
      <rPr>
        <i/>
        <vertAlign val="subscript"/>
        <sz val="10.5"/>
        <rFont val="Times New Roman"/>
        <family val="1"/>
      </rPr>
      <t>F</t>
    </r>
  </si>
  <si>
    <r>
      <t>D</t>
    </r>
    <r>
      <rPr>
        <i/>
        <vertAlign val="subscript"/>
        <sz val="10.5"/>
        <rFont val="Times New Roman"/>
        <family val="1"/>
      </rPr>
      <t>F</t>
    </r>
  </si>
  <si>
    <r>
      <t>N</t>
    </r>
    <r>
      <rPr>
        <i/>
        <vertAlign val="superscript"/>
        <sz val="10.5"/>
        <rFont val="Times New Roman"/>
        <family val="1"/>
      </rPr>
      <t>*</t>
    </r>
  </si>
  <si>
    <r>
      <rPr>
        <i/>
        <sz val="10.5"/>
        <rFont val="Times New Roman"/>
        <family val="1"/>
      </rPr>
      <t>t</t>
    </r>
    <r>
      <rPr>
        <vertAlign val="subscript"/>
        <sz val="10.5"/>
        <rFont val="Times New Roman"/>
        <family val="1"/>
      </rPr>
      <t>3</t>
    </r>
  </si>
  <si>
    <r>
      <rPr>
        <i/>
        <sz val="10.5"/>
        <rFont val="Times New Roman"/>
        <family val="1"/>
      </rPr>
      <t>t</t>
    </r>
    <r>
      <rPr>
        <vertAlign val="subscript"/>
        <sz val="10.5"/>
        <rFont val="Times New Roman"/>
        <family val="1"/>
      </rPr>
      <t>4</t>
    </r>
  </si>
  <si>
    <r>
      <t xml:space="preserve">Il tasso </t>
    </r>
    <r>
      <rPr>
        <i/>
        <sz val="10.5"/>
        <rFont val="Times New Roman"/>
        <family val="1"/>
      </rPr>
      <t>futures</t>
    </r>
    <r>
      <rPr>
        <sz val="10.5"/>
        <rFont val="Times New Roman"/>
        <family val="1"/>
      </rPr>
      <t xml:space="preserve"> implicito nella quotazione è pari al 3,50% [= ($100 − $96,50) / $100,00] annuo. L’aggiustamento per la convessità è la quantità da sottrarre al tasso </t>
    </r>
    <r>
      <rPr>
        <i/>
        <sz val="10.5"/>
        <rFont val="Times New Roman"/>
        <family val="1"/>
      </rPr>
      <t>futures</t>
    </r>
    <r>
      <rPr>
        <sz val="10.5"/>
        <rFont val="Times New Roman"/>
        <family val="1"/>
      </rPr>
      <t xml:space="preserve"> per ottenere il corrispondente tasso </t>
    </r>
    <r>
      <rPr>
        <i/>
        <sz val="10.5"/>
        <rFont val="Times New Roman"/>
        <family val="1"/>
      </rPr>
      <t>forward.</t>
    </r>
    <r>
      <rPr>
        <sz val="10.5"/>
        <rFont val="Times New Roman"/>
        <family val="1"/>
      </rPr>
      <t xml:space="preserve"> Pertanto, è pari allo 0,103%, ossia a 10,3 punti base: c = 3,50% − 3,397% = 0,103%. La risposta corretta è quella sub (b).</t>
    </r>
  </si>
  <si>
    <r>
      <t>V</t>
    </r>
    <r>
      <rPr>
        <i/>
        <vertAlign val="subscript"/>
        <sz val="10.5"/>
        <rFont val="Times New Roman"/>
        <family val="1"/>
      </rPr>
      <t>N</t>
    </r>
  </si>
  <si>
    <r>
      <t>R</t>
    </r>
    <r>
      <rPr>
        <i/>
        <vertAlign val="subscript"/>
        <sz val="10.5"/>
        <rFont val="Times New Roman"/>
        <family val="1"/>
      </rPr>
      <t>G</t>
    </r>
  </si>
  <si>
    <r>
      <t>R</t>
    </r>
    <r>
      <rPr>
        <i/>
        <vertAlign val="subscript"/>
        <sz val="10.5"/>
        <rFont val="Times New Roman"/>
        <family val="1"/>
      </rPr>
      <t>F</t>
    </r>
  </si>
  <si>
    <r>
      <t>Il valore attuale del reddito è pari a $3,45 (= 2</t>
    </r>
    <r>
      <rPr>
        <i/>
        <sz val="10.5"/>
        <rFont val="Times New Roman"/>
        <family val="1"/>
      </rPr>
      <t>e</t>
    </r>
    <r>
      <rPr>
        <vertAlign val="superscript"/>
        <sz val="10.5"/>
        <rFont val="Times New Roman"/>
        <family val="1"/>
      </rPr>
      <t>−0.1×1</t>
    </r>
    <r>
      <rPr>
        <sz val="10.5"/>
        <rFont val="Times New Roman"/>
        <family val="1"/>
      </rPr>
      <t xml:space="preserve"> + 2</t>
    </r>
    <r>
      <rPr>
        <i/>
        <sz val="10.5"/>
        <rFont val="Times New Roman"/>
        <family val="1"/>
      </rPr>
      <t>e</t>
    </r>
    <r>
      <rPr>
        <vertAlign val="superscript"/>
        <sz val="10.5"/>
        <rFont val="Times New Roman"/>
        <family val="1"/>
      </rPr>
      <t>−0.1×2</t>
    </r>
    <r>
      <rPr>
        <sz val="10.5"/>
        <rFont val="Times New Roman"/>
        <family val="1"/>
      </rPr>
      <t xml:space="preserve">). </t>
    </r>
  </si>
  <si>
    <r>
      <t>d</t>
    </r>
    <r>
      <rPr>
        <vertAlign val="subscript"/>
        <sz val="10.5"/>
        <rFont val="Times New Roman"/>
        <family val="1"/>
      </rPr>
      <t>2</t>
    </r>
    <r>
      <rPr>
        <sz val="10.5"/>
        <rFont val="Times New Roman"/>
        <family val="1"/>
      </rPr>
      <t/>
    </r>
  </si>
  <si>
    <r>
      <t>t</t>
    </r>
    <r>
      <rPr>
        <vertAlign val="subscript"/>
        <sz val="10.5"/>
        <rFont val="Times New Roman"/>
        <family val="1"/>
      </rPr>
      <t>1</t>
    </r>
  </si>
  <si>
    <r>
      <t>t</t>
    </r>
    <r>
      <rPr>
        <vertAlign val="subscript"/>
        <sz val="10.5"/>
        <rFont val="Times New Roman"/>
        <family val="1"/>
      </rPr>
      <t>2</t>
    </r>
  </si>
  <si>
    <r>
      <t>S</t>
    </r>
    <r>
      <rPr>
        <vertAlign val="subscript"/>
        <sz val="10.5"/>
        <rFont val="Times New Roman"/>
        <family val="1"/>
      </rPr>
      <t>0</t>
    </r>
    <r>
      <rPr>
        <sz val="10.5"/>
        <rFont val="Times New Roman"/>
        <family val="1"/>
      </rPr>
      <t xml:space="preserve"> −</t>
    </r>
    <r>
      <rPr>
        <vertAlign val="subscript"/>
        <sz val="10.5"/>
        <rFont val="Times New Roman"/>
        <family val="1"/>
      </rPr>
      <t xml:space="preserve"> </t>
    </r>
    <r>
      <rPr>
        <i/>
        <sz val="10.5"/>
        <rFont val="Times New Roman"/>
        <family val="1"/>
      </rPr>
      <t>I</t>
    </r>
  </si>
  <si>
    <r>
      <t xml:space="preserve">5.5. Un tasso di cambio </t>
    </r>
    <r>
      <rPr>
        <b/>
        <i/>
        <sz val="10.5"/>
        <rFont val="Times New Roman"/>
        <family val="1"/>
      </rPr>
      <t>spot</t>
    </r>
    <r>
      <rPr>
        <b/>
        <sz val="10.5"/>
        <rFont val="Times New Roman"/>
        <family val="1"/>
      </rPr>
      <t xml:space="preserve"> è pari a $0,7000 e i tassi d’interesse interni ed esteri privi di rischio sono pari, rispettivamente, al 5 e al 7 per cento annuo (composto continuamente).</t>
    </r>
  </si>
  <si>
    <r>
      <t xml:space="preserve">Qual è il tasso di cambio </t>
    </r>
    <r>
      <rPr>
        <b/>
        <i/>
        <sz val="10.5"/>
        <rFont val="Times New Roman"/>
        <family val="1"/>
      </rPr>
      <t>forward</t>
    </r>
    <r>
      <rPr>
        <b/>
        <sz val="10.5"/>
        <rFont val="Times New Roman"/>
        <family val="1"/>
      </rPr>
      <t xml:space="preserve"> a 6 mesi?</t>
    </r>
  </si>
  <si>
    <r>
      <t xml:space="preserve">(a) Il </t>
    </r>
    <r>
      <rPr>
        <i/>
        <sz val="10.5"/>
        <rFont val="Times New Roman"/>
        <family val="1"/>
      </rPr>
      <t>convenience yield</t>
    </r>
    <r>
      <rPr>
        <sz val="10.5"/>
        <rFont val="Times New Roman"/>
        <family val="1"/>
      </rPr>
      <t xml:space="preserve"> è sempre positivo o nullo.</t>
    </r>
  </si>
  <si>
    <r>
      <t xml:space="preserve">(b) Il </t>
    </r>
    <r>
      <rPr>
        <i/>
        <sz val="10.5"/>
        <rFont val="Times New Roman"/>
        <family val="1"/>
      </rPr>
      <t>convenience yield</t>
    </r>
    <r>
      <rPr>
        <sz val="10.5"/>
        <rFont val="Times New Roman"/>
        <family val="1"/>
      </rPr>
      <t xml:space="preserve"> è sempre positivo nel caso dei beni d’investimento.</t>
    </r>
  </si>
  <si>
    <r>
      <t xml:space="preserve">(c) Il </t>
    </r>
    <r>
      <rPr>
        <i/>
        <sz val="10.5"/>
        <rFont val="Times New Roman"/>
        <family val="1"/>
      </rPr>
      <t xml:space="preserve">convenience yield </t>
    </r>
    <r>
      <rPr>
        <sz val="10.5"/>
        <rFont val="Times New Roman"/>
        <family val="1"/>
      </rPr>
      <t>è sempre negativo nel caso dei beni di consumo.</t>
    </r>
  </si>
  <si>
    <r>
      <t xml:space="preserve">(d) Il </t>
    </r>
    <r>
      <rPr>
        <i/>
        <sz val="10.5"/>
        <rFont val="Times New Roman"/>
        <family val="1"/>
      </rPr>
      <t xml:space="preserve">convenience yield </t>
    </r>
    <r>
      <rPr>
        <sz val="10.5"/>
        <rFont val="Times New Roman"/>
        <family val="1"/>
      </rPr>
      <t>misura il tasso di rendimento che si riceve in media da una posizione lunga su</t>
    </r>
    <r>
      <rPr>
        <i/>
        <sz val="10.5"/>
        <rFont val="Times New Roman"/>
        <family val="1"/>
      </rPr>
      <t xml:space="preserve"> futures</t>
    </r>
    <r>
      <rPr>
        <sz val="10.5"/>
        <rFont val="Times New Roman"/>
        <family val="1"/>
      </rPr>
      <t>.</t>
    </r>
  </si>
  <si>
    <r>
      <t xml:space="preserve">Il tasso d’interesse a 3 mesi privo di rischio è dell’8 per cento annuo (composto continuamente). Qual è il valore del contratto </t>
    </r>
    <r>
      <rPr>
        <b/>
        <i/>
        <sz val="10.5"/>
        <rFont val="Times New Roman"/>
        <family val="1"/>
      </rPr>
      <t>forward</t>
    </r>
    <r>
      <rPr>
        <b/>
        <sz val="10.5"/>
        <rFont val="Times New Roman"/>
        <family val="1"/>
      </rPr>
      <t xml:space="preserve"> corto?</t>
    </r>
  </si>
  <si>
    <r>
      <t xml:space="preserve">Il contratto forward corto obbliga il venditore a vendere l'attività sottostante a $40 tra 3 mesi, mentre un contratto forward negoziato oggi comporterebbe l'obbligo di vendere a $42. Il valore del contratto forward è pari al valore attuale di </t>
    </r>
    <r>
      <rPr>
        <sz val="10.5"/>
        <rFont val="Times New Roman"/>
        <family val="1"/>
      </rPr>
      <t>−$2 (= $40 − $42), ossia −$1,96.</t>
    </r>
  </si>
  <si>
    <r>
      <t>-</t>
    </r>
    <r>
      <rPr>
        <i/>
        <sz val="10.5"/>
        <rFont val="Times New Roman"/>
        <family val="1"/>
      </rPr>
      <t>f</t>
    </r>
  </si>
  <si>
    <r>
      <t xml:space="preserve">(a) Il prezzo </t>
    </r>
    <r>
      <rPr>
        <i/>
        <sz val="10.5"/>
        <rFont val="Times New Roman"/>
        <family val="1"/>
      </rPr>
      <t>forward</t>
    </r>
    <r>
      <rPr>
        <sz val="10.5"/>
        <rFont val="Times New Roman"/>
        <family val="1"/>
      </rPr>
      <t xml:space="preserve"> è uguale al valore atteso del futuro prezzo </t>
    </r>
    <r>
      <rPr>
        <i/>
        <sz val="10.5"/>
        <rFont val="Times New Roman"/>
        <family val="1"/>
      </rPr>
      <t>spot</t>
    </r>
    <r>
      <rPr>
        <sz val="10.5"/>
        <rFont val="Times New Roman"/>
        <family val="1"/>
      </rPr>
      <t>.</t>
    </r>
  </si>
  <si>
    <r>
      <t xml:space="preserve">(b) Il prezzo </t>
    </r>
    <r>
      <rPr>
        <i/>
        <sz val="10.5"/>
        <rFont val="Times New Roman"/>
        <family val="1"/>
      </rPr>
      <t>forward</t>
    </r>
    <r>
      <rPr>
        <sz val="10.5"/>
        <rFont val="Times New Roman"/>
        <family val="1"/>
      </rPr>
      <t xml:space="preserve"> è maggiore del valore atteso del futuro prezzo </t>
    </r>
    <r>
      <rPr>
        <i/>
        <sz val="10.5"/>
        <rFont val="Times New Roman"/>
        <family val="1"/>
      </rPr>
      <t>spot</t>
    </r>
    <r>
      <rPr>
        <sz val="10.5"/>
        <rFont val="Times New Roman"/>
        <family val="1"/>
      </rPr>
      <t>.</t>
    </r>
  </si>
  <si>
    <r>
      <t xml:space="preserve">(c) Il prezzo </t>
    </r>
    <r>
      <rPr>
        <i/>
        <sz val="10.5"/>
        <rFont val="Times New Roman"/>
        <family val="1"/>
      </rPr>
      <t>forward</t>
    </r>
    <r>
      <rPr>
        <sz val="10.5"/>
        <rFont val="Times New Roman"/>
        <family val="1"/>
      </rPr>
      <t xml:space="preserve"> è minore del valore atteso del futuro prezzo </t>
    </r>
    <r>
      <rPr>
        <i/>
        <sz val="10.5"/>
        <rFont val="Times New Roman"/>
        <family val="1"/>
      </rPr>
      <t>spot</t>
    </r>
    <r>
      <rPr>
        <sz val="10.5"/>
        <rFont val="Times New Roman"/>
        <family val="1"/>
      </rPr>
      <t>.</t>
    </r>
  </si>
  <si>
    <r>
      <t xml:space="preserve">(d) Il prezzo </t>
    </r>
    <r>
      <rPr>
        <i/>
        <sz val="10.5"/>
        <rFont val="Times New Roman"/>
        <family val="1"/>
      </rPr>
      <t>forward</t>
    </r>
    <r>
      <rPr>
        <sz val="10.5"/>
        <rFont val="Times New Roman"/>
        <family val="1"/>
      </rPr>
      <t xml:space="preserve"> è a volte maggiore e a volte minore del valore atteso del futuro prezzo </t>
    </r>
    <r>
      <rPr>
        <i/>
        <sz val="10.5"/>
        <rFont val="Times New Roman"/>
        <family val="1"/>
      </rPr>
      <t>spot</t>
    </r>
    <r>
      <rPr>
        <sz val="10.5"/>
        <rFont val="Times New Roman"/>
        <family val="1"/>
      </rPr>
      <t>.</t>
    </r>
  </si>
  <si>
    <r>
      <t>R</t>
    </r>
    <r>
      <rPr>
        <sz val="10.5"/>
        <rFont val="Times New Roman"/>
        <family val="1"/>
      </rPr>
      <t>_</t>
    </r>
    <r>
      <rPr>
        <i/>
        <sz val="10.5"/>
        <rFont val="Times New Roman"/>
        <family val="1"/>
      </rPr>
      <t>m</t>
    </r>
    <r>
      <rPr>
        <vertAlign val="subscript"/>
        <sz val="10.5"/>
        <rFont val="Times New Roman"/>
        <family val="1"/>
      </rPr>
      <t>1</t>
    </r>
  </si>
  <si>
    <r>
      <t>m</t>
    </r>
    <r>
      <rPr>
        <vertAlign val="subscript"/>
        <sz val="10.5"/>
        <rFont val="Times New Roman"/>
        <family val="1"/>
      </rPr>
      <t>2</t>
    </r>
    <r>
      <rPr>
        <sz val="10.5"/>
        <rFont val="Times New Roman"/>
        <family val="1"/>
      </rPr>
      <t/>
    </r>
  </si>
  <si>
    <r>
      <t>R</t>
    </r>
    <r>
      <rPr>
        <sz val="10.5"/>
        <rFont val="Times New Roman"/>
        <family val="1"/>
      </rPr>
      <t>_</t>
    </r>
    <r>
      <rPr>
        <i/>
        <sz val="10.5"/>
        <rFont val="Times New Roman"/>
        <family val="1"/>
      </rPr>
      <t>m</t>
    </r>
    <r>
      <rPr>
        <vertAlign val="subscript"/>
        <sz val="10.5"/>
        <rFont val="Times New Roman"/>
        <family val="1"/>
      </rPr>
      <t>2</t>
    </r>
  </si>
  <si>
    <r>
      <t>T</t>
    </r>
    <r>
      <rPr>
        <vertAlign val="subscript"/>
        <sz val="10.5"/>
        <rFont val="Times New Roman"/>
        <family val="1"/>
      </rPr>
      <t>1</t>
    </r>
  </si>
  <si>
    <r>
      <t>T</t>
    </r>
    <r>
      <rPr>
        <vertAlign val="subscript"/>
        <sz val="10.5"/>
        <rFont val="Times New Roman"/>
        <family val="1"/>
      </rPr>
      <t>2</t>
    </r>
  </si>
  <si>
    <r>
      <t>R</t>
    </r>
    <r>
      <rPr>
        <vertAlign val="subscript"/>
        <sz val="10.5"/>
        <rFont val="Times New Roman"/>
        <family val="1"/>
      </rPr>
      <t>1</t>
    </r>
  </si>
  <si>
    <r>
      <t>R</t>
    </r>
    <r>
      <rPr>
        <vertAlign val="subscript"/>
        <sz val="10.5"/>
        <rFont val="Times New Roman"/>
        <family val="1"/>
      </rPr>
      <t>2</t>
    </r>
    <r>
      <rPr>
        <sz val="10.5"/>
        <rFont val="Times New Roman"/>
        <family val="1"/>
      </rPr>
      <t/>
    </r>
  </si>
  <si>
    <r>
      <t xml:space="preserve"> Qual è lo </t>
    </r>
    <r>
      <rPr>
        <b/>
        <i/>
        <sz val="10.5"/>
        <rFont val="Times New Roman"/>
        <family val="1"/>
      </rPr>
      <t xml:space="preserve">zero rate </t>
    </r>
    <r>
      <rPr>
        <b/>
        <sz val="10.5"/>
        <rFont val="Times New Roman"/>
        <family val="1"/>
      </rPr>
      <t>ad 1 anno (composto continuamente)?</t>
    </r>
  </si>
  <si>
    <r>
      <t>R</t>
    </r>
    <r>
      <rPr>
        <i/>
        <vertAlign val="subscript"/>
        <sz val="10.5"/>
        <rFont val="Times New Roman"/>
        <family val="1"/>
      </rPr>
      <t>k</t>
    </r>
  </si>
  <si>
    <r>
      <t>V</t>
    </r>
    <r>
      <rPr>
        <vertAlign val="subscript"/>
        <sz val="10.5"/>
        <rFont val="Times New Roman"/>
        <family val="1"/>
      </rPr>
      <t>OIS</t>
    </r>
  </si>
  <si>
    <r>
      <t xml:space="preserve">(a) Il tasso </t>
    </r>
    <r>
      <rPr>
        <i/>
        <sz val="10.5"/>
        <rFont val="Times New Roman"/>
        <family val="1"/>
      </rPr>
      <t>forward</t>
    </r>
    <r>
      <rPr>
        <sz val="10.5"/>
        <rFont val="Times New Roman"/>
        <family val="1"/>
      </rPr>
      <t xml:space="preserve"> per una certa scadenza è maggiore del tasso </t>
    </r>
    <r>
      <rPr>
        <i/>
        <sz val="10.5"/>
        <rFont val="Times New Roman"/>
        <family val="1"/>
      </rPr>
      <t>spot</t>
    </r>
    <r>
      <rPr>
        <sz val="10.5"/>
        <rFont val="Times New Roman"/>
        <family val="1"/>
      </rPr>
      <t xml:space="preserve"> per quella scadenza.</t>
    </r>
  </si>
  <si>
    <r>
      <t xml:space="preserve">(b) I tassi </t>
    </r>
    <r>
      <rPr>
        <i/>
        <sz val="10.5"/>
        <rFont val="Times New Roman"/>
        <family val="1"/>
      </rPr>
      <t>forward</t>
    </r>
    <r>
      <rPr>
        <sz val="10.5"/>
        <rFont val="Times New Roman"/>
        <family val="1"/>
      </rPr>
      <t xml:space="preserve"> sono previsori corretti dei futuri tassi </t>
    </r>
    <r>
      <rPr>
        <i/>
        <sz val="10.5"/>
        <rFont val="Times New Roman"/>
        <family val="1"/>
      </rPr>
      <t>spot</t>
    </r>
    <r>
      <rPr>
        <sz val="10.5"/>
        <rFont val="Times New Roman"/>
        <family val="1"/>
      </rPr>
      <t>.</t>
    </r>
  </si>
  <si>
    <r>
      <t xml:space="preserve">(c) Il tasso </t>
    </r>
    <r>
      <rPr>
        <i/>
        <sz val="10.5"/>
        <rFont val="Times New Roman"/>
        <family val="1"/>
      </rPr>
      <t>spot</t>
    </r>
    <r>
      <rPr>
        <sz val="10.5"/>
        <rFont val="Times New Roman"/>
        <family val="1"/>
      </rPr>
      <t xml:space="preserve"> per una certa scadenza è maggiore del </t>
    </r>
    <r>
      <rPr>
        <i/>
        <sz val="10.5"/>
        <rFont val="Times New Roman"/>
        <family val="1"/>
      </rPr>
      <t>par yield</t>
    </r>
    <r>
      <rPr>
        <sz val="10.5"/>
        <rFont val="Times New Roman"/>
        <family val="1"/>
      </rPr>
      <t xml:space="preserve"> per quella scadenza.</t>
    </r>
  </si>
  <si>
    <r>
      <t xml:space="preserve">(d) I tassi </t>
    </r>
    <r>
      <rPr>
        <i/>
        <sz val="10.5"/>
        <rFont val="Times New Roman"/>
        <family val="1"/>
      </rPr>
      <t>forward</t>
    </r>
    <r>
      <rPr>
        <sz val="10.5"/>
        <rFont val="Times New Roman"/>
        <family val="1"/>
      </rPr>
      <t xml:space="preserve"> sono maggiori del valore atteso dei futuri tassi </t>
    </r>
    <r>
      <rPr>
        <i/>
        <sz val="10.5"/>
        <rFont val="Times New Roman"/>
        <family val="1"/>
      </rPr>
      <t>spot</t>
    </r>
    <r>
      <rPr>
        <sz val="10.5"/>
        <rFont val="Times New Roman"/>
        <family val="1"/>
      </rPr>
      <t>.</t>
    </r>
  </si>
  <si>
    <r>
      <t xml:space="preserve">4.11. La </t>
    </r>
    <r>
      <rPr>
        <b/>
        <i/>
        <sz val="10.5"/>
        <rFont val="Times New Roman"/>
        <family val="1"/>
      </rPr>
      <t>duration</t>
    </r>
    <r>
      <rPr>
        <b/>
        <sz val="10.5"/>
        <rFont val="Times New Roman"/>
        <family val="1"/>
      </rPr>
      <t xml:space="preserve"> modificata di un portafoglio obbligazionario del valore di $1 milione è pari a 5 anni. In prima approssimazione, di quanto cambia il valore del portafoglio su tutti i tassi d’interesse aumentano di 5 punti base? </t>
    </r>
  </si>
  <si>
    <r>
      <t>Δ</t>
    </r>
    <r>
      <rPr>
        <i/>
        <sz val="10.5"/>
        <rFont val="Times New Roman"/>
        <family val="1"/>
      </rPr>
      <t>y</t>
    </r>
  </si>
  <si>
    <r>
      <t>Δ</t>
    </r>
    <r>
      <rPr>
        <i/>
        <sz val="10.5"/>
        <rFont val="Times New Roman"/>
        <family val="1"/>
      </rPr>
      <t>P</t>
    </r>
  </si>
  <si>
    <r>
      <t xml:space="preserve">4.12. Una società investe $1.000 in uno </t>
    </r>
    <r>
      <rPr>
        <b/>
        <i/>
        <sz val="10.5"/>
        <rFont val="Times New Roman"/>
        <family val="1"/>
      </rPr>
      <t>zero-coupon bond</t>
    </r>
    <r>
      <rPr>
        <b/>
        <sz val="10.5"/>
        <rFont val="Times New Roman"/>
        <family val="1"/>
      </rPr>
      <t xml:space="preserve"> a 5 anni e $4.000 in uno </t>
    </r>
    <r>
      <rPr>
        <b/>
        <i/>
        <sz val="10.5"/>
        <rFont val="Times New Roman"/>
        <family val="1"/>
      </rPr>
      <t xml:space="preserve">zero-coupon bond </t>
    </r>
    <r>
      <rPr>
        <b/>
        <sz val="10.5"/>
        <rFont val="Times New Roman"/>
        <family val="1"/>
      </rPr>
      <t xml:space="preserve">a 10 anni. Qual è la </t>
    </r>
    <r>
      <rPr>
        <b/>
        <i/>
        <sz val="10.5"/>
        <rFont val="Times New Roman"/>
        <family val="1"/>
      </rPr>
      <t>duration</t>
    </r>
    <r>
      <rPr>
        <b/>
        <sz val="10.5"/>
        <rFont val="Times New Roman"/>
        <family val="1"/>
      </rPr>
      <t xml:space="preserve"> del portafoglio?</t>
    </r>
  </si>
  <si>
    <r>
      <t>Size</t>
    </r>
    <r>
      <rPr>
        <sz val="10.5"/>
        <rFont val="Times New Roman"/>
        <family val="1"/>
      </rPr>
      <t xml:space="preserve"> 1</t>
    </r>
  </si>
  <si>
    <r>
      <t>Size</t>
    </r>
    <r>
      <rPr>
        <sz val="10.5"/>
        <rFont val="Times New Roman"/>
        <family val="1"/>
      </rPr>
      <t xml:space="preserve"> 2</t>
    </r>
  </si>
  <si>
    <r>
      <t xml:space="preserve">(a) il </t>
    </r>
    <r>
      <rPr>
        <i/>
        <sz val="10.5"/>
        <rFont val="Times New Roman"/>
        <family val="1"/>
      </rPr>
      <t>futures</t>
    </r>
    <r>
      <rPr>
        <sz val="10.5"/>
        <rFont val="Times New Roman"/>
        <family val="1"/>
      </rPr>
      <t xml:space="preserve"> per giugno;</t>
    </r>
  </si>
  <si>
    <r>
      <t xml:space="preserve">(b) il </t>
    </r>
    <r>
      <rPr>
        <i/>
        <sz val="10.5"/>
        <rFont val="Times New Roman"/>
        <family val="1"/>
      </rPr>
      <t>futures</t>
    </r>
    <r>
      <rPr>
        <sz val="10.5"/>
        <rFont val="Times New Roman"/>
        <family val="1"/>
      </rPr>
      <t xml:space="preserve"> per luglio;</t>
    </r>
  </si>
  <si>
    <r>
      <t xml:space="preserve">(c) il </t>
    </r>
    <r>
      <rPr>
        <i/>
        <sz val="10.5"/>
        <rFont val="Times New Roman"/>
        <family val="1"/>
      </rPr>
      <t>futures</t>
    </r>
    <r>
      <rPr>
        <sz val="10.5"/>
        <rFont val="Times New Roman"/>
        <family val="1"/>
      </rPr>
      <t xml:space="preserve"> per maggio;</t>
    </r>
  </si>
  <si>
    <r>
      <t xml:space="preserve">(d) il </t>
    </r>
    <r>
      <rPr>
        <i/>
        <sz val="10.5"/>
        <rFont val="Times New Roman"/>
        <family val="1"/>
      </rPr>
      <t>futures</t>
    </r>
    <r>
      <rPr>
        <sz val="10.5"/>
        <rFont val="Times New Roman"/>
        <family val="1"/>
      </rPr>
      <t xml:space="preserve"> per agosto.</t>
    </r>
  </si>
  <si>
    <r>
      <t>F</t>
    </r>
    <r>
      <rPr>
        <vertAlign val="subscript"/>
        <sz val="10.5"/>
        <rFont val="Times New Roman"/>
        <family val="1"/>
      </rPr>
      <t>1</t>
    </r>
  </si>
  <si>
    <r>
      <t>S</t>
    </r>
    <r>
      <rPr>
        <vertAlign val="subscript"/>
        <sz val="10.5"/>
        <rFont val="Times New Roman"/>
        <family val="1"/>
      </rPr>
      <t>1</t>
    </r>
    <r>
      <rPr>
        <sz val="10.5"/>
        <rFont val="Times New Roman"/>
        <family val="1"/>
      </rPr>
      <t xml:space="preserve"> </t>
    </r>
    <r>
      <rPr>
        <sz val="10.5"/>
        <rFont val="Times New Roman"/>
        <family val="1"/>
      </rPr>
      <t>−</t>
    </r>
    <r>
      <rPr>
        <sz val="10.5"/>
        <rFont val="Times New Roman"/>
        <family val="1"/>
      </rPr>
      <t xml:space="preserve"> (</t>
    </r>
    <r>
      <rPr>
        <i/>
        <sz val="10.5"/>
        <rFont val="Times New Roman"/>
        <family val="1"/>
      </rPr>
      <t>F</t>
    </r>
    <r>
      <rPr>
        <vertAlign val="subscript"/>
        <sz val="10.5"/>
        <rFont val="Times New Roman"/>
        <family val="1"/>
      </rPr>
      <t>1</t>
    </r>
    <r>
      <rPr>
        <sz val="10.5"/>
        <rFont val="Times New Roman"/>
        <family val="1"/>
      </rPr>
      <t xml:space="preserve"> </t>
    </r>
    <r>
      <rPr>
        <sz val="10.5"/>
        <rFont val="Times New Roman"/>
        <family val="1"/>
      </rPr>
      <t>−</t>
    </r>
    <r>
      <rPr>
        <sz val="10.5"/>
        <rFont val="Times New Roman"/>
        <family val="1"/>
      </rPr>
      <t xml:space="preserve"> </t>
    </r>
    <r>
      <rPr>
        <i/>
        <sz val="10.5"/>
        <rFont val="Times New Roman"/>
        <family val="1"/>
      </rPr>
      <t>F</t>
    </r>
    <r>
      <rPr>
        <vertAlign val="subscript"/>
        <sz val="10.5"/>
        <rFont val="Times New Roman"/>
        <family val="1"/>
      </rPr>
      <t>0</t>
    </r>
    <r>
      <rPr>
        <sz val="10.5"/>
        <rFont val="Times New Roman"/>
        <family val="1"/>
      </rPr>
      <t>)</t>
    </r>
  </si>
  <si>
    <r>
      <t>F</t>
    </r>
    <r>
      <rPr>
        <vertAlign val="subscript"/>
        <sz val="10.5"/>
        <rFont val="Times New Roman"/>
        <family val="1"/>
      </rPr>
      <t>0</t>
    </r>
    <r>
      <rPr>
        <sz val="10.5"/>
        <rFont val="Times New Roman"/>
        <family val="1"/>
      </rPr>
      <t xml:space="preserve"> + </t>
    </r>
    <r>
      <rPr>
        <i/>
        <sz val="10.5"/>
        <rFont val="Times New Roman"/>
        <family val="1"/>
      </rPr>
      <t>b</t>
    </r>
    <r>
      <rPr>
        <vertAlign val="subscript"/>
        <sz val="10.5"/>
        <rFont val="Times New Roman"/>
        <family val="1"/>
      </rPr>
      <t>1</t>
    </r>
  </si>
  <si>
    <r>
      <t>σ</t>
    </r>
    <r>
      <rPr>
        <i/>
        <vertAlign val="subscript"/>
        <sz val="10.5"/>
        <rFont val="Times New Roman"/>
        <family val="1"/>
      </rPr>
      <t>S</t>
    </r>
  </si>
  <si>
    <r>
      <t>s</t>
    </r>
    <r>
      <rPr>
        <i/>
        <vertAlign val="subscript"/>
        <sz val="10.5"/>
        <rFont val="Times New Roman"/>
        <family val="1"/>
      </rPr>
      <t>F</t>
    </r>
  </si>
  <si>
    <r>
      <t>β</t>
    </r>
    <r>
      <rPr>
        <vertAlign val="superscript"/>
        <sz val="10.5"/>
        <rFont val="Times New Roman"/>
        <family val="1"/>
      </rPr>
      <t>*</t>
    </r>
    <r>
      <rPr>
        <vertAlign val="subscript"/>
        <sz val="10.5"/>
        <rFont val="Times New Roman"/>
        <family val="1"/>
      </rPr>
      <t>1</t>
    </r>
  </si>
  <si>
    <r>
      <t>b</t>
    </r>
    <r>
      <rPr>
        <vertAlign val="superscript"/>
        <sz val="10.5"/>
        <rFont val="Times New Roman"/>
        <family val="1"/>
      </rPr>
      <t>*</t>
    </r>
    <r>
      <rPr>
        <vertAlign val="subscript"/>
        <sz val="10.5"/>
        <rFont val="Times New Roman"/>
        <family val="1"/>
      </rPr>
      <t>2</t>
    </r>
    <r>
      <rPr>
        <sz val="10.5"/>
        <rFont val="Times New Roman"/>
        <family val="1"/>
      </rPr>
      <t/>
    </r>
  </si>
  <si>
    <r>
      <t>β</t>
    </r>
    <r>
      <rPr>
        <vertAlign val="superscript"/>
        <sz val="10.5"/>
        <rFont val="Times New Roman"/>
        <family val="1"/>
      </rPr>
      <t>*</t>
    </r>
    <r>
      <rPr>
        <vertAlign val="subscript"/>
        <sz val="10.5"/>
        <rFont val="Times New Roman"/>
        <family val="1"/>
      </rPr>
      <t>3</t>
    </r>
    <r>
      <rPr>
        <sz val="10.5"/>
        <rFont val="Times New Roman"/>
        <family val="1"/>
      </rPr>
      <t/>
    </r>
  </si>
  <si>
    <r>
      <rPr>
        <i/>
        <sz val="10.5"/>
        <rFont val="Times New Roman"/>
        <family val="1"/>
      </rPr>
      <t>N</t>
    </r>
    <r>
      <rPr>
        <vertAlign val="superscript"/>
        <sz val="10.5"/>
        <rFont val="Times New Roman"/>
        <family val="1"/>
      </rPr>
      <t>*</t>
    </r>
  </si>
  <si>
    <r>
      <t xml:space="preserve">(a) il rapporto di copertura ottimale è il coefficiente angolare della retta che misura la regressione del prezzo </t>
    </r>
    <r>
      <rPr>
        <i/>
        <sz val="10.5"/>
        <rFont val="Times New Roman"/>
        <family val="1"/>
      </rPr>
      <t>spot</t>
    </r>
    <r>
      <rPr>
        <sz val="10.5"/>
        <rFont val="Times New Roman"/>
        <family val="1"/>
      </rPr>
      <t xml:space="preserve"> (asse </t>
    </r>
    <r>
      <rPr>
        <i/>
        <sz val="10.5"/>
        <rFont val="Times New Roman"/>
        <family val="1"/>
      </rPr>
      <t>y</t>
    </r>
    <r>
      <rPr>
        <sz val="10.5"/>
        <rFont val="Times New Roman"/>
        <family val="1"/>
      </rPr>
      <t xml:space="preserve">) sul prezzo </t>
    </r>
    <r>
      <rPr>
        <i/>
        <sz val="10.5"/>
        <rFont val="Times New Roman"/>
        <family val="1"/>
      </rPr>
      <t>futures</t>
    </r>
    <r>
      <rPr>
        <sz val="10.5"/>
        <rFont val="Times New Roman"/>
        <family val="1"/>
      </rPr>
      <t xml:space="preserve"> (asse </t>
    </r>
    <r>
      <rPr>
        <i/>
        <sz val="10.5"/>
        <rFont val="Times New Roman"/>
        <family val="1"/>
      </rPr>
      <t>x</t>
    </r>
    <r>
      <rPr>
        <sz val="10.5"/>
        <rFont val="Times New Roman"/>
        <family val="1"/>
      </rPr>
      <t>);</t>
    </r>
  </si>
  <si>
    <r>
      <t xml:space="preserve">(b) il rapporto di copertura ottimale è il coefficiente angolare della retta che misura la regressione del prezzo </t>
    </r>
    <r>
      <rPr>
        <i/>
        <sz val="10.5"/>
        <rFont val="Times New Roman"/>
        <family val="1"/>
      </rPr>
      <t>futures</t>
    </r>
    <r>
      <rPr>
        <sz val="10.5"/>
        <rFont val="Times New Roman"/>
        <family val="1"/>
      </rPr>
      <t xml:space="preserve"> (asse </t>
    </r>
    <r>
      <rPr>
        <i/>
        <sz val="10.5"/>
        <rFont val="Times New Roman"/>
        <family val="1"/>
      </rPr>
      <t>y</t>
    </r>
    <r>
      <rPr>
        <sz val="10.5"/>
        <rFont val="Times New Roman"/>
        <family val="1"/>
      </rPr>
      <t xml:space="preserve">) sul prezzo </t>
    </r>
    <r>
      <rPr>
        <i/>
        <sz val="10.5"/>
        <rFont val="Times New Roman"/>
        <family val="1"/>
      </rPr>
      <t>spot</t>
    </r>
    <r>
      <rPr>
        <sz val="10.5"/>
        <rFont val="Times New Roman"/>
        <family val="1"/>
      </rPr>
      <t xml:space="preserve"> (asse </t>
    </r>
    <r>
      <rPr>
        <i/>
        <sz val="10.5"/>
        <rFont val="Times New Roman"/>
        <family val="1"/>
      </rPr>
      <t>x</t>
    </r>
    <r>
      <rPr>
        <sz val="10.5"/>
        <rFont val="Times New Roman"/>
        <family val="1"/>
      </rPr>
      <t>);</t>
    </r>
  </si>
  <si>
    <r>
      <t xml:space="preserve">(c) il rapporto di copertura ottimale è il coefficiente angolare della retta che misura la regressione della variazione del prezzo </t>
    </r>
    <r>
      <rPr>
        <i/>
        <sz val="10.5"/>
        <rFont val="Times New Roman"/>
        <family val="1"/>
      </rPr>
      <t>spot</t>
    </r>
    <r>
      <rPr>
        <sz val="10.5"/>
        <rFont val="Times New Roman"/>
        <family val="1"/>
      </rPr>
      <t xml:space="preserve"> (asse </t>
    </r>
    <r>
      <rPr>
        <i/>
        <sz val="10.5"/>
        <rFont val="Times New Roman"/>
        <family val="1"/>
      </rPr>
      <t>y</t>
    </r>
    <r>
      <rPr>
        <sz val="10.5"/>
        <rFont val="Times New Roman"/>
        <family val="1"/>
      </rPr>
      <t xml:space="preserve">) sulla variazione del prezzo </t>
    </r>
    <r>
      <rPr>
        <i/>
        <sz val="10.5"/>
        <rFont val="Times New Roman"/>
        <family val="1"/>
      </rPr>
      <t>futures</t>
    </r>
    <r>
      <rPr>
        <sz val="10.5"/>
        <rFont val="Times New Roman"/>
        <family val="1"/>
      </rPr>
      <t xml:space="preserve"> (asse </t>
    </r>
    <r>
      <rPr>
        <i/>
        <sz val="10.5"/>
        <rFont val="Times New Roman"/>
        <family val="1"/>
      </rPr>
      <t>x</t>
    </r>
    <r>
      <rPr>
        <sz val="10.5"/>
        <rFont val="Times New Roman"/>
        <family val="1"/>
      </rPr>
      <t>);</t>
    </r>
  </si>
  <si>
    <r>
      <t xml:space="preserve">(d) il rapporto di copertura ottimale è il coefficiente angolare della retta che misura la regressione della variazione del prezzo </t>
    </r>
    <r>
      <rPr>
        <i/>
        <sz val="10.5"/>
        <rFont val="Times New Roman"/>
        <family val="1"/>
      </rPr>
      <t>futures</t>
    </r>
    <r>
      <rPr>
        <sz val="10.5"/>
        <rFont val="Times New Roman"/>
        <family val="1"/>
      </rPr>
      <t xml:space="preserve"> (asse </t>
    </r>
    <r>
      <rPr>
        <i/>
        <sz val="10.5"/>
        <rFont val="Times New Roman"/>
        <family val="1"/>
      </rPr>
      <t>y</t>
    </r>
    <r>
      <rPr>
        <sz val="10.5"/>
        <rFont val="Times New Roman"/>
        <family val="1"/>
      </rPr>
      <t xml:space="preserve">) sulla variazione del prezzo </t>
    </r>
    <r>
      <rPr>
        <i/>
        <sz val="10.5"/>
        <rFont val="Times New Roman"/>
        <family val="1"/>
      </rPr>
      <t>spot</t>
    </r>
    <r>
      <rPr>
        <sz val="10.5"/>
        <rFont val="Times New Roman"/>
        <family val="1"/>
      </rPr>
      <t xml:space="preserve"> (asse </t>
    </r>
    <r>
      <rPr>
        <i/>
        <sz val="10.5"/>
        <rFont val="Times New Roman"/>
        <family val="1"/>
      </rPr>
      <t>x</t>
    </r>
    <r>
      <rPr>
        <sz val="10.5"/>
        <rFont val="Times New Roman"/>
        <family val="1"/>
      </rPr>
      <t>).</t>
    </r>
  </si>
  <si>
    <r>
      <rPr>
        <i/>
        <sz val="10.5"/>
        <rFont val="Times New Roman"/>
        <family val="1"/>
      </rPr>
      <t>S</t>
    </r>
    <r>
      <rPr>
        <vertAlign val="subscript"/>
        <sz val="10.5"/>
        <rFont val="Times New Roman"/>
        <family val="1"/>
      </rPr>
      <t>1</t>
    </r>
  </si>
  <si>
    <r>
      <rPr>
        <i/>
        <sz val="10.5"/>
        <rFont val="Times New Roman"/>
        <family val="1"/>
      </rPr>
      <t>F</t>
    </r>
    <r>
      <rPr>
        <vertAlign val="subscript"/>
        <sz val="10.5"/>
        <rFont val="Times New Roman"/>
        <family val="1"/>
      </rPr>
      <t>1</t>
    </r>
  </si>
  <si>
    <r>
      <t xml:space="preserve">(a) Sia i </t>
    </r>
    <r>
      <rPr>
        <i/>
        <sz val="10.5"/>
        <rFont val="Times New Roman"/>
        <family val="1"/>
      </rPr>
      <t>forwards</t>
    </r>
    <r>
      <rPr>
        <sz val="10.5"/>
        <rFont val="Times New Roman"/>
        <family val="1"/>
      </rPr>
      <t xml:space="preserve"> sia i </t>
    </r>
    <r>
      <rPr>
        <i/>
        <sz val="10.5"/>
        <rFont val="Times New Roman"/>
        <family val="1"/>
      </rPr>
      <t>futures</t>
    </r>
    <r>
      <rPr>
        <sz val="10.5"/>
        <rFont val="Times New Roman"/>
        <family val="1"/>
      </rPr>
      <t xml:space="preserve"> sono negoziati in borsa.</t>
    </r>
  </si>
  <si>
    <r>
      <t xml:space="preserve">(b) I </t>
    </r>
    <r>
      <rPr>
        <i/>
        <sz val="10.5"/>
        <rFont val="Times New Roman"/>
        <family val="1"/>
      </rPr>
      <t>forwards</t>
    </r>
    <r>
      <rPr>
        <sz val="10.5"/>
        <rFont val="Times New Roman"/>
        <family val="1"/>
      </rPr>
      <t xml:space="preserve"> sono negoziati in borsa ma i </t>
    </r>
    <r>
      <rPr>
        <i/>
        <sz val="10.5"/>
        <rFont val="Times New Roman"/>
        <family val="1"/>
      </rPr>
      <t>futures</t>
    </r>
    <r>
      <rPr>
        <sz val="10.5"/>
        <rFont val="Times New Roman"/>
        <family val="1"/>
      </rPr>
      <t xml:space="preserve"> no.</t>
    </r>
  </si>
  <si>
    <r>
      <t xml:space="preserve">(c) I </t>
    </r>
    <r>
      <rPr>
        <i/>
        <sz val="10.5"/>
        <rFont val="Times New Roman"/>
        <family val="1"/>
      </rPr>
      <t>futures</t>
    </r>
    <r>
      <rPr>
        <sz val="10.5"/>
        <rFont val="Times New Roman"/>
        <family val="1"/>
      </rPr>
      <t xml:space="preserve"> sono negoziati in borsa ma i </t>
    </r>
    <r>
      <rPr>
        <i/>
        <sz val="10.5"/>
        <rFont val="Times New Roman"/>
        <family val="1"/>
      </rPr>
      <t>forwards</t>
    </r>
    <r>
      <rPr>
        <sz val="10.5"/>
        <rFont val="Times New Roman"/>
        <family val="1"/>
      </rPr>
      <t xml:space="preserve"> no.</t>
    </r>
  </si>
  <si>
    <r>
      <t xml:space="preserve">(d) Né i </t>
    </r>
    <r>
      <rPr>
        <i/>
        <sz val="10.5"/>
        <rFont val="Times New Roman"/>
        <family val="1"/>
      </rPr>
      <t>forwards</t>
    </r>
    <r>
      <rPr>
        <sz val="10.5"/>
        <rFont val="Times New Roman"/>
        <family val="1"/>
      </rPr>
      <t xml:space="preserve"> né i </t>
    </r>
    <r>
      <rPr>
        <i/>
        <sz val="10.5"/>
        <rFont val="Times New Roman"/>
        <family val="1"/>
      </rPr>
      <t>futures</t>
    </r>
    <r>
      <rPr>
        <sz val="10.5"/>
        <rFont val="Times New Roman"/>
        <family val="1"/>
      </rPr>
      <t xml:space="preserve"> sono negoziati in borsa.</t>
    </r>
  </si>
  <si>
    <r>
      <t xml:space="preserve">(a) I contratti </t>
    </r>
    <r>
      <rPr>
        <i/>
        <sz val="10.5"/>
        <rFont val="Times New Roman"/>
        <family val="1"/>
      </rPr>
      <t>futures</t>
    </r>
    <r>
      <rPr>
        <sz val="10.5"/>
        <rFont val="Times New Roman"/>
        <family val="1"/>
      </rPr>
      <t xml:space="preserve"> durano quasi sempre più dei </t>
    </r>
    <r>
      <rPr>
        <i/>
        <sz val="10.5"/>
        <rFont val="Times New Roman"/>
        <family val="1"/>
      </rPr>
      <t>forward</t>
    </r>
    <r>
      <rPr>
        <sz val="10.5"/>
        <rFont val="Times New Roman"/>
        <family val="1"/>
      </rPr>
      <t>.</t>
    </r>
  </si>
  <si>
    <r>
      <t xml:space="preserve">(b) I contratti </t>
    </r>
    <r>
      <rPr>
        <i/>
        <sz val="10.5"/>
        <rFont val="Times New Roman"/>
        <family val="1"/>
      </rPr>
      <t>futures</t>
    </r>
    <r>
      <rPr>
        <sz val="10.5"/>
        <rFont val="Times New Roman"/>
        <family val="1"/>
      </rPr>
      <t xml:space="preserve"> sono standardizzati, i contratti </t>
    </r>
    <r>
      <rPr>
        <i/>
        <sz val="10.5"/>
        <rFont val="Times New Roman"/>
        <family val="1"/>
      </rPr>
      <t>forward</t>
    </r>
    <r>
      <rPr>
        <sz val="10.5"/>
        <rFont val="Times New Roman"/>
        <family val="1"/>
      </rPr>
      <t xml:space="preserve"> no.</t>
    </r>
  </si>
  <si>
    <r>
      <t xml:space="preserve">(c) I contratti </t>
    </r>
    <r>
      <rPr>
        <i/>
        <sz val="10.5"/>
        <rFont val="Times New Roman"/>
        <family val="1"/>
      </rPr>
      <t>forward</t>
    </r>
    <r>
      <rPr>
        <sz val="10.5"/>
        <rFont val="Times New Roman"/>
        <family val="1"/>
      </rPr>
      <t xml:space="preserve"> si concludono con la consegna o con la liquidazione per contanti; in genere, ciò non è vero per i contratti </t>
    </r>
    <r>
      <rPr>
        <i/>
        <sz val="10.5"/>
        <rFont val="Times New Roman"/>
        <family val="1"/>
      </rPr>
      <t>futures</t>
    </r>
    <r>
      <rPr>
        <sz val="10.5"/>
        <rFont val="Times New Roman"/>
        <family val="1"/>
      </rPr>
      <t>.</t>
    </r>
  </si>
  <si>
    <r>
      <t xml:space="preserve">(d) Di solito i contratti </t>
    </r>
    <r>
      <rPr>
        <i/>
        <sz val="10.5"/>
        <rFont val="Times New Roman"/>
        <family val="1"/>
      </rPr>
      <t>forward</t>
    </r>
    <r>
      <rPr>
        <sz val="10.5"/>
        <rFont val="Times New Roman"/>
        <family val="1"/>
      </rPr>
      <t xml:space="preserve"> prevedono una sola data di consegna; i contratti </t>
    </r>
    <r>
      <rPr>
        <i/>
        <sz val="10.5"/>
        <rFont val="Times New Roman"/>
        <family val="1"/>
      </rPr>
      <t>futures</t>
    </r>
    <r>
      <rPr>
        <sz val="10.5"/>
        <rFont val="Times New Roman"/>
        <family val="1"/>
      </rPr>
      <t xml:space="preserve"> spesso prevedono più di una data di consegna.</t>
    </r>
  </si>
  <si>
    <r>
      <t xml:space="preserve">(a) Questa flessibilità tende a far crescere il prezzo </t>
    </r>
    <r>
      <rPr>
        <i/>
        <sz val="10.5"/>
        <rFont val="Times New Roman"/>
        <family val="1"/>
      </rPr>
      <t>futures</t>
    </r>
    <r>
      <rPr>
        <sz val="10.5"/>
        <rFont val="Times New Roman"/>
        <family val="1"/>
      </rPr>
      <t>.</t>
    </r>
  </si>
  <si>
    <r>
      <t xml:space="preserve">(b) Questa flessibilità tende a far ridurre il prezzo </t>
    </r>
    <r>
      <rPr>
        <i/>
        <sz val="10.5"/>
        <rFont val="Times New Roman"/>
        <family val="1"/>
      </rPr>
      <t>futures</t>
    </r>
    <r>
      <rPr>
        <sz val="10.5"/>
        <rFont val="Times New Roman"/>
        <family val="1"/>
      </rPr>
      <t>.</t>
    </r>
  </si>
  <si>
    <r>
      <t xml:space="preserve">(c) Questa flessibilità può a volte far crescere e a volte ridurre il prezzo </t>
    </r>
    <r>
      <rPr>
        <i/>
        <sz val="10.5"/>
        <rFont val="Times New Roman"/>
        <family val="1"/>
      </rPr>
      <t>futures</t>
    </r>
    <r>
      <rPr>
        <sz val="10.5"/>
        <rFont val="Times New Roman"/>
        <family val="1"/>
      </rPr>
      <t>.</t>
    </r>
  </si>
  <si>
    <r>
      <t xml:space="preserve">(d) Questa flessibilità non ha effetti sul prezzo </t>
    </r>
    <r>
      <rPr>
        <i/>
        <sz val="10.5"/>
        <rFont val="Times New Roman"/>
        <family val="1"/>
      </rPr>
      <t>futures</t>
    </r>
    <r>
      <rPr>
        <sz val="10.5"/>
        <rFont val="Times New Roman"/>
        <family val="1"/>
      </rPr>
      <t>.</t>
    </r>
  </si>
  <si>
    <r>
      <t>S</t>
    </r>
    <r>
      <rPr>
        <vertAlign val="subscript"/>
        <sz val="10.5"/>
        <rFont val="Symbol"/>
        <family val="1"/>
        <charset val="2"/>
      </rPr>
      <t>t</t>
    </r>
  </si>
  <si>
    <r>
      <t xml:space="preserve">2.8. Vendete un </t>
    </r>
    <r>
      <rPr>
        <b/>
        <i/>
        <sz val="10.5"/>
        <rFont val="Times New Roman"/>
        <family val="1"/>
      </rPr>
      <t>futures</t>
    </r>
    <r>
      <rPr>
        <b/>
        <sz val="10.5"/>
        <rFont val="Times New Roman"/>
        <family val="1"/>
      </rPr>
      <t xml:space="preserve"> sull’oro per consegna dicembre quando il prezzo </t>
    </r>
    <r>
      <rPr>
        <b/>
        <i/>
        <sz val="10.5"/>
        <rFont val="Times New Roman"/>
        <family val="1"/>
      </rPr>
      <t>futures</t>
    </r>
    <r>
      <rPr>
        <b/>
        <sz val="10.5"/>
        <rFont val="Times New Roman"/>
        <family val="1"/>
      </rPr>
      <t xml:space="preserve"> è di $1.010 per oncia.</t>
    </r>
  </si>
  <si>
    <r>
      <t xml:space="preserve">Si applica la «contabilità per le coperture» (hedge accounting). Pertanto, l’intero guadagno sul futures viene imputato al conto economico del 2027, insieme agli effetti dell’operazione coperta. Il guadagno unitario è pari a $4 (= $64 − $60) e quello complessivo è pari a $4.000: 1.000 </t>
    </r>
    <r>
      <rPr>
        <sz val="10.5"/>
        <rFont val="Times New Roman"/>
        <family val="1"/>
      </rPr>
      <t>×</t>
    </r>
    <r>
      <rPr>
        <sz val="10.5"/>
        <rFont val="Times New Roman"/>
        <family val="1"/>
      </rPr>
      <t xml:space="preserve"> ($64 </t>
    </r>
    <r>
      <rPr>
        <sz val="10.5"/>
        <rFont val="Times New Roman"/>
        <family val="1"/>
      </rPr>
      <t>−</t>
    </r>
    <r>
      <rPr>
        <sz val="10.5"/>
        <rFont val="Times New Roman"/>
        <family val="1"/>
      </rPr>
      <t xml:space="preserve"> $60) = $4.000. La risposta corretta è quella sub (d).</t>
    </r>
  </si>
  <si>
    <r>
      <t>F</t>
    </r>
    <r>
      <rPr>
        <sz val="10.5"/>
        <rFont val="Times New Roman"/>
        <family val="1"/>
      </rPr>
      <t>_fine anno</t>
    </r>
  </si>
  <si>
    <r>
      <t>F</t>
    </r>
    <r>
      <rPr>
        <i/>
        <vertAlign val="subscript"/>
        <sz val="10.5"/>
        <rFont val="Times New Roman"/>
        <family val="1"/>
      </rPr>
      <t>T</t>
    </r>
  </si>
  <si>
    <r>
      <t xml:space="preserve">(c) Le </t>
    </r>
    <r>
      <rPr>
        <i/>
        <sz val="10.5"/>
        <rFont val="Times New Roman"/>
        <family val="1"/>
      </rPr>
      <t>calls</t>
    </r>
    <r>
      <rPr>
        <sz val="10.5"/>
        <rFont val="Times New Roman"/>
        <family val="1"/>
      </rPr>
      <t xml:space="preserve"> vengono sempre esercitate alla scadenza se il prezzo dell’attività sottostante è maggiore del prezzo d’esercizio.</t>
    </r>
  </si>
  <si>
    <r>
      <t xml:space="preserve">(d) Le </t>
    </r>
    <r>
      <rPr>
        <i/>
        <sz val="10.5"/>
        <rFont val="Times New Roman"/>
        <family val="1"/>
      </rPr>
      <t>puts</t>
    </r>
    <r>
      <rPr>
        <sz val="10.5"/>
        <rFont val="Times New Roman"/>
        <family val="1"/>
      </rPr>
      <t xml:space="preserve"> vengono sempre esercitate alla scadenza se il prezzo d’esercizio è maggiore del prezzo dell’attività sottostante.</t>
    </r>
  </si>
  <si>
    <r>
      <t xml:space="preserve">Qual è il prezzo “soglia” al di sopra del quale il </t>
    </r>
    <r>
      <rPr>
        <b/>
        <i/>
        <sz val="10.5"/>
        <rFont val="Times New Roman"/>
        <family val="1"/>
      </rPr>
      <t>trader</t>
    </r>
    <r>
      <rPr>
        <b/>
        <sz val="10.5"/>
        <rFont val="Times New Roman"/>
        <family val="1"/>
      </rPr>
      <t xml:space="preserve"> consegue un profitto?</t>
    </r>
  </si>
  <si>
    <r>
      <t>N</t>
    </r>
    <r>
      <rPr>
        <sz val="10.5"/>
        <rFont val="Times New Roman"/>
        <family val="1"/>
      </rPr>
      <t>_</t>
    </r>
    <r>
      <rPr>
        <i/>
        <sz val="10.5"/>
        <rFont val="Times New Roman"/>
        <family val="1"/>
      </rPr>
      <t>calls</t>
    </r>
  </si>
  <si>
    <r>
      <t>N</t>
    </r>
    <r>
      <rPr>
        <sz val="10.5"/>
        <rFont val="Times New Roman"/>
        <family val="1"/>
      </rPr>
      <t>_</t>
    </r>
    <r>
      <rPr>
        <i/>
        <sz val="10.5"/>
        <rFont val="Times New Roman"/>
        <family val="1"/>
      </rPr>
      <t>puts</t>
    </r>
  </si>
  <si>
    <r>
      <t xml:space="preserve">Qual è il prezzo “soglia” al di sotto del quale il </t>
    </r>
    <r>
      <rPr>
        <b/>
        <i/>
        <sz val="10.5"/>
        <rFont val="Times New Roman"/>
        <family val="1"/>
      </rPr>
      <t>trader</t>
    </r>
    <r>
      <rPr>
        <b/>
        <sz val="10.5"/>
        <rFont val="Times New Roman"/>
        <family val="1"/>
      </rPr>
      <t xml:space="preserve"> consegue un profitto?</t>
    </r>
  </si>
  <si>
    <r>
      <t>S</t>
    </r>
    <r>
      <rPr>
        <i/>
        <vertAlign val="subscript"/>
        <sz val="10.5"/>
        <rFont val="Times New Roman"/>
        <family val="1"/>
      </rPr>
      <t>T</t>
    </r>
    <r>
      <rPr>
        <sz val="10.5"/>
        <rFont val="Times New Roman"/>
        <family val="1"/>
      </rPr>
      <t/>
    </r>
  </si>
  <si>
    <r>
      <rPr>
        <i/>
        <sz val="10.5"/>
        <rFont val="Times New Roman"/>
        <family val="1"/>
      </rPr>
      <t>F</t>
    </r>
    <r>
      <rPr>
        <vertAlign val="subscript"/>
        <sz val="10.5"/>
        <rFont val="Times New Roman"/>
        <family val="1"/>
      </rPr>
      <t>1</t>
    </r>
    <r>
      <rPr>
        <sz val="10.5"/>
        <rFont val="Times New Roman"/>
        <family val="1"/>
      </rPr>
      <t/>
    </r>
  </si>
  <si>
    <r>
      <t xml:space="preserve">Sia </t>
    </r>
    <r>
      <rPr>
        <i/>
        <sz val="10.5"/>
        <rFont val="Times New Roman"/>
        <family val="1"/>
      </rPr>
      <t>S</t>
    </r>
    <r>
      <rPr>
        <i/>
        <vertAlign val="subscript"/>
        <sz val="10.5"/>
        <rFont val="Times New Roman"/>
        <family val="1"/>
      </rPr>
      <t>T</t>
    </r>
    <r>
      <rPr>
        <sz val="10.5"/>
        <rFont val="Times New Roman"/>
        <family val="1"/>
      </rPr>
      <t xml:space="preserve"> il prezzo finale del sottostante e </t>
    </r>
    <r>
      <rPr>
        <i/>
        <sz val="10.5"/>
        <rFont val="Times New Roman"/>
        <family val="1"/>
      </rPr>
      <t>K</t>
    </r>
    <r>
      <rPr>
        <sz val="10.5"/>
        <rFont val="Times New Roman"/>
        <family val="1"/>
      </rPr>
      <t xml:space="preserve"> lo strike / prezzo forward. Il payoff di un forward corto è </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T</t>
    </r>
    <r>
      <rPr>
        <sz val="10.5"/>
        <rFont val="Times New Roman"/>
        <family val="1"/>
      </rPr>
      <t>. Il payoff di una call europea lunga è max(</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xml:space="preserve">, 0). Il payoff dell’intero por-tafoglio è max(0, </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xml:space="preserve"> − </t>
    </r>
    <r>
      <rPr>
        <i/>
        <sz val="10.5"/>
        <rFont val="Times New Roman"/>
        <family val="1"/>
      </rPr>
      <t>S</t>
    </r>
    <r>
      <rPr>
        <i/>
        <vertAlign val="subscript"/>
        <sz val="10.5"/>
        <rFont val="Times New Roman"/>
        <family val="1"/>
      </rPr>
      <t>T</t>
    </r>
    <r>
      <rPr>
        <sz val="10.5"/>
        <rFont val="Times New Roman"/>
        <family val="1"/>
      </rPr>
      <t xml:space="preserve"> + max(</t>
    </r>
    <r>
      <rPr>
        <i/>
        <sz val="10.5"/>
        <rFont val="Times New Roman"/>
        <family val="1"/>
      </rPr>
      <t>S</t>
    </r>
    <r>
      <rPr>
        <i/>
        <vertAlign val="subscript"/>
        <sz val="10.5"/>
        <rFont val="Times New Roman"/>
        <family val="1"/>
      </rPr>
      <t>T</t>
    </r>
    <r>
      <rPr>
        <sz val="10.5"/>
        <rFont val="Times New Roman"/>
        <family val="1"/>
      </rPr>
      <t xml:space="preserve"> − </t>
    </r>
    <r>
      <rPr>
        <i/>
        <sz val="10.5"/>
        <rFont val="Times New Roman"/>
        <family val="1"/>
      </rPr>
      <t>K</t>
    </r>
    <r>
      <rPr>
        <sz val="10.5"/>
        <rFont val="Times New Roman"/>
        <family val="1"/>
      </rPr>
      <t>, 0)],</t>
    </r>
  </si>
  <si>
    <r>
      <t>Q</t>
    </r>
    <r>
      <rPr>
        <i/>
        <vertAlign val="subscript"/>
        <sz val="10.5"/>
        <rFont val="Times New Roman"/>
        <family val="1"/>
      </rPr>
      <t>F</t>
    </r>
  </si>
  <si>
    <r>
      <t xml:space="preserve">(a) assumere che il tasso di crescita atteso del prezzo dell’azione sia pari al 17% e attualizzare il </t>
    </r>
    <r>
      <rPr>
        <i/>
        <sz val="10.5"/>
        <rFont val="Times New Roman"/>
        <family val="1"/>
      </rPr>
      <t>payoff</t>
    </r>
    <r>
      <rPr>
        <sz val="10.5"/>
        <rFont val="Times New Roman"/>
        <family val="1"/>
      </rPr>
      <t xml:space="preserve"> atteso del derivato in base al tasso del 12%.</t>
    </r>
  </si>
  <si>
    <t>19.2. Cos’è il theta?</t>
  </si>
  <si>
    <t>26.3. Esistono solo due tipi di opzioni ordinarie: calls e puts. Quanti sono i tipi di opzioni composte?</t>
  </si>
  <si>
    <t>26.4. Esistono solo due tipi di opzioni ordinarie: calls e puts. Quanti sono i tipi di opzioni con barriera?</t>
  </si>
  <si>
    <t>26.6. Qual è il payoff di una floating lookback call?</t>
  </si>
  <si>
    <t>26.1. Considerate le opzioni asiatiche. Solo una delle seguenti definizioni è corretta. Quale?</t>
  </si>
  <si>
    <t>Capitolo 8 Cartolarizzazioni e Crisi Finanziaria del 2007-8</t>
  </si>
  <si>
    <t>Capitolo 13 Alberi Binomiali</t>
  </si>
  <si>
    <t>Capitolo 20 Volatility Smiles e Volatility Surfaces</t>
  </si>
  <si>
    <t>Capitolo 26 Opzioni Esotiche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</si>
</sst>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164" formatCode="_-* #,##0.00_-;\-* #,##0.00_-;_-* &quot;-&quot;??_-;_-@_-"/>
    <numFmt numFmtId="165" formatCode="0.0000"/>
    <numFmt numFmtId="166" formatCode="[$$-409]#,##0.00"/>
    <numFmt numFmtId="167" formatCode="[$$-409]#,##0"/>
    <numFmt numFmtId="168" formatCode="[$$-409]#,##0.0"/>
    <numFmt numFmtId="169" formatCode="[$$-409]#,##0.0000"/>
    <numFmt numFmtId="170" formatCode="0.000"/>
    <numFmt numFmtId="171" formatCode="0.0%"/>
    <numFmt numFmtId="172" formatCode="#,##0.0000"/>
    <numFmt numFmtId="173" formatCode="0.000000"/>
    <numFmt numFmtId="174" formatCode="0.000%"/>
    <numFmt numFmtId="175" formatCode="0.0"/>
    <numFmt numFmtId="176" formatCode="[$$-409]#,##0.000"/>
    <numFmt numFmtId="177" formatCode="0.00000"/>
    <numFmt numFmtId="178" formatCode="#,##0.000"/>
    <numFmt numFmtId="179" formatCode="_-* #,##0_-;\-* #,##0_-;_-* &quot;-&quot;??_-;_-@_-"/>
    <numFmt numFmtId="180" formatCode="&quot;$&quot;#,##0.00"/>
    <numFmt numFmtId="181" formatCode="0.00000%"/>
  </numFmts>
  <fonts count="22" x14ac:knownFonts="1">
    <font>
      <sz val="10.5"/>
      <name val="Times New Roman"/>
      <family val="1"/>
    </font>
    <font>
      <sz val="10.5"/>
      <color theme="1"/>
      <name val="Times New Roman"/>
      <family val="1"/>
    </font>
    <font>
      <sz val="10.5"/>
      <name val="Times New Roman"/>
      <family val="1"/>
    </font>
    <font>
      <sz val="10.5"/>
      <name val="Times New Roman"/>
      <family val="1"/>
    </font>
    <font>
      <b/>
      <sz val="10.5"/>
      <name val="Times New Roman"/>
      <family val="1"/>
    </font>
    <font>
      <i/>
      <sz val="10.5"/>
      <name val="Times New Roman"/>
      <family val="1"/>
    </font>
    <font>
      <i/>
      <vertAlign val="subscript"/>
      <sz val="10.5"/>
      <name val="Times New Roman"/>
      <family val="1"/>
    </font>
    <font>
      <vertAlign val="subscript"/>
      <sz val="10.5"/>
      <name val="Times New Roman"/>
      <family val="1"/>
    </font>
    <font>
      <sz val="10.5"/>
      <name val="Times New Roman"/>
      <family val="1"/>
    </font>
    <font>
      <i/>
      <vertAlign val="superscript"/>
      <sz val="10.5"/>
      <name val="Times New Roman"/>
      <family val="1"/>
    </font>
    <font>
      <b/>
      <i/>
      <sz val="10.5"/>
      <name val="Times New Roman"/>
      <family val="1"/>
    </font>
    <font>
      <sz val="10.5"/>
      <color rgb="FFFF0000"/>
      <name val="Times New Roman"/>
      <family val="1"/>
    </font>
    <font>
      <vertAlign val="superscript"/>
      <sz val="10.5"/>
      <name val="Times New Roman"/>
      <family val="1"/>
    </font>
    <font>
      <i/>
      <sz val="10.5"/>
      <name val="Symbol"/>
      <family val="1"/>
      <charset val="2"/>
    </font>
    <font>
      <i/>
      <sz val="10.5"/>
      <name val="Times New Roman"/>
      <family val="1"/>
    </font>
    <font>
      <sz val="10.5"/>
      <name val="Symbol"/>
      <family val="1"/>
      <charset val="2"/>
    </font>
    <font>
      <b/>
      <vertAlign val="subscript"/>
      <sz val="10.5"/>
      <name val="Times New Roman"/>
      <family val="1"/>
    </font>
    <font>
      <b/>
      <vertAlign val="superscript"/>
      <sz val="10.5"/>
      <name val="Times New Roman"/>
      <family val="1"/>
    </font>
    <font>
      <b/>
      <i/>
      <vertAlign val="superscript"/>
      <sz val="10.5"/>
      <name val="Times New Roman"/>
      <family val="1"/>
    </font>
    <font>
      <b/>
      <u/>
      <sz val="10.5"/>
      <name val="Times New Roman"/>
      <family val="1"/>
    </font>
    <font>
      <vertAlign val="subscript"/>
      <sz val="10.5"/>
      <name val="Symbol"/>
      <family val="1"/>
      <charset val="2"/>
    </font>
    <font>
      <b/>
      <sz val="10.5"/>
      <color rgb="FF000000"/>
      <name val="Times New Roman"/>
      <family val="1"/>
    </font>
  </fonts>
  <fills count="3">
    <fill>
      <patternFill patternType="none"/>
    </fill>
    <fill>
      <patternFill patternType="gray125"/>
    </fill>
    <fill>
      <patternFill patternType="solid">
        <fgColor rgb="FFEEEEEE"/>
      </patternFill>
    </fill>
  </fills>
  <borders count="7">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2" fillId="0" borderId="0" applyFont="0" applyFill="0" applyBorder="0" applyAlignment="0" applyProtection="0"/>
    <xf numFmtId="164" fontId="3" fillId="0" borderId="0" applyFont="0" applyFill="0" applyBorder="0" applyAlignment="0" applyProtection="0"/>
  </cellStyleXfs>
  <cellXfs count="85">
    <xf numFmtId="0" fontId="0" fillId="0" borderId="0" xfId="0"/>
    <xf numFmtId="10" fontId="0" fillId="0" borderId="0" xfId="1" applyNumberFormat="1" applyFont="1"/>
    <xf numFmtId="9" fontId="0" fillId="0" borderId="0" xfId="1" applyFont="1"/>
    <xf numFmtId="164" fontId="0" fillId="0" borderId="0" xfId="2" applyFont="1"/>
    <xf numFmtId="171" fontId="0" fillId="0" borderId="0" xfId="1" applyNumberFormat="1" applyFont="1"/>
    <xf numFmtId="179" fontId="0" fillId="0" borderId="0" xfId="2" applyNumberFormat="1" applyFont="1"/>
    <xf numFmtId="171" fontId="0" fillId="0" borderId="2" xfId="1" applyNumberFormat="1" applyFont="1" applyBorder="1"/>
    <xf numFmtId="181" fontId="0" fillId="0" borderId="0" xfId="1" applyNumberFormat="1" applyFont="1"/>
    <xf numFmtId="0" fontId="4" fillId="0" borderId="0" xfId="0" applyFont="1"/>
    <xf numFmtId="0" fontId="0" fillId="0" borderId="0" xfId="0" applyFont="1"/>
    <xf numFmtId="0" fontId="4" fillId="0" borderId="0" xfId="0" quotePrefix="1" applyFont="1"/>
    <xf numFmtId="0" fontId="0" fillId="0" borderId="2" xfId="0" applyFont="1" applyBorder="1"/>
    <xf numFmtId="167" fontId="0" fillId="0" borderId="0" xfId="0" applyNumberFormat="1" applyFont="1"/>
    <xf numFmtId="168" fontId="0" fillId="0" borderId="0" xfId="0" applyNumberFormat="1" applyFont="1"/>
    <xf numFmtId="10" fontId="0" fillId="0" borderId="0" xfId="0" applyNumberFormat="1" applyFont="1"/>
    <xf numFmtId="166" fontId="0" fillId="0" borderId="0" xfId="0" applyNumberFormat="1" applyFont="1"/>
    <xf numFmtId="165" fontId="0" fillId="0" borderId="0" xfId="0" applyNumberFormat="1" applyFont="1"/>
    <xf numFmtId="169" fontId="0" fillId="0" borderId="0" xfId="0" applyNumberFormat="1" applyFont="1"/>
    <xf numFmtId="2" fontId="0" fillId="0" borderId="0" xfId="0" applyNumberFormat="1" applyFont="1"/>
    <xf numFmtId="0" fontId="0" fillId="0" borderId="0" xfId="0" applyNumberFormat="1" applyFont="1"/>
    <xf numFmtId="171" fontId="0" fillId="0" borderId="0" xfId="0" applyNumberFormat="1" applyFont="1"/>
    <xf numFmtId="9" fontId="0" fillId="0" borderId="0" xfId="0" applyNumberFormat="1" applyFont="1"/>
    <xf numFmtId="4" fontId="0" fillId="0" borderId="0" xfId="0" applyNumberFormat="1" applyFont="1"/>
    <xf numFmtId="3" fontId="0" fillId="0" borderId="0" xfId="0" applyNumberFormat="1" applyFont="1"/>
    <xf numFmtId="173" fontId="0" fillId="0" borderId="0" xfId="0" applyNumberFormat="1" applyFont="1"/>
    <xf numFmtId="0" fontId="5" fillId="0" borderId="0" xfId="0" applyFont="1"/>
    <xf numFmtId="0" fontId="0" fillId="0" borderId="0" xfId="0" applyFont="1" applyAlignment="1"/>
    <xf numFmtId="171" fontId="0" fillId="0" borderId="0" xfId="0" applyNumberFormat="1" applyFont="1" applyAlignment="1"/>
    <xf numFmtId="171" fontId="11" fillId="0" borderId="0" xfId="0" applyNumberFormat="1" applyFont="1"/>
    <xf numFmtId="0" fontId="0" fillId="0" borderId="0" xfId="0" applyFont="1" applyAlignment="1">
      <alignment horizontal="justify"/>
    </xf>
    <xf numFmtId="177" fontId="0" fillId="0" borderId="0" xfId="0" applyNumberFormat="1" applyFont="1"/>
    <xf numFmtId="2" fontId="0" fillId="0" borderId="0" xfId="0" applyNumberFormat="1" applyFont="1" applyAlignment="1"/>
    <xf numFmtId="176" fontId="0" fillId="0" borderId="0" xfId="0" applyNumberFormat="1" applyFont="1"/>
    <xf numFmtId="0" fontId="13" fillId="0" borderId="0" xfId="0" applyFont="1"/>
    <xf numFmtId="178" fontId="0" fillId="0" borderId="0" xfId="0" applyNumberFormat="1" applyFont="1"/>
    <xf numFmtId="0" fontId="15" fillId="0" borderId="0" xfId="0" applyFont="1"/>
    <xf numFmtId="1" fontId="0" fillId="0" borderId="0" xfId="0" applyNumberFormat="1" applyFont="1"/>
    <xf numFmtId="0" fontId="0" fillId="0" borderId="0" xfId="0" applyFont="1" applyBorder="1"/>
    <xf numFmtId="0" fontId="0" fillId="0" borderId="0" xfId="0" applyFont="1" applyBorder="1" applyAlignment="1">
      <alignment horizontal="center"/>
    </xf>
    <xf numFmtId="168" fontId="0" fillId="0" borderId="0" xfId="0" applyNumberFormat="1" applyFont="1" applyBorder="1"/>
    <xf numFmtId="9" fontId="0" fillId="0" borderId="3" xfId="0" applyNumberFormat="1" applyFont="1" applyBorder="1" applyAlignment="1">
      <alignment horizontal="center"/>
    </xf>
    <xf numFmtId="171" fontId="0" fillId="0" borderId="4" xfId="0" applyNumberFormat="1" applyFont="1" applyBorder="1" applyAlignment="1">
      <alignment horizontal="center"/>
    </xf>
    <xf numFmtId="171" fontId="0" fillId="0" borderId="0" xfId="0" applyNumberFormat="1" applyFont="1" applyAlignment="1">
      <alignment horizontal="center"/>
    </xf>
    <xf numFmtId="9" fontId="0" fillId="0" borderId="5" xfId="0" applyNumberFormat="1" applyFont="1" applyBorder="1" applyAlignment="1">
      <alignment horizontal="center"/>
    </xf>
    <xf numFmtId="171" fontId="0" fillId="0" borderId="6" xfId="0" applyNumberFormat="1" applyFont="1" applyBorder="1" applyAlignment="1">
      <alignment horizontal="center"/>
    </xf>
    <xf numFmtId="10" fontId="0" fillId="0" borderId="0" xfId="0" applyNumberFormat="1" applyFont="1" applyAlignment="1">
      <alignment horizontal="center"/>
    </xf>
    <xf numFmtId="0" fontId="0" fillId="0" borderId="0" xfId="0" applyFont="1" applyAlignment="1">
      <alignment horizontal="right"/>
    </xf>
    <xf numFmtId="0" fontId="8" fillId="0" borderId="0" xfId="0" applyFont="1"/>
    <xf numFmtId="0" fontId="14" fillId="0" borderId="0" xfId="0" applyFont="1"/>
    <xf numFmtId="170" fontId="0" fillId="0" borderId="0" xfId="0" applyNumberFormat="1" applyFont="1"/>
    <xf numFmtId="0" fontId="5" fillId="0" borderId="0" xfId="0" applyFont="1" applyAlignment="1">
      <alignment horizontal="right"/>
    </xf>
    <xf numFmtId="175" fontId="0" fillId="0" borderId="0" xfId="0" applyNumberFormat="1" applyFont="1"/>
    <xf numFmtId="0" fontId="0" fillId="0" borderId="0" xfId="0" applyFont="1" applyAlignment="1">
      <alignment horizontal="right" indent="1"/>
    </xf>
    <xf numFmtId="168" fontId="0" fillId="0" borderId="0" xfId="0" applyNumberFormat="1" applyFont="1" applyAlignment="1">
      <alignment horizontal="right" indent="1"/>
    </xf>
    <xf numFmtId="176" fontId="0" fillId="0" borderId="0" xfId="0" applyNumberFormat="1" applyFont="1" applyAlignment="1">
      <alignment horizontal="right" indent="1"/>
    </xf>
    <xf numFmtId="176" fontId="0" fillId="0" borderId="0" xfId="0" applyNumberFormat="1" applyFont="1" applyAlignment="1"/>
    <xf numFmtId="167" fontId="0" fillId="0" borderId="0" xfId="0" applyNumberFormat="1" applyFont="1" applyAlignment="1">
      <alignment horizontal="right" indent="1"/>
    </xf>
    <xf numFmtId="0" fontId="4" fillId="0" borderId="0" xfId="0" applyFont="1" applyAlignment="1"/>
    <xf numFmtId="167" fontId="0" fillId="0" borderId="1" xfId="0" applyNumberFormat="1" applyFont="1" applyBorder="1"/>
    <xf numFmtId="0" fontId="5" fillId="0" borderId="0" xfId="0" applyFont="1" applyAlignment="1">
      <alignment horizontal="center"/>
    </xf>
    <xf numFmtId="167" fontId="0" fillId="0" borderId="2" xfId="0" applyNumberFormat="1" applyFont="1" applyBorder="1"/>
    <xf numFmtId="0" fontId="5" fillId="0" borderId="1" xfId="0" applyFont="1" applyBorder="1" applyAlignment="1">
      <alignment horizontal="center" wrapText="1"/>
    </xf>
    <xf numFmtId="9" fontId="0" fillId="0" borderId="1" xfId="0" applyNumberFormat="1" applyFont="1" applyBorder="1" applyAlignment="1">
      <alignment horizontal="center" wrapText="1"/>
    </xf>
    <xf numFmtId="171" fontId="0" fillId="0" borderId="1" xfId="0" applyNumberFormat="1" applyFont="1" applyBorder="1" applyAlignment="1">
      <alignment horizontal="right" wrapText="1"/>
    </xf>
    <xf numFmtId="171" fontId="0" fillId="0" borderId="1" xfId="0" applyNumberFormat="1" applyFont="1" applyBorder="1" applyAlignment="1">
      <alignment horizontal="center" wrapText="1"/>
    </xf>
    <xf numFmtId="0" fontId="0" fillId="0" borderId="0" xfId="0" applyFont="1" applyAlignment="1">
      <alignment horizontal="center"/>
    </xf>
    <xf numFmtId="0" fontId="0" fillId="0" borderId="0" xfId="0" quotePrefix="1" applyFont="1"/>
    <xf numFmtId="174" fontId="0" fillId="0" borderId="0" xfId="0" applyNumberFormat="1" applyFont="1"/>
    <xf numFmtId="16" fontId="0" fillId="0" borderId="0" xfId="0" applyNumberFormat="1" applyFont="1"/>
    <xf numFmtId="164" fontId="0" fillId="0" borderId="0" xfId="0" applyNumberFormat="1" applyFont="1"/>
    <xf numFmtId="180" fontId="0" fillId="0" borderId="0" xfId="0" applyNumberFormat="1" applyFont="1"/>
    <xf numFmtId="172" fontId="0" fillId="0" borderId="0" xfId="0" applyNumberFormat="1" applyFont="1"/>
    <xf numFmtId="0" fontId="0" fillId="0" borderId="0" xfId="0" applyFont="1" applyAlignment="1">
      <alignment horizontal="justify" vertical="center"/>
    </xf>
    <xf numFmtId="0" fontId="21" fillId="2" borderId="2" xfId="0" applyFont="1" applyFill="1" applyBorder="1"/>
    <xf numFmtId="0" fontId="21" fillId="2" borderId="2" xfId="0" applyFont="1" applyFill="1" applyBorder="1" applyAlignment="1">
      <alignment horizontal="center"/>
    </xf>
    <xf numFmtId="0" fontId="21" fillId="2" borderId="0" xfId="0" applyFont="1" applyFill="1"/>
    <xf numFmtId="0" fontId="0" fillId="0" borderId="0" xfId="0" applyFont="1"/>
    <xf numFmtId="0" fontId="5" fillId="0" borderId="0" xfId="0" applyFont="1" applyAlignment="1">
      <alignment horizontal="right"/>
    </xf>
    <xf numFmtId="0" fontId="5" fillId="0" borderId="0" xfId="0" applyFont="1" applyBorder="1" applyAlignment="1">
      <alignment horizontal="center" wrapText="1"/>
    </xf>
    <xf numFmtId="0" fontId="0" fillId="0" borderId="2" xfId="0" applyFont="1" applyBorder="1" applyAlignment="1">
      <alignment horizontal="center" wrapText="1"/>
    </xf>
    <xf numFmtId="0" fontId="5" fillId="0" borderId="2" xfId="0" applyFont="1" applyBorder="1" applyAlignment="1">
      <alignment horizontal="center" wrapText="1"/>
    </xf>
    <xf numFmtId="9" fontId="0" fillId="0" borderId="1" xfId="0" applyNumberFormat="1" applyFont="1" applyBorder="1" applyAlignment="1">
      <alignment horizontal="center" wrapText="1"/>
    </xf>
    <xf numFmtId="171" fontId="0" fillId="0" borderId="1" xfId="0" applyNumberFormat="1" applyFont="1" applyBorder="1" applyAlignment="1">
      <alignment horizontal="center" wrapText="1"/>
    </xf>
    <xf numFmtId="0" fontId="5" fillId="0" borderId="0" xfId="0" applyFont="1" applyAlignment="1">
      <alignment horizontal="center"/>
    </xf>
    <xf numFmtId="0" fontId="5" fillId="0" borderId="2" xfId="0" applyFont="1" applyBorder="1" applyAlignment="1">
      <alignment horizontal="center"/>
    </xf>
  </cellXfs>
  <cellStyles count="3">
    <cellStyle name="Migliaia" xfId="2" builtinId="3"/>
    <cellStyle name="Normale" xfId="0" builtinId="0" customBuiltin="1"/>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6.emf"/><Relationship Id="rId7" Type="http://schemas.openxmlformats.org/officeDocument/2006/relationships/image" Target="../media/image10.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9.emf"/><Relationship Id="rId5" Type="http://schemas.openxmlformats.org/officeDocument/2006/relationships/image" Target="../media/image8.emf"/><Relationship Id="rId4" Type="http://schemas.openxmlformats.org/officeDocument/2006/relationships/image" Target="../media/image7.emf"/></Relationships>
</file>

<file path=xl/drawings/_rels/drawing4.x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4" Type="http://schemas.openxmlformats.org/officeDocument/2006/relationships/image" Target="../media/image14.emf"/></Relationships>
</file>

<file path=xl/drawings/_rels/drawing5.xml.rels><?xml version="1.0" encoding="UTF-8" standalone="yes"?>
<Relationships xmlns="http://schemas.openxmlformats.org/package/2006/relationships"><Relationship Id="rId3" Type="http://schemas.openxmlformats.org/officeDocument/2006/relationships/image" Target="../media/image17.emf"/><Relationship Id="rId7" Type="http://schemas.openxmlformats.org/officeDocument/2006/relationships/image" Target="../media/image21.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5" Type="http://schemas.openxmlformats.org/officeDocument/2006/relationships/image" Target="../media/image19.emf"/><Relationship Id="rId4" Type="http://schemas.openxmlformats.org/officeDocument/2006/relationships/image" Target="../media/image18.emf"/></Relationships>
</file>

<file path=xl/drawings/_rels/drawing6.x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s>
</file>

<file path=xl/drawings/_rels/drawing7.x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6.emf"/><Relationship Id="rId1" Type="http://schemas.openxmlformats.org/officeDocument/2006/relationships/image" Target="../media/image25.emf"/></Relationships>
</file>

<file path=xl/drawings/_rels/drawing8.x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9.emf"/><Relationship Id="rId1" Type="http://schemas.openxmlformats.org/officeDocument/2006/relationships/image" Target="../media/image28.emf"/></Relationships>
</file>

<file path=xl/drawings/_rels/drawing9.xml.rels><?xml version="1.0" encoding="UTF-8" standalone="yes"?>
<Relationships xmlns="http://schemas.openxmlformats.org/package/2006/relationships"><Relationship Id="rId1" Type="http://schemas.openxmlformats.org/officeDocument/2006/relationships/image" Target="../media/image31.emf"/></Relationships>
</file>

<file path=xl/drawings/_rels/drawing10.xml.rels><?xml version="1.0" encoding="UTF-8" standalone="yes"?>
<Relationships xmlns="http://schemas.openxmlformats.org/package/2006/relationships"><Relationship Id="rId2" Type="http://schemas.openxmlformats.org/officeDocument/2006/relationships/image" Target="../media/image33.emf"/><Relationship Id="rId1"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83</xdr:row>
      <xdr:rowOff>38100</xdr:rowOff>
    </xdr:from>
    <xdr:to>
      <xdr:col>17</xdr:col>
      <xdr:colOff>542925</xdr:colOff>
      <xdr:row>85</xdr:row>
      <xdr:rowOff>28575</xdr:rowOff>
    </xdr:to>
    <xdr:pic>
      <xdr:nvPicPr>
        <xdr:cNvPr id="3" name="Immagine 2"/>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4750" y="12068175"/>
          <a:ext cx="2352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47625</xdr:colOff>
      <xdr:row>83</xdr:row>
      <xdr:rowOff>85725</xdr:rowOff>
    </xdr:from>
    <xdr:to>
      <xdr:col>9</xdr:col>
      <xdr:colOff>190500</xdr:colOff>
      <xdr:row>85</xdr:row>
      <xdr:rowOff>38100</xdr:rowOff>
    </xdr:to>
    <xdr:pic>
      <xdr:nvPicPr>
        <xdr:cNvPr id="4" name="Immagin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86125" y="12115800"/>
          <a:ext cx="19716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352425</xdr:colOff>
      <xdr:row>169</xdr:row>
      <xdr:rowOff>76200</xdr:rowOff>
    </xdr:from>
    <xdr:to>
      <xdr:col>14</xdr:col>
      <xdr:colOff>209550</xdr:colOff>
      <xdr:row>171</xdr:row>
      <xdr:rowOff>38100</xdr:rowOff>
    </xdr:to>
    <xdr:pic>
      <xdr:nvPicPr>
        <xdr:cNvPr id="2" name="Immagin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10400" y="24279225"/>
          <a:ext cx="1685925"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190500</xdr:colOff>
      <xdr:row>32</xdr:row>
      <xdr:rowOff>38100</xdr:rowOff>
    </xdr:from>
    <xdr:to>
      <xdr:col>8</xdr:col>
      <xdr:colOff>161290</xdr:colOff>
      <xdr:row>34</xdr:row>
      <xdr:rowOff>1270</xdr:rowOff>
    </xdr:to>
    <xdr:pic>
      <xdr:nvPicPr>
        <xdr:cNvPr id="9" name="Immagin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19550" y="4343400"/>
          <a:ext cx="580390" cy="344170"/>
        </a:xfrm>
        <a:prstGeom prst="rect">
          <a:avLst/>
        </a:prstGeom>
        <a:noFill/>
        <a:ln>
          <a:noFill/>
        </a:ln>
      </xdr:spPr>
    </xdr:pic>
    <xdr:clientData/>
  </xdr:twoCellAnchor>
  <xdr:oneCellAnchor>
    <xdr:from>
      <xdr:col>7</xdr:col>
      <xdr:colOff>295275</xdr:colOff>
      <xdr:row>54</xdr:row>
      <xdr:rowOff>47625</xdr:rowOff>
    </xdr:from>
    <xdr:ext cx="580390" cy="344170"/>
    <xdr:pic>
      <xdr:nvPicPr>
        <xdr:cNvPr id="10" name="Immagine 9"/>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29075" y="7800975"/>
          <a:ext cx="580390" cy="344170"/>
        </a:xfrm>
        <a:prstGeom prst="rect">
          <a:avLst/>
        </a:prstGeom>
        <a:noFill/>
        <a:ln>
          <a:noFill/>
        </a:ln>
      </xdr:spPr>
    </xdr:pic>
    <xdr:clientData/>
  </xdr:oneCellAnchor>
  <xdr:oneCellAnchor>
    <xdr:from>
      <xdr:col>7</xdr:col>
      <xdr:colOff>295275</xdr:colOff>
      <xdr:row>98</xdr:row>
      <xdr:rowOff>47625</xdr:rowOff>
    </xdr:from>
    <xdr:ext cx="580390" cy="344170"/>
    <xdr:pic>
      <xdr:nvPicPr>
        <xdr:cNvPr id="11" name="Immagine 1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29075" y="14125575"/>
          <a:ext cx="580390" cy="344170"/>
        </a:xfrm>
        <a:prstGeom prst="rect">
          <a:avLst/>
        </a:prstGeom>
        <a:noFill/>
        <a:ln>
          <a:noFill/>
        </a:ln>
      </xdr:spPr>
    </xdr:pic>
    <xdr:clientData/>
  </xdr:oneCellAnchor>
  <xdr:twoCellAnchor editAs="oneCell">
    <xdr:from>
      <xdr:col>3</xdr:col>
      <xdr:colOff>180975</xdr:colOff>
      <xdr:row>183</xdr:row>
      <xdr:rowOff>38100</xdr:rowOff>
    </xdr:from>
    <xdr:to>
      <xdr:col>6</xdr:col>
      <xdr:colOff>180975</xdr:colOff>
      <xdr:row>185</xdr:row>
      <xdr:rowOff>10795</xdr:rowOff>
    </xdr:to>
    <xdr:pic>
      <xdr:nvPicPr>
        <xdr:cNvPr id="12" name="Immagine 1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1175" y="26279475"/>
          <a:ext cx="1828800" cy="353695"/>
        </a:xfrm>
        <a:prstGeom prst="rect">
          <a:avLst/>
        </a:prstGeom>
        <a:noFill/>
        <a:ln>
          <a:noFill/>
        </a:ln>
      </xdr:spPr>
    </xdr:pic>
    <xdr:clientData/>
  </xdr:twoCellAnchor>
  <xdr:twoCellAnchor>
    <xdr:from>
      <xdr:col>1</xdr:col>
      <xdr:colOff>9525</xdr:colOff>
      <xdr:row>189</xdr:row>
      <xdr:rowOff>80963</xdr:rowOff>
    </xdr:from>
    <xdr:to>
      <xdr:col>2</xdr:col>
      <xdr:colOff>160125</xdr:colOff>
      <xdr:row>191</xdr:row>
      <xdr:rowOff>76200</xdr:rowOff>
    </xdr:to>
    <xdr:cxnSp macro="">
      <xdr:nvCxnSpPr>
        <xdr:cNvPr id="3" name="Connettore 2 2"/>
        <xdr:cNvCxnSpPr/>
      </xdr:nvCxnSpPr>
      <xdr:spPr>
        <a:xfrm flipV="1">
          <a:off x="542925" y="27179588"/>
          <a:ext cx="684000" cy="280987"/>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4757</xdr:colOff>
      <xdr:row>187</xdr:row>
      <xdr:rowOff>76193</xdr:rowOff>
    </xdr:from>
    <xdr:to>
      <xdr:col>4</xdr:col>
      <xdr:colOff>155357</xdr:colOff>
      <xdr:row>189</xdr:row>
      <xdr:rowOff>71243</xdr:rowOff>
    </xdr:to>
    <xdr:cxnSp macro="">
      <xdr:nvCxnSpPr>
        <xdr:cNvPr id="16" name="Connettore 2 15"/>
        <xdr:cNvCxnSpPr/>
      </xdr:nvCxnSpPr>
      <xdr:spPr>
        <a:xfrm flipV="1">
          <a:off x="1604957" y="268890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191</xdr:row>
      <xdr:rowOff>76193</xdr:rowOff>
    </xdr:from>
    <xdr:to>
      <xdr:col>4</xdr:col>
      <xdr:colOff>150600</xdr:colOff>
      <xdr:row>193</xdr:row>
      <xdr:rowOff>71243</xdr:rowOff>
    </xdr:to>
    <xdr:cxnSp macro="">
      <xdr:nvCxnSpPr>
        <xdr:cNvPr id="17" name="Connettore 2 16"/>
        <xdr:cNvCxnSpPr/>
      </xdr:nvCxnSpPr>
      <xdr:spPr>
        <a:xfrm flipV="1">
          <a:off x="1600200" y="274605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191</xdr:row>
      <xdr:rowOff>85725</xdr:rowOff>
    </xdr:from>
    <xdr:to>
      <xdr:col>2</xdr:col>
      <xdr:colOff>160125</xdr:colOff>
      <xdr:row>193</xdr:row>
      <xdr:rowOff>80963</xdr:rowOff>
    </xdr:to>
    <xdr:cxnSp macro="">
      <xdr:nvCxnSpPr>
        <xdr:cNvPr id="18" name="Connettore 2 17"/>
        <xdr:cNvCxnSpPr/>
      </xdr:nvCxnSpPr>
      <xdr:spPr>
        <a:xfrm>
          <a:off x="542925" y="27470100"/>
          <a:ext cx="684000" cy="280988"/>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193</xdr:row>
      <xdr:rowOff>76193</xdr:rowOff>
    </xdr:from>
    <xdr:to>
      <xdr:col>4</xdr:col>
      <xdr:colOff>150600</xdr:colOff>
      <xdr:row>195</xdr:row>
      <xdr:rowOff>71243</xdr:rowOff>
    </xdr:to>
    <xdr:cxnSp macro="">
      <xdr:nvCxnSpPr>
        <xdr:cNvPr id="21" name="Connettore 2 20"/>
        <xdr:cNvCxnSpPr/>
      </xdr:nvCxnSpPr>
      <xdr:spPr>
        <a:xfrm>
          <a:off x="1600200" y="2774631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189</xdr:row>
      <xdr:rowOff>76208</xdr:rowOff>
    </xdr:from>
    <xdr:to>
      <xdr:col>4</xdr:col>
      <xdr:colOff>150600</xdr:colOff>
      <xdr:row>191</xdr:row>
      <xdr:rowOff>71258</xdr:rowOff>
    </xdr:to>
    <xdr:cxnSp macro="">
      <xdr:nvCxnSpPr>
        <xdr:cNvPr id="22" name="Connettore 2 21"/>
        <xdr:cNvCxnSpPr/>
      </xdr:nvCxnSpPr>
      <xdr:spPr>
        <a:xfrm>
          <a:off x="1600200" y="27174833"/>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180975</xdr:colOff>
      <xdr:row>217</xdr:row>
      <xdr:rowOff>38100</xdr:rowOff>
    </xdr:from>
    <xdr:ext cx="1828800" cy="353695"/>
    <xdr:pic>
      <xdr:nvPicPr>
        <xdr:cNvPr id="28" name="Immagine 27"/>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1175" y="26279475"/>
          <a:ext cx="1828800" cy="353695"/>
        </a:xfrm>
        <a:prstGeom prst="rect">
          <a:avLst/>
        </a:prstGeom>
        <a:noFill/>
        <a:ln>
          <a:noFill/>
        </a:ln>
      </xdr:spPr>
    </xdr:pic>
    <xdr:clientData/>
  </xdr:oneCellAnchor>
  <xdr:twoCellAnchor>
    <xdr:from>
      <xdr:col>1</xdr:col>
      <xdr:colOff>9525</xdr:colOff>
      <xdr:row>223</xdr:row>
      <xdr:rowOff>80963</xdr:rowOff>
    </xdr:from>
    <xdr:to>
      <xdr:col>2</xdr:col>
      <xdr:colOff>160125</xdr:colOff>
      <xdr:row>225</xdr:row>
      <xdr:rowOff>76200</xdr:rowOff>
    </xdr:to>
    <xdr:cxnSp macro="">
      <xdr:nvCxnSpPr>
        <xdr:cNvPr id="29" name="Connettore 2 28"/>
        <xdr:cNvCxnSpPr/>
      </xdr:nvCxnSpPr>
      <xdr:spPr>
        <a:xfrm flipV="1">
          <a:off x="542925" y="27179588"/>
          <a:ext cx="684000" cy="280987"/>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4757</xdr:colOff>
      <xdr:row>221</xdr:row>
      <xdr:rowOff>76193</xdr:rowOff>
    </xdr:from>
    <xdr:to>
      <xdr:col>4</xdr:col>
      <xdr:colOff>155357</xdr:colOff>
      <xdr:row>223</xdr:row>
      <xdr:rowOff>71243</xdr:rowOff>
    </xdr:to>
    <xdr:cxnSp macro="">
      <xdr:nvCxnSpPr>
        <xdr:cNvPr id="30" name="Connettore 2 29"/>
        <xdr:cNvCxnSpPr/>
      </xdr:nvCxnSpPr>
      <xdr:spPr>
        <a:xfrm flipV="1">
          <a:off x="1604957" y="268890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225</xdr:row>
      <xdr:rowOff>76193</xdr:rowOff>
    </xdr:from>
    <xdr:to>
      <xdr:col>4</xdr:col>
      <xdr:colOff>150600</xdr:colOff>
      <xdr:row>227</xdr:row>
      <xdr:rowOff>71243</xdr:rowOff>
    </xdr:to>
    <xdr:cxnSp macro="">
      <xdr:nvCxnSpPr>
        <xdr:cNvPr id="31" name="Connettore 2 30"/>
        <xdr:cNvCxnSpPr/>
      </xdr:nvCxnSpPr>
      <xdr:spPr>
        <a:xfrm flipV="1">
          <a:off x="1600200" y="274605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225</xdr:row>
      <xdr:rowOff>85725</xdr:rowOff>
    </xdr:from>
    <xdr:to>
      <xdr:col>2</xdr:col>
      <xdr:colOff>160125</xdr:colOff>
      <xdr:row>227</xdr:row>
      <xdr:rowOff>80963</xdr:rowOff>
    </xdr:to>
    <xdr:cxnSp macro="">
      <xdr:nvCxnSpPr>
        <xdr:cNvPr id="32" name="Connettore 2 31"/>
        <xdr:cNvCxnSpPr/>
      </xdr:nvCxnSpPr>
      <xdr:spPr>
        <a:xfrm>
          <a:off x="542925" y="27470100"/>
          <a:ext cx="684000" cy="280988"/>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227</xdr:row>
      <xdr:rowOff>76193</xdr:rowOff>
    </xdr:from>
    <xdr:to>
      <xdr:col>4</xdr:col>
      <xdr:colOff>150600</xdr:colOff>
      <xdr:row>229</xdr:row>
      <xdr:rowOff>71243</xdr:rowOff>
    </xdr:to>
    <xdr:cxnSp macro="">
      <xdr:nvCxnSpPr>
        <xdr:cNvPr id="33" name="Connettore 2 32"/>
        <xdr:cNvCxnSpPr/>
      </xdr:nvCxnSpPr>
      <xdr:spPr>
        <a:xfrm>
          <a:off x="1600200" y="2774631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223</xdr:row>
      <xdr:rowOff>76208</xdr:rowOff>
    </xdr:from>
    <xdr:to>
      <xdr:col>4</xdr:col>
      <xdr:colOff>150600</xdr:colOff>
      <xdr:row>225</xdr:row>
      <xdr:rowOff>71258</xdr:rowOff>
    </xdr:to>
    <xdr:cxnSp macro="">
      <xdr:nvCxnSpPr>
        <xdr:cNvPr id="34" name="Connettore 2 33"/>
        <xdr:cNvCxnSpPr/>
      </xdr:nvCxnSpPr>
      <xdr:spPr>
        <a:xfrm>
          <a:off x="1600200" y="27174833"/>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314325</xdr:colOff>
      <xdr:row>261</xdr:row>
      <xdr:rowOff>104775</xdr:rowOff>
    </xdr:from>
    <xdr:to>
      <xdr:col>4</xdr:col>
      <xdr:colOff>486410</xdr:colOff>
      <xdr:row>262</xdr:row>
      <xdr:rowOff>125730</xdr:rowOff>
    </xdr:to>
    <xdr:pic>
      <xdr:nvPicPr>
        <xdr:cNvPr id="35" name="Immagine 3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81125" y="37528500"/>
          <a:ext cx="1391285" cy="211455"/>
        </a:xfrm>
        <a:prstGeom prst="rect">
          <a:avLst/>
        </a:prstGeom>
        <a:noFill/>
        <a:ln>
          <a:noFill/>
        </a:ln>
      </xdr:spPr>
    </xdr:pic>
    <xdr:clientData/>
  </xdr:twoCellAnchor>
  <xdr:twoCellAnchor editAs="oneCell">
    <xdr:from>
      <xdr:col>2</xdr:col>
      <xdr:colOff>342900</xdr:colOff>
      <xdr:row>278</xdr:row>
      <xdr:rowOff>47625</xdr:rowOff>
    </xdr:from>
    <xdr:to>
      <xdr:col>5</xdr:col>
      <xdr:colOff>455930</xdr:colOff>
      <xdr:row>280</xdr:row>
      <xdr:rowOff>20320</xdr:rowOff>
    </xdr:to>
    <xdr:pic>
      <xdr:nvPicPr>
        <xdr:cNvPr id="36" name="Immagine 35"/>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09700" y="39900225"/>
          <a:ext cx="1941830" cy="353695"/>
        </a:xfrm>
        <a:prstGeom prst="rect">
          <a:avLst/>
        </a:prstGeom>
        <a:noFill/>
        <a:ln>
          <a:noFill/>
        </a:ln>
      </xdr:spPr>
    </xdr:pic>
    <xdr:clientData/>
  </xdr:twoCellAnchor>
  <xdr:twoCellAnchor editAs="oneCell">
    <xdr:from>
      <xdr:col>1</xdr:col>
      <xdr:colOff>390525</xdr:colOff>
      <xdr:row>298</xdr:row>
      <xdr:rowOff>95250</xdr:rowOff>
    </xdr:from>
    <xdr:to>
      <xdr:col>5</xdr:col>
      <xdr:colOff>267335</xdr:colOff>
      <xdr:row>299</xdr:row>
      <xdr:rowOff>135890</xdr:rowOff>
    </xdr:to>
    <xdr:pic>
      <xdr:nvPicPr>
        <xdr:cNvPr id="37" name="Immagine 36"/>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23925" y="42805350"/>
          <a:ext cx="2315210" cy="231140"/>
        </a:xfrm>
        <a:prstGeom prst="rect">
          <a:avLst/>
        </a:prstGeom>
        <a:noFill/>
        <a:ln>
          <a:noFill/>
        </a:ln>
      </xdr:spPr>
    </xdr:pic>
    <xdr:clientData/>
  </xdr:twoCellAnchor>
  <xdr:twoCellAnchor editAs="oneCell">
    <xdr:from>
      <xdr:col>6</xdr:col>
      <xdr:colOff>142875</xdr:colOff>
      <xdr:row>298</xdr:row>
      <xdr:rowOff>28575</xdr:rowOff>
    </xdr:from>
    <xdr:to>
      <xdr:col>9</xdr:col>
      <xdr:colOff>172085</xdr:colOff>
      <xdr:row>300</xdr:row>
      <xdr:rowOff>11430</xdr:rowOff>
    </xdr:to>
    <xdr:pic>
      <xdr:nvPicPr>
        <xdr:cNvPr id="38" name="Immagine 37"/>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343275" y="42738675"/>
          <a:ext cx="1858010" cy="363855"/>
        </a:xfrm>
        <a:prstGeom prst="rect">
          <a:avLst/>
        </a:prstGeom>
        <a:noFill/>
        <a:ln>
          <a:noFill/>
        </a:ln>
      </xdr:spPr>
    </xdr:pic>
    <xdr:clientData/>
  </xdr:twoCellAnchor>
  <xdr:twoCellAnchor>
    <xdr:from>
      <xdr:col>1</xdr:col>
      <xdr:colOff>9525</xdr:colOff>
      <xdr:row>304</xdr:row>
      <xdr:rowOff>80963</xdr:rowOff>
    </xdr:from>
    <xdr:to>
      <xdr:col>2</xdr:col>
      <xdr:colOff>160125</xdr:colOff>
      <xdr:row>306</xdr:row>
      <xdr:rowOff>76200</xdr:rowOff>
    </xdr:to>
    <xdr:cxnSp macro="">
      <xdr:nvCxnSpPr>
        <xdr:cNvPr id="39" name="Connettore 2 38"/>
        <xdr:cNvCxnSpPr/>
      </xdr:nvCxnSpPr>
      <xdr:spPr>
        <a:xfrm flipV="1">
          <a:off x="542925" y="32056388"/>
          <a:ext cx="684000" cy="280987"/>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4757</xdr:colOff>
      <xdr:row>302</xdr:row>
      <xdr:rowOff>76193</xdr:rowOff>
    </xdr:from>
    <xdr:to>
      <xdr:col>4</xdr:col>
      <xdr:colOff>155357</xdr:colOff>
      <xdr:row>304</xdr:row>
      <xdr:rowOff>71243</xdr:rowOff>
    </xdr:to>
    <xdr:cxnSp macro="">
      <xdr:nvCxnSpPr>
        <xdr:cNvPr id="40" name="Connettore 2 39"/>
        <xdr:cNvCxnSpPr/>
      </xdr:nvCxnSpPr>
      <xdr:spPr>
        <a:xfrm flipV="1">
          <a:off x="1604957" y="317658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306</xdr:row>
      <xdr:rowOff>76193</xdr:rowOff>
    </xdr:from>
    <xdr:to>
      <xdr:col>4</xdr:col>
      <xdr:colOff>150600</xdr:colOff>
      <xdr:row>308</xdr:row>
      <xdr:rowOff>71243</xdr:rowOff>
    </xdr:to>
    <xdr:cxnSp macro="">
      <xdr:nvCxnSpPr>
        <xdr:cNvPr id="41" name="Connettore 2 40"/>
        <xdr:cNvCxnSpPr/>
      </xdr:nvCxnSpPr>
      <xdr:spPr>
        <a:xfrm flipV="1">
          <a:off x="1600200" y="3233736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306</xdr:row>
      <xdr:rowOff>85725</xdr:rowOff>
    </xdr:from>
    <xdr:to>
      <xdr:col>2</xdr:col>
      <xdr:colOff>160125</xdr:colOff>
      <xdr:row>308</xdr:row>
      <xdr:rowOff>80963</xdr:rowOff>
    </xdr:to>
    <xdr:cxnSp macro="">
      <xdr:nvCxnSpPr>
        <xdr:cNvPr id="42" name="Connettore 2 41"/>
        <xdr:cNvCxnSpPr/>
      </xdr:nvCxnSpPr>
      <xdr:spPr>
        <a:xfrm>
          <a:off x="542925" y="32346900"/>
          <a:ext cx="684000" cy="280988"/>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308</xdr:row>
      <xdr:rowOff>76193</xdr:rowOff>
    </xdr:from>
    <xdr:to>
      <xdr:col>4</xdr:col>
      <xdr:colOff>150600</xdr:colOff>
      <xdr:row>310</xdr:row>
      <xdr:rowOff>71243</xdr:rowOff>
    </xdr:to>
    <xdr:cxnSp macro="">
      <xdr:nvCxnSpPr>
        <xdr:cNvPr id="43" name="Connettore 2 42"/>
        <xdr:cNvCxnSpPr/>
      </xdr:nvCxnSpPr>
      <xdr:spPr>
        <a:xfrm>
          <a:off x="1600200" y="32623118"/>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304</xdr:row>
      <xdr:rowOff>76208</xdr:rowOff>
    </xdr:from>
    <xdr:to>
      <xdr:col>4</xdr:col>
      <xdr:colOff>150600</xdr:colOff>
      <xdr:row>306</xdr:row>
      <xdr:rowOff>71258</xdr:rowOff>
    </xdr:to>
    <xdr:cxnSp macro="">
      <xdr:nvCxnSpPr>
        <xdr:cNvPr id="44" name="Connettore 2 43"/>
        <xdr:cNvCxnSpPr/>
      </xdr:nvCxnSpPr>
      <xdr:spPr>
        <a:xfrm>
          <a:off x="1600200" y="32051633"/>
          <a:ext cx="684000" cy="280800"/>
        </a:xfrm>
        <a:prstGeom prst="straightConnector1">
          <a:avLst/>
        </a:prstGeom>
        <a:ln>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333375</xdr:colOff>
      <xdr:row>342</xdr:row>
      <xdr:rowOff>28575</xdr:rowOff>
    </xdr:from>
    <xdr:to>
      <xdr:col>9</xdr:col>
      <xdr:colOff>505460</xdr:colOff>
      <xdr:row>344</xdr:row>
      <xdr:rowOff>11430</xdr:rowOff>
    </xdr:to>
    <xdr:pic>
      <xdr:nvPicPr>
        <xdr:cNvPr id="45" name="Immagine 44"/>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600575" y="49044225"/>
          <a:ext cx="781685" cy="36385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304800</xdr:colOff>
      <xdr:row>142</xdr:row>
      <xdr:rowOff>104775</xdr:rowOff>
    </xdr:from>
    <xdr:to>
      <xdr:col>16</xdr:col>
      <xdr:colOff>121920</xdr:colOff>
      <xdr:row>143</xdr:row>
      <xdr:rowOff>140970</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4350" y="20621625"/>
          <a:ext cx="1036320" cy="226695"/>
        </a:xfrm>
        <a:prstGeom prst="rect">
          <a:avLst/>
        </a:prstGeom>
        <a:noFill/>
        <a:ln>
          <a:noFill/>
        </a:ln>
      </xdr:spPr>
    </xdr:pic>
    <xdr:clientData/>
  </xdr:twoCellAnchor>
  <xdr:twoCellAnchor editAs="oneCell">
    <xdr:from>
      <xdr:col>3</xdr:col>
      <xdr:colOff>552450</xdr:colOff>
      <xdr:row>192</xdr:row>
      <xdr:rowOff>38100</xdr:rowOff>
    </xdr:from>
    <xdr:to>
      <xdr:col>7</xdr:col>
      <xdr:colOff>383540</xdr:colOff>
      <xdr:row>194</xdr:row>
      <xdr:rowOff>30480</xdr:rowOff>
    </xdr:to>
    <xdr:pic>
      <xdr:nvPicPr>
        <xdr:cNvPr id="4" name="Immagine 3"/>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24125" y="27736800"/>
          <a:ext cx="2364740" cy="373380"/>
        </a:xfrm>
        <a:prstGeom prst="rect">
          <a:avLst/>
        </a:prstGeom>
        <a:noFill/>
        <a:ln>
          <a:noFill/>
        </a:ln>
      </xdr:spPr>
    </xdr:pic>
    <xdr:clientData/>
  </xdr:twoCellAnchor>
  <xdr:oneCellAnchor>
    <xdr:from>
      <xdr:col>4</xdr:col>
      <xdr:colOff>28575</xdr:colOff>
      <xdr:row>214</xdr:row>
      <xdr:rowOff>47625</xdr:rowOff>
    </xdr:from>
    <xdr:ext cx="2364740" cy="373380"/>
    <xdr:pic>
      <xdr:nvPicPr>
        <xdr:cNvPr id="6" name="Immagine 5"/>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62225" y="30994350"/>
          <a:ext cx="2364740" cy="373380"/>
        </a:xfrm>
        <a:prstGeom prst="rect">
          <a:avLst/>
        </a:prstGeom>
        <a:noFill/>
        <a:ln>
          <a:noFill/>
        </a:ln>
      </xdr:spPr>
    </xdr:pic>
    <xdr:clientData/>
  </xdr:oneCellAnchor>
  <xdr:twoCellAnchor editAs="oneCell">
    <xdr:from>
      <xdr:col>1</xdr:col>
      <xdr:colOff>333375</xdr:colOff>
      <xdr:row>192</xdr:row>
      <xdr:rowOff>123825</xdr:rowOff>
    </xdr:from>
    <xdr:to>
      <xdr:col>3</xdr:col>
      <xdr:colOff>200025</xdr:colOff>
      <xdr:row>193</xdr:row>
      <xdr:rowOff>145415</xdr:rowOff>
    </xdr:to>
    <xdr:pic>
      <xdr:nvPicPr>
        <xdr:cNvPr id="9" name="Immagine 8"/>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5375" y="27822525"/>
          <a:ext cx="1266825" cy="212090"/>
        </a:xfrm>
        <a:prstGeom prst="rect">
          <a:avLst/>
        </a:prstGeom>
        <a:noFill/>
        <a:ln>
          <a:noFill/>
        </a:ln>
      </xdr:spPr>
    </xdr:pic>
    <xdr:clientData/>
  </xdr:twoCellAnchor>
  <xdr:twoCellAnchor editAs="oneCell">
    <xdr:from>
      <xdr:col>1</xdr:col>
      <xdr:colOff>295275</xdr:colOff>
      <xdr:row>214</xdr:row>
      <xdr:rowOff>123825</xdr:rowOff>
    </xdr:from>
    <xdr:to>
      <xdr:col>3</xdr:col>
      <xdr:colOff>334645</xdr:colOff>
      <xdr:row>215</xdr:row>
      <xdr:rowOff>141605</xdr:rowOff>
    </xdr:to>
    <xdr:pic>
      <xdr:nvPicPr>
        <xdr:cNvPr id="11" name="Immagine 10"/>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7275" y="31070550"/>
          <a:ext cx="1439545" cy="20828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171450</xdr:colOff>
      <xdr:row>206</xdr:row>
      <xdr:rowOff>95250</xdr:rowOff>
    </xdr:from>
    <xdr:to>
      <xdr:col>9</xdr:col>
      <xdr:colOff>102870</xdr:colOff>
      <xdr:row>207</xdr:row>
      <xdr:rowOff>135890</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4175" y="29927550"/>
          <a:ext cx="2369820" cy="231140"/>
        </a:xfrm>
        <a:prstGeom prst="rect">
          <a:avLst/>
        </a:prstGeom>
        <a:noFill/>
        <a:ln>
          <a:noFill/>
        </a:ln>
      </xdr:spPr>
    </xdr:pic>
    <xdr:clientData/>
  </xdr:twoCellAnchor>
  <xdr:twoCellAnchor editAs="oneCell">
    <xdr:from>
      <xdr:col>3</xdr:col>
      <xdr:colOff>161925</xdr:colOff>
      <xdr:row>208</xdr:row>
      <xdr:rowOff>28575</xdr:rowOff>
    </xdr:from>
    <xdr:to>
      <xdr:col>5</xdr:col>
      <xdr:colOff>495935</xdr:colOff>
      <xdr:row>210</xdr:row>
      <xdr:rowOff>1270</xdr:rowOff>
    </xdr:to>
    <xdr:pic>
      <xdr:nvPicPr>
        <xdr:cNvPr id="3" name="Immagine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47850" y="30146625"/>
          <a:ext cx="1553210" cy="353695"/>
        </a:xfrm>
        <a:prstGeom prst="rect">
          <a:avLst/>
        </a:prstGeom>
        <a:noFill/>
        <a:ln>
          <a:noFill/>
        </a:ln>
      </xdr:spPr>
    </xdr:pic>
    <xdr:clientData/>
  </xdr:twoCellAnchor>
  <xdr:twoCellAnchor editAs="oneCell">
    <xdr:from>
      <xdr:col>5</xdr:col>
      <xdr:colOff>114300</xdr:colOff>
      <xdr:row>228</xdr:row>
      <xdr:rowOff>95250</xdr:rowOff>
    </xdr:from>
    <xdr:to>
      <xdr:col>9</xdr:col>
      <xdr:colOff>20955</xdr:colOff>
      <xdr:row>229</xdr:row>
      <xdr:rowOff>135890</xdr:rowOff>
    </xdr:to>
    <xdr:pic>
      <xdr:nvPicPr>
        <xdr:cNvPr id="4" name="Immagine 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867025" y="33089850"/>
          <a:ext cx="2345055" cy="231140"/>
        </a:xfrm>
        <a:prstGeom prst="rect">
          <a:avLst/>
        </a:prstGeom>
        <a:noFill/>
        <a:ln>
          <a:noFill/>
        </a:ln>
      </xdr:spPr>
    </xdr:pic>
    <xdr:clientData/>
  </xdr:twoCellAnchor>
  <xdr:twoCellAnchor editAs="oneCell">
    <xdr:from>
      <xdr:col>3</xdr:col>
      <xdr:colOff>152400</xdr:colOff>
      <xdr:row>230</xdr:row>
      <xdr:rowOff>66675</xdr:rowOff>
    </xdr:from>
    <xdr:to>
      <xdr:col>5</xdr:col>
      <xdr:colOff>466725</xdr:colOff>
      <xdr:row>232</xdr:row>
      <xdr:rowOff>39370</xdr:rowOff>
    </xdr:to>
    <xdr:pic>
      <xdr:nvPicPr>
        <xdr:cNvPr id="5" name="Immagine 4"/>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38325" y="33347025"/>
          <a:ext cx="1533525" cy="353695"/>
        </a:xfrm>
        <a:prstGeom prst="rect">
          <a:avLst/>
        </a:prstGeom>
        <a:noFill/>
        <a:ln>
          <a:noFill/>
        </a:ln>
      </xdr:spPr>
    </xdr:pic>
    <xdr:clientData/>
  </xdr:twoCellAnchor>
  <xdr:twoCellAnchor editAs="oneCell">
    <xdr:from>
      <xdr:col>2</xdr:col>
      <xdr:colOff>0</xdr:colOff>
      <xdr:row>250</xdr:row>
      <xdr:rowOff>104775</xdr:rowOff>
    </xdr:from>
    <xdr:to>
      <xdr:col>4</xdr:col>
      <xdr:colOff>303530</xdr:colOff>
      <xdr:row>251</xdr:row>
      <xdr:rowOff>130175</xdr:rowOff>
    </xdr:to>
    <xdr:pic>
      <xdr:nvPicPr>
        <xdr:cNvPr id="8" name="Immagine 7"/>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52525" y="36252150"/>
          <a:ext cx="1522730" cy="215900"/>
        </a:xfrm>
        <a:prstGeom prst="rect">
          <a:avLst/>
        </a:prstGeom>
        <a:noFill/>
        <a:ln>
          <a:noFill/>
        </a:ln>
      </xdr:spPr>
    </xdr:pic>
    <xdr:clientData/>
  </xdr:twoCellAnchor>
  <xdr:twoCellAnchor editAs="oneCell">
    <xdr:from>
      <xdr:col>5</xdr:col>
      <xdr:colOff>0</xdr:colOff>
      <xdr:row>250</xdr:row>
      <xdr:rowOff>28575</xdr:rowOff>
    </xdr:from>
    <xdr:to>
      <xdr:col>9</xdr:col>
      <xdr:colOff>142875</xdr:colOff>
      <xdr:row>252</xdr:row>
      <xdr:rowOff>31115</xdr:rowOff>
    </xdr:to>
    <xdr:pic>
      <xdr:nvPicPr>
        <xdr:cNvPr id="9" name="Immagine 8"/>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52725" y="36175950"/>
          <a:ext cx="2581275" cy="383540"/>
        </a:xfrm>
        <a:prstGeom prst="rect">
          <a:avLst/>
        </a:prstGeom>
        <a:noFill/>
        <a:ln>
          <a:noFill/>
        </a:ln>
      </xdr:spPr>
    </xdr:pic>
    <xdr:clientData/>
  </xdr:twoCellAnchor>
  <xdr:oneCellAnchor>
    <xdr:from>
      <xdr:col>5</xdr:col>
      <xdr:colOff>0</xdr:colOff>
      <xdr:row>277</xdr:row>
      <xdr:rowOff>28575</xdr:rowOff>
    </xdr:from>
    <xdr:ext cx="2581275" cy="383540"/>
    <xdr:pic>
      <xdr:nvPicPr>
        <xdr:cNvPr id="11" name="Immagine 10"/>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52725" y="36175950"/>
          <a:ext cx="2581275" cy="383540"/>
        </a:xfrm>
        <a:prstGeom prst="rect">
          <a:avLst/>
        </a:prstGeom>
        <a:noFill/>
        <a:ln>
          <a:noFill/>
        </a:ln>
      </xdr:spPr>
    </xdr:pic>
    <xdr:clientData/>
  </xdr:oneCellAnchor>
  <xdr:twoCellAnchor editAs="oneCell">
    <xdr:from>
      <xdr:col>1</xdr:col>
      <xdr:colOff>542925</xdr:colOff>
      <xdr:row>277</xdr:row>
      <xdr:rowOff>104775</xdr:rowOff>
    </xdr:from>
    <xdr:to>
      <xdr:col>4</xdr:col>
      <xdr:colOff>257810</xdr:colOff>
      <xdr:row>278</xdr:row>
      <xdr:rowOff>133350</xdr:rowOff>
    </xdr:to>
    <xdr:pic>
      <xdr:nvPicPr>
        <xdr:cNvPr id="12" name="Immagine 1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76325" y="40243125"/>
          <a:ext cx="1648460" cy="2190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361950</xdr:colOff>
      <xdr:row>199</xdr:row>
      <xdr:rowOff>114300</xdr:rowOff>
    </xdr:from>
    <xdr:to>
      <xdr:col>5</xdr:col>
      <xdr:colOff>27940</xdr:colOff>
      <xdr:row>200</xdr:row>
      <xdr:rowOff>125095</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0" y="28422600"/>
          <a:ext cx="1494790" cy="201295"/>
        </a:xfrm>
        <a:prstGeom prst="rect">
          <a:avLst/>
        </a:prstGeom>
        <a:noFill/>
        <a:ln>
          <a:noFill/>
        </a:ln>
      </xdr:spPr>
    </xdr:pic>
    <xdr:clientData/>
  </xdr:twoCellAnchor>
  <xdr:twoCellAnchor editAs="oneCell">
    <xdr:from>
      <xdr:col>5</xdr:col>
      <xdr:colOff>333375</xdr:colOff>
      <xdr:row>199</xdr:row>
      <xdr:rowOff>38100</xdr:rowOff>
    </xdr:from>
    <xdr:to>
      <xdr:col>9</xdr:col>
      <xdr:colOff>112395</xdr:colOff>
      <xdr:row>201</xdr:row>
      <xdr:rowOff>30480</xdr:rowOff>
    </xdr:to>
    <xdr:pic>
      <xdr:nvPicPr>
        <xdr:cNvPr id="3" name="Immagine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0375" y="28346400"/>
          <a:ext cx="2217420" cy="373380"/>
        </a:xfrm>
        <a:prstGeom prst="rect">
          <a:avLst/>
        </a:prstGeom>
        <a:noFill/>
        <a:ln>
          <a:noFill/>
        </a:ln>
      </xdr:spPr>
    </xdr:pic>
    <xdr:clientData/>
  </xdr:twoCellAnchor>
  <xdr:twoCellAnchor editAs="oneCell">
    <xdr:from>
      <xdr:col>5</xdr:col>
      <xdr:colOff>447675</xdr:colOff>
      <xdr:row>253</xdr:row>
      <xdr:rowOff>133350</xdr:rowOff>
    </xdr:from>
    <xdr:to>
      <xdr:col>9</xdr:col>
      <xdr:colOff>485775</xdr:colOff>
      <xdr:row>254</xdr:row>
      <xdr:rowOff>151130</xdr:rowOff>
    </xdr:to>
    <xdr:pic>
      <xdr:nvPicPr>
        <xdr:cNvPr id="6" name="Immagine 5"/>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14675" y="36299775"/>
          <a:ext cx="2476500" cy="20828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180975</xdr:colOff>
      <xdr:row>146</xdr:row>
      <xdr:rowOff>57150</xdr:rowOff>
    </xdr:from>
    <xdr:to>
      <xdr:col>4</xdr:col>
      <xdr:colOff>353060</xdr:colOff>
      <xdr:row>148</xdr:row>
      <xdr:rowOff>49530</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20974050"/>
          <a:ext cx="1391285" cy="373380"/>
        </a:xfrm>
        <a:prstGeom prst="rect">
          <a:avLst/>
        </a:prstGeom>
        <a:noFill/>
        <a:ln>
          <a:noFill/>
        </a:ln>
      </xdr:spPr>
    </xdr:pic>
    <xdr:clientData/>
  </xdr:twoCellAnchor>
  <xdr:twoCellAnchor editAs="oneCell">
    <xdr:from>
      <xdr:col>2</xdr:col>
      <xdr:colOff>323850</xdr:colOff>
      <xdr:row>148</xdr:row>
      <xdr:rowOff>57150</xdr:rowOff>
    </xdr:from>
    <xdr:to>
      <xdr:col>4</xdr:col>
      <xdr:colOff>78105</xdr:colOff>
      <xdr:row>150</xdr:row>
      <xdr:rowOff>29845</xdr:rowOff>
    </xdr:to>
    <xdr:pic>
      <xdr:nvPicPr>
        <xdr:cNvPr id="3" name="Immagine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38275" y="21278850"/>
          <a:ext cx="973455" cy="353695"/>
        </a:xfrm>
        <a:prstGeom prst="rect">
          <a:avLst/>
        </a:prstGeom>
        <a:noFill/>
        <a:ln>
          <a:noFill/>
        </a:ln>
      </xdr:spPr>
    </xdr:pic>
    <xdr:clientData/>
  </xdr:twoCellAnchor>
  <xdr:twoCellAnchor editAs="oneCell">
    <xdr:from>
      <xdr:col>2</xdr:col>
      <xdr:colOff>171450</xdr:colOff>
      <xdr:row>215</xdr:row>
      <xdr:rowOff>57150</xdr:rowOff>
    </xdr:from>
    <xdr:to>
      <xdr:col>4</xdr:col>
      <xdr:colOff>343535</xdr:colOff>
      <xdr:row>217</xdr:row>
      <xdr:rowOff>49530</xdr:rowOff>
    </xdr:to>
    <xdr:pic>
      <xdr:nvPicPr>
        <xdr:cNvPr id="4" name="Immagine 3"/>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5875" y="30984825"/>
          <a:ext cx="1391285" cy="373380"/>
        </a:xfrm>
        <a:prstGeom prst="rect">
          <a:avLst/>
        </a:prstGeom>
        <a:noFill/>
        <a:ln>
          <a:noFill/>
        </a:ln>
      </xdr:spPr>
    </xdr:pic>
    <xdr:clientData/>
  </xdr:twoCellAnchor>
  <xdr:twoCellAnchor editAs="oneCell">
    <xdr:from>
      <xdr:col>1</xdr:col>
      <xdr:colOff>342900</xdr:colOff>
      <xdr:row>217</xdr:row>
      <xdr:rowOff>47625</xdr:rowOff>
    </xdr:from>
    <xdr:to>
      <xdr:col>5</xdr:col>
      <xdr:colOff>391795</xdr:colOff>
      <xdr:row>219</xdr:row>
      <xdr:rowOff>64770</xdr:rowOff>
    </xdr:to>
    <xdr:pic>
      <xdr:nvPicPr>
        <xdr:cNvPr id="5" name="Immagine 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925" y="31280100"/>
          <a:ext cx="2487295" cy="39814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238125</xdr:colOff>
      <xdr:row>218</xdr:row>
      <xdr:rowOff>66675</xdr:rowOff>
    </xdr:from>
    <xdr:to>
      <xdr:col>16</xdr:col>
      <xdr:colOff>400050</xdr:colOff>
      <xdr:row>220</xdr:row>
      <xdr:rowOff>19685</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72325" y="31213425"/>
          <a:ext cx="1990725" cy="334010"/>
        </a:xfrm>
        <a:prstGeom prst="rect">
          <a:avLst/>
        </a:prstGeom>
        <a:noFill/>
        <a:ln>
          <a:noFill/>
        </a:ln>
      </xdr:spPr>
    </xdr:pic>
    <xdr:clientData/>
  </xdr:twoCellAnchor>
  <xdr:twoCellAnchor editAs="oneCell">
    <xdr:from>
      <xdr:col>6</xdr:col>
      <xdr:colOff>390525</xdr:colOff>
      <xdr:row>220</xdr:row>
      <xdr:rowOff>76200</xdr:rowOff>
    </xdr:from>
    <xdr:to>
      <xdr:col>10</xdr:col>
      <xdr:colOff>198755</xdr:colOff>
      <xdr:row>222</xdr:row>
      <xdr:rowOff>29210</xdr:rowOff>
    </xdr:to>
    <xdr:pic>
      <xdr:nvPicPr>
        <xdr:cNvPr id="3" name="Immagine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90925" y="31508700"/>
          <a:ext cx="2246630" cy="334010"/>
        </a:xfrm>
        <a:prstGeom prst="rect">
          <a:avLst/>
        </a:prstGeom>
        <a:noFill/>
        <a:ln>
          <a:noFill/>
        </a:ln>
      </xdr:spPr>
    </xdr:pic>
    <xdr:clientData/>
  </xdr:twoCellAnchor>
  <xdr:twoCellAnchor editAs="oneCell">
    <xdr:from>
      <xdr:col>9</xdr:col>
      <xdr:colOff>304800</xdr:colOff>
      <xdr:row>222</xdr:row>
      <xdr:rowOff>85725</xdr:rowOff>
    </xdr:from>
    <xdr:to>
      <xdr:col>13</xdr:col>
      <xdr:colOff>66675</xdr:colOff>
      <xdr:row>224</xdr:row>
      <xdr:rowOff>19050</xdr:rowOff>
    </xdr:to>
    <xdr:pic>
      <xdr:nvPicPr>
        <xdr:cNvPr id="6" name="Immagine 5"/>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05400" y="31803975"/>
          <a:ext cx="220027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285750</xdr:colOff>
      <xdr:row>33</xdr:row>
      <xdr:rowOff>95250</xdr:rowOff>
    </xdr:from>
    <xdr:to>
      <xdr:col>8</xdr:col>
      <xdr:colOff>154940</xdr:colOff>
      <xdr:row>34</xdr:row>
      <xdr:rowOff>109855</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7175" y="4810125"/>
          <a:ext cx="478790" cy="20510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190500</xdr:colOff>
      <xdr:row>158</xdr:row>
      <xdr:rowOff>133350</xdr:rowOff>
    </xdr:from>
    <xdr:to>
      <xdr:col>7</xdr:col>
      <xdr:colOff>221615</xdr:colOff>
      <xdr:row>159</xdr:row>
      <xdr:rowOff>151130</xdr:rowOff>
    </xdr:to>
    <xdr:pic>
      <xdr:nvPicPr>
        <xdr:cNvPr id="2" name="Immagine 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90900" y="22993350"/>
          <a:ext cx="640715" cy="208280"/>
        </a:xfrm>
        <a:prstGeom prst="rect">
          <a:avLst/>
        </a:prstGeom>
        <a:noFill/>
        <a:ln>
          <a:noFill/>
        </a:ln>
      </xdr:spPr>
    </xdr:pic>
    <xdr:clientData/>
  </xdr:twoCellAnchor>
  <xdr:twoCellAnchor editAs="oneCell">
    <xdr:from>
      <xdr:col>8</xdr:col>
      <xdr:colOff>9525</xdr:colOff>
      <xdr:row>158</xdr:row>
      <xdr:rowOff>47625</xdr:rowOff>
    </xdr:from>
    <xdr:to>
      <xdr:col>10</xdr:col>
      <xdr:colOff>274955</xdr:colOff>
      <xdr:row>160</xdr:row>
      <xdr:rowOff>30480</xdr:rowOff>
    </xdr:to>
    <xdr:pic>
      <xdr:nvPicPr>
        <xdr:cNvPr id="3" name="Immagine 2"/>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76725" y="22907625"/>
          <a:ext cx="1484630" cy="363855"/>
        </a:xfrm>
        <a:prstGeom prst="rect">
          <a:avLst/>
        </a:prstGeom>
        <a:noFill/>
        <a:ln>
          <a:noFill/>
        </a:ln>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
    <tabColor rgb="FF536878"/>
    <pageSetUpPr fitToPage="1"/>
  </sheetPr>
  <dimension ref="A1:P274"/>
  <sheetViews>
    <sheetView showGridLines="0" tabSelected="1"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10" style="9" customWidth="1"/>
    <col min="3" max="16384" width="9.140625" style="9"/>
  </cols>
  <sheetData>
    <row r="1" spans="1:16" ht="15" customHeight="1" x14ac:dyDescent="0.2">
      <c r="A1" s="75" t="s">
        <v>8</v>
      </c>
      <c r="B1" s="76"/>
      <c r="C1" s="76"/>
      <c r="D1" s="76"/>
      <c r="E1" s="76"/>
      <c r="F1" s="76"/>
      <c r="G1" s="76"/>
      <c r="H1" s="76"/>
      <c r="I1" s="76"/>
      <c r="J1" s="76"/>
      <c r="K1" s="76"/>
      <c r="L1" s="76"/>
      <c r="M1" s="76"/>
      <c r="N1" s="76"/>
      <c r="O1" s="76"/>
      <c r="P1" s="76"/>
    </row>
    <row r="3" spans="1:16" ht="15" customHeight="1" x14ac:dyDescent="0.2">
      <c r="A3" s="8" t="s">
        <v>194</v>
      </c>
    </row>
    <row r="4" spans="1:16" ht="15" customHeight="1" x14ac:dyDescent="0.2">
      <c r="A4" s="9" t="s">
        <v>195</v>
      </c>
    </row>
    <row r="5" spans="1:16" ht="15" customHeight="1" x14ac:dyDescent="0.2">
      <c r="A5" s="9" t="s">
        <v>196</v>
      </c>
    </row>
    <row r="6" spans="1:16" ht="15" customHeight="1" x14ac:dyDescent="0.2">
      <c r="A6" s="9" t="s">
        <v>197</v>
      </c>
    </row>
    <row r="7" spans="1:16" ht="15" customHeight="1" x14ac:dyDescent="0.2">
      <c r="A7" s="9" t="s">
        <v>198</v>
      </c>
    </row>
    <row r="9" spans="1:16" ht="15" customHeight="1" x14ac:dyDescent="0.2">
      <c r="A9" s="9" t="s">
        <v>88</v>
      </c>
    </row>
    <row r="10" spans="1:16" ht="15" customHeight="1" x14ac:dyDescent="0.2">
      <c r="A10" s="9" t="s">
        <v>199</v>
      </c>
    </row>
    <row r="11" spans="1:16" ht="15" customHeight="1" x14ac:dyDescent="0.2">
      <c r="A11" s="9" t="s">
        <v>200</v>
      </c>
    </row>
    <row r="13" spans="1:16" ht="15" customHeight="1" x14ac:dyDescent="0.2">
      <c r="A13" s="8" t="s">
        <v>201</v>
      </c>
    </row>
    <row r="14" spans="1:16" ht="15" customHeight="1" x14ac:dyDescent="0.2">
      <c r="A14" s="26" t="s">
        <v>78</v>
      </c>
    </row>
    <row r="15" spans="1:16" ht="15" customHeight="1" x14ac:dyDescent="0.2">
      <c r="A15" s="9" t="s">
        <v>79</v>
      </c>
    </row>
    <row r="16" spans="1:16" ht="15" customHeight="1" x14ac:dyDescent="0.2">
      <c r="A16" s="9" t="s">
        <v>4007</v>
      </c>
    </row>
    <row r="17" spans="1:1" ht="15" customHeight="1" x14ac:dyDescent="0.2">
      <c r="A17" s="9" t="s">
        <v>4008</v>
      </c>
    </row>
    <row r="19" spans="1:1" ht="15" customHeight="1" x14ac:dyDescent="0.2">
      <c r="A19" s="9" t="s">
        <v>80</v>
      </c>
    </row>
    <row r="21" spans="1:1" ht="15" customHeight="1" x14ac:dyDescent="0.2">
      <c r="A21" s="9" t="s">
        <v>202</v>
      </c>
    </row>
    <row r="22" spans="1:1" ht="15" customHeight="1" x14ac:dyDescent="0.2">
      <c r="A22" s="9" t="s">
        <v>203</v>
      </c>
    </row>
    <row r="24" spans="1:1" ht="15" customHeight="1" x14ac:dyDescent="0.2">
      <c r="A24" s="8" t="s">
        <v>204</v>
      </c>
    </row>
    <row r="25" spans="1:1" ht="15" customHeight="1" x14ac:dyDescent="0.25">
      <c r="A25" s="8" t="s">
        <v>4009</v>
      </c>
    </row>
    <row r="26" spans="1:1" ht="15" customHeight="1" x14ac:dyDescent="0.2">
      <c r="A26" s="9" t="s">
        <v>206</v>
      </c>
    </row>
    <row r="27" spans="1:1" ht="15" customHeight="1" x14ac:dyDescent="0.2">
      <c r="A27" s="9" t="s">
        <v>207</v>
      </c>
    </row>
    <row r="28" spans="1:1" ht="15" customHeight="1" x14ac:dyDescent="0.2">
      <c r="A28" s="9" t="s">
        <v>208</v>
      </c>
    </row>
    <row r="29" spans="1:1" ht="15" customHeight="1" x14ac:dyDescent="0.2">
      <c r="A29" s="9" t="s">
        <v>209</v>
      </c>
    </row>
    <row r="31" spans="1:1" ht="15" customHeight="1" x14ac:dyDescent="0.2">
      <c r="A31" s="9" t="s">
        <v>80</v>
      </c>
    </row>
    <row r="33" spans="1:2" ht="15" customHeight="1" x14ac:dyDescent="0.2">
      <c r="A33" s="25" t="s">
        <v>86</v>
      </c>
      <c r="B33" s="9">
        <v>3</v>
      </c>
    </row>
    <row r="34" spans="1:2" ht="15" customHeight="1" x14ac:dyDescent="0.2">
      <c r="A34" s="25" t="s">
        <v>87</v>
      </c>
      <c r="B34" s="9">
        <v>4</v>
      </c>
    </row>
    <row r="35" spans="1:2" ht="15" customHeight="1" x14ac:dyDescent="0.2">
      <c r="A35" s="25" t="s">
        <v>82</v>
      </c>
      <c r="B35" s="9">
        <v>30</v>
      </c>
    </row>
    <row r="36" spans="1:2" ht="15" customHeight="1" x14ac:dyDescent="0.2">
      <c r="A36" s="25" t="s">
        <v>4010</v>
      </c>
      <c r="B36" s="9">
        <v>2</v>
      </c>
    </row>
    <row r="37" spans="1:2" ht="15" customHeight="1" x14ac:dyDescent="0.2">
      <c r="A37" s="25" t="s">
        <v>4011</v>
      </c>
      <c r="B37" s="9">
        <v>1</v>
      </c>
    </row>
    <row r="39" spans="1:2" ht="15" customHeight="1" x14ac:dyDescent="0.25">
      <c r="A39" s="25" t="s">
        <v>3436</v>
      </c>
      <c r="B39" s="12">
        <f>B35+(B36*B33+B37*B34)/B36</f>
        <v>35</v>
      </c>
    </row>
    <row r="40" spans="1:2" ht="15" customHeight="1" x14ac:dyDescent="0.2">
      <c r="A40" s="25"/>
      <c r="B40" s="12"/>
    </row>
    <row r="41" spans="1:2" ht="15" customHeight="1" x14ac:dyDescent="0.2">
      <c r="A41" s="8" t="s">
        <v>205</v>
      </c>
    </row>
    <row r="42" spans="1:2" ht="15" customHeight="1" x14ac:dyDescent="0.25">
      <c r="A42" s="8" t="s">
        <v>4012</v>
      </c>
    </row>
    <row r="43" spans="1:2" ht="15" customHeight="1" x14ac:dyDescent="0.2">
      <c r="A43" s="9" t="s">
        <v>210</v>
      </c>
    </row>
    <row r="44" spans="1:2" ht="15" customHeight="1" x14ac:dyDescent="0.2">
      <c r="A44" s="9" t="s">
        <v>211</v>
      </c>
    </row>
    <row r="45" spans="1:2" ht="15" customHeight="1" x14ac:dyDescent="0.2">
      <c r="A45" s="9" t="s">
        <v>212</v>
      </c>
    </row>
    <row r="46" spans="1:2" ht="15" customHeight="1" x14ac:dyDescent="0.2">
      <c r="A46" s="9" t="s">
        <v>213</v>
      </c>
    </row>
    <row r="48" spans="1:2" ht="15" customHeight="1" x14ac:dyDescent="0.2">
      <c r="A48" s="9" t="s">
        <v>110</v>
      </c>
    </row>
    <row r="50" spans="1:2" ht="15" customHeight="1" x14ac:dyDescent="0.2">
      <c r="A50" s="25" t="s">
        <v>86</v>
      </c>
      <c r="B50" s="9">
        <v>3</v>
      </c>
    </row>
    <row r="51" spans="1:2" ht="15" customHeight="1" x14ac:dyDescent="0.2">
      <c r="A51" s="25" t="s">
        <v>87</v>
      </c>
      <c r="B51" s="9">
        <v>4</v>
      </c>
    </row>
    <row r="52" spans="1:2" ht="15" customHeight="1" x14ac:dyDescent="0.2">
      <c r="A52" s="25" t="s">
        <v>82</v>
      </c>
      <c r="B52" s="9">
        <v>30</v>
      </c>
    </row>
    <row r="53" spans="1:2" ht="15" customHeight="1" x14ac:dyDescent="0.2">
      <c r="A53" s="25" t="s">
        <v>4010</v>
      </c>
      <c r="B53" s="9">
        <v>2</v>
      </c>
    </row>
    <row r="54" spans="1:2" ht="15" customHeight="1" x14ac:dyDescent="0.2">
      <c r="A54" s="25" t="s">
        <v>4011</v>
      </c>
      <c r="B54" s="9">
        <v>1</v>
      </c>
    </row>
    <row r="56" spans="1:2" ht="15" customHeight="1" x14ac:dyDescent="0.25">
      <c r="A56" s="25" t="s">
        <v>4013</v>
      </c>
      <c r="B56" s="12">
        <f>B52-(B53*B50+B54*B51)/B54</f>
        <v>20</v>
      </c>
    </row>
    <row r="57" spans="1:2" ht="15" customHeight="1" x14ac:dyDescent="0.2">
      <c r="A57" s="25"/>
      <c r="B57" s="12"/>
    </row>
    <row r="58" spans="1:2" ht="15" customHeight="1" x14ac:dyDescent="0.2">
      <c r="A58" s="8" t="s">
        <v>3290</v>
      </c>
    </row>
    <row r="59" spans="1:2" ht="15" customHeight="1" x14ac:dyDescent="0.2">
      <c r="A59" s="9" t="s">
        <v>214</v>
      </c>
    </row>
    <row r="60" spans="1:2" ht="15" customHeight="1" x14ac:dyDescent="0.2">
      <c r="A60" s="9" t="s">
        <v>215</v>
      </c>
    </row>
    <row r="61" spans="1:2" ht="15" customHeight="1" x14ac:dyDescent="0.2">
      <c r="A61" s="9" t="s">
        <v>3291</v>
      </c>
    </row>
    <row r="62" spans="1:2" ht="15" customHeight="1" x14ac:dyDescent="0.2">
      <c r="A62" s="9" t="s">
        <v>3292</v>
      </c>
    </row>
    <row r="64" spans="1:2" ht="15" customHeight="1" x14ac:dyDescent="0.2">
      <c r="A64" s="9" t="s">
        <v>110</v>
      </c>
    </row>
    <row r="66" spans="1:1" ht="15" customHeight="1" x14ac:dyDescent="0.2">
      <c r="A66" s="9" t="s">
        <v>3293</v>
      </c>
    </row>
    <row r="67" spans="1:1" ht="15" customHeight="1" x14ac:dyDescent="0.2">
      <c r="A67" s="9" t="s">
        <v>3294</v>
      </c>
    </row>
    <row r="69" spans="1:1" ht="15" customHeight="1" x14ac:dyDescent="0.2">
      <c r="A69" s="8" t="s">
        <v>216</v>
      </c>
    </row>
    <row r="70" spans="1:1" ht="15" customHeight="1" x14ac:dyDescent="0.2">
      <c r="A70" s="9" t="s">
        <v>217</v>
      </c>
    </row>
    <row r="71" spans="1:1" ht="15" customHeight="1" x14ac:dyDescent="0.2">
      <c r="A71" s="9" t="s">
        <v>218</v>
      </c>
    </row>
    <row r="72" spans="1:1" ht="15" customHeight="1" x14ac:dyDescent="0.2">
      <c r="A72" s="9" t="s">
        <v>219</v>
      </c>
    </row>
    <row r="73" spans="1:1" ht="15" customHeight="1" x14ac:dyDescent="0.2">
      <c r="A73" s="9" t="s">
        <v>220</v>
      </c>
    </row>
    <row r="75" spans="1:1" ht="15" customHeight="1" x14ac:dyDescent="0.2">
      <c r="A75" s="9" t="s">
        <v>80</v>
      </c>
    </row>
    <row r="77" spans="1:1" ht="15" customHeight="1" x14ac:dyDescent="0.2">
      <c r="A77" s="9" t="s">
        <v>221</v>
      </c>
    </row>
    <row r="79" spans="1:1" ht="15" customHeight="1" x14ac:dyDescent="0.2">
      <c r="A79" s="8" t="s">
        <v>222</v>
      </c>
    </row>
    <row r="80" spans="1:1" ht="15" customHeight="1" x14ac:dyDescent="0.2">
      <c r="A80" s="9" t="s">
        <v>223</v>
      </c>
    </row>
    <row r="81" spans="1:1" ht="15" customHeight="1" x14ac:dyDescent="0.2">
      <c r="A81" s="9" t="s">
        <v>224</v>
      </c>
    </row>
    <row r="82" spans="1:1" ht="15" customHeight="1" x14ac:dyDescent="0.2">
      <c r="A82" s="9" t="s">
        <v>225</v>
      </c>
    </row>
    <row r="83" spans="1:1" ht="15" customHeight="1" x14ac:dyDescent="0.2">
      <c r="A83" s="9" t="s">
        <v>226</v>
      </c>
    </row>
    <row r="85" spans="1:1" ht="15" customHeight="1" x14ac:dyDescent="0.2">
      <c r="A85" s="9" t="s">
        <v>88</v>
      </c>
    </row>
    <row r="87" spans="1:1" ht="15" customHeight="1" x14ac:dyDescent="0.2">
      <c r="A87" s="9" t="s">
        <v>227</v>
      </c>
    </row>
    <row r="88" spans="1:1" ht="15" customHeight="1" x14ac:dyDescent="0.2">
      <c r="A88" s="9" t="s">
        <v>228</v>
      </c>
    </row>
    <row r="90" spans="1:1" ht="15" customHeight="1" x14ac:dyDescent="0.2">
      <c r="A90" s="8" t="s">
        <v>229</v>
      </c>
    </row>
    <row r="91" spans="1:1" ht="15" customHeight="1" x14ac:dyDescent="0.2">
      <c r="A91" s="8" t="s">
        <v>167</v>
      </c>
    </row>
    <row r="92" spans="1:1" ht="15" customHeight="1" x14ac:dyDescent="0.2">
      <c r="A92" s="9" t="s">
        <v>230</v>
      </c>
    </row>
    <row r="93" spans="1:1" ht="15" customHeight="1" x14ac:dyDescent="0.2">
      <c r="A93" s="9" t="s">
        <v>231</v>
      </c>
    </row>
    <row r="94" spans="1:1" ht="15" customHeight="1" x14ac:dyDescent="0.2">
      <c r="A94" s="9" t="s">
        <v>232</v>
      </c>
    </row>
    <row r="95" spans="1:1" ht="15" customHeight="1" x14ac:dyDescent="0.2">
      <c r="A95" s="9" t="s">
        <v>233</v>
      </c>
    </row>
    <row r="97" spans="1:2" ht="15" customHeight="1" x14ac:dyDescent="0.2">
      <c r="A97" s="9" t="s">
        <v>88</v>
      </c>
    </row>
    <row r="99" spans="1:2" ht="15" customHeight="1" x14ac:dyDescent="0.2">
      <c r="A99" s="9" t="s">
        <v>234</v>
      </c>
    </row>
    <row r="100" spans="1:2" ht="15" customHeight="1" x14ac:dyDescent="0.25">
      <c r="A100" s="9" t="s">
        <v>3672</v>
      </c>
      <c r="B100" s="12">
        <v>1500</v>
      </c>
    </row>
    <row r="101" spans="1:2" ht="15" customHeight="1" x14ac:dyDescent="0.25">
      <c r="A101" s="9" t="s">
        <v>4014</v>
      </c>
      <c r="B101" s="12">
        <v>1540</v>
      </c>
    </row>
    <row r="102" spans="1:2" ht="15" customHeight="1" x14ac:dyDescent="0.2">
      <c r="A102" s="25" t="s">
        <v>178</v>
      </c>
      <c r="B102" s="9">
        <v>100</v>
      </c>
    </row>
    <row r="104" spans="1:2" ht="15" customHeight="1" x14ac:dyDescent="0.2">
      <c r="A104" s="9" t="s">
        <v>235</v>
      </c>
      <c r="B104" s="12">
        <f>(B100-B101)*B102</f>
        <v>-4000</v>
      </c>
    </row>
    <row r="106" spans="1:2" ht="15" customHeight="1" x14ac:dyDescent="0.2">
      <c r="A106" s="8" t="s">
        <v>236</v>
      </c>
    </row>
    <row r="107" spans="1:2" ht="15" customHeight="1" x14ac:dyDescent="0.2">
      <c r="A107" s="9" t="s">
        <v>237</v>
      </c>
    </row>
    <row r="108" spans="1:2" ht="15" customHeight="1" x14ac:dyDescent="0.2">
      <c r="A108" s="9" t="s">
        <v>238</v>
      </c>
    </row>
    <row r="109" spans="1:2" ht="15" customHeight="1" x14ac:dyDescent="0.2">
      <c r="A109" s="9" t="s">
        <v>239</v>
      </c>
    </row>
    <row r="110" spans="1:2" ht="15" customHeight="1" x14ac:dyDescent="0.2">
      <c r="A110" s="9" t="s">
        <v>240</v>
      </c>
    </row>
    <row r="112" spans="1:2" ht="15" customHeight="1" x14ac:dyDescent="0.2">
      <c r="A112" s="9" t="s">
        <v>98</v>
      </c>
    </row>
    <row r="114" spans="1:1" ht="15" customHeight="1" x14ac:dyDescent="0.2">
      <c r="A114" s="9" t="s">
        <v>241</v>
      </c>
    </row>
    <row r="115" spans="1:1" ht="15" customHeight="1" x14ac:dyDescent="0.2">
      <c r="A115" s="9" t="s">
        <v>242</v>
      </c>
    </row>
    <row r="117" spans="1:1" ht="15" customHeight="1" x14ac:dyDescent="0.2">
      <c r="A117" s="8" t="s">
        <v>243</v>
      </c>
    </row>
    <row r="118" spans="1:1" ht="15" customHeight="1" x14ac:dyDescent="0.2">
      <c r="A118" s="9" t="s">
        <v>244</v>
      </c>
    </row>
    <row r="119" spans="1:1" ht="15" customHeight="1" x14ac:dyDescent="0.2">
      <c r="A119" s="9" t="s">
        <v>245</v>
      </c>
    </row>
    <row r="120" spans="1:1" ht="15" customHeight="1" x14ac:dyDescent="0.2">
      <c r="A120" s="9" t="s">
        <v>246</v>
      </c>
    </row>
    <row r="121" spans="1:1" ht="15" customHeight="1" x14ac:dyDescent="0.2">
      <c r="A121" s="9" t="s">
        <v>247</v>
      </c>
    </row>
    <row r="123" spans="1:1" ht="15" customHeight="1" x14ac:dyDescent="0.2">
      <c r="A123" s="9" t="s">
        <v>98</v>
      </c>
    </row>
    <row r="125" spans="1:1" ht="15" customHeight="1" x14ac:dyDescent="0.2">
      <c r="A125" s="9" t="s">
        <v>248</v>
      </c>
    </row>
    <row r="127" spans="1:1" ht="15" customHeight="1" x14ac:dyDescent="0.2">
      <c r="A127" s="8" t="s">
        <v>249</v>
      </c>
    </row>
    <row r="128" spans="1:1" ht="15" customHeight="1" x14ac:dyDescent="0.2">
      <c r="A128" s="9" t="s">
        <v>250</v>
      </c>
    </row>
    <row r="129" spans="1:1" ht="15" customHeight="1" x14ac:dyDescent="0.2">
      <c r="A129" s="9" t="s">
        <v>251</v>
      </c>
    </row>
    <row r="130" spans="1:1" ht="15" customHeight="1" x14ac:dyDescent="0.2">
      <c r="A130" s="9" t="s">
        <v>252</v>
      </c>
    </row>
    <row r="131" spans="1:1" ht="15" customHeight="1" x14ac:dyDescent="0.2">
      <c r="A131" s="9" t="s">
        <v>253</v>
      </c>
    </row>
    <row r="133" spans="1:1" ht="15" customHeight="1" x14ac:dyDescent="0.2">
      <c r="A133" s="9" t="s">
        <v>110</v>
      </c>
    </row>
    <row r="135" spans="1:1" ht="15" customHeight="1" x14ac:dyDescent="0.2">
      <c r="A135" s="9" t="s">
        <v>254</v>
      </c>
    </row>
    <row r="137" spans="1:1" ht="15" customHeight="1" x14ac:dyDescent="0.2">
      <c r="A137" s="8" t="s">
        <v>255</v>
      </c>
    </row>
    <row r="138" spans="1:1" ht="15" customHeight="1" x14ac:dyDescent="0.2">
      <c r="A138" s="8" t="s">
        <v>256</v>
      </c>
    </row>
    <row r="139" spans="1:1" ht="15" customHeight="1" x14ac:dyDescent="0.2">
      <c r="A139" s="9" t="s">
        <v>257</v>
      </c>
    </row>
    <row r="140" spans="1:1" ht="15" customHeight="1" x14ac:dyDescent="0.2">
      <c r="A140" s="9" t="s">
        <v>258</v>
      </c>
    </row>
    <row r="141" spans="1:1" ht="15" customHeight="1" x14ac:dyDescent="0.2">
      <c r="A141" s="9" t="s">
        <v>259</v>
      </c>
    </row>
    <row r="142" spans="1:1" ht="15" customHeight="1" x14ac:dyDescent="0.2">
      <c r="A142" s="9" t="s">
        <v>260</v>
      </c>
    </row>
    <row r="144" spans="1:1" ht="15" customHeight="1" x14ac:dyDescent="0.2">
      <c r="A144" s="9" t="s">
        <v>98</v>
      </c>
    </row>
    <row r="146" spans="1:2" ht="15" customHeight="1" x14ac:dyDescent="0.2">
      <c r="A146" s="9" t="s">
        <v>261</v>
      </c>
    </row>
    <row r="148" spans="1:2" ht="15" customHeight="1" x14ac:dyDescent="0.25">
      <c r="A148" s="9" t="s">
        <v>3638</v>
      </c>
      <c r="B148" s="12">
        <v>57</v>
      </c>
    </row>
    <row r="149" spans="1:2" ht="15" customHeight="1" x14ac:dyDescent="0.2">
      <c r="A149" s="25" t="s">
        <v>178</v>
      </c>
      <c r="B149" s="9">
        <v>100</v>
      </c>
    </row>
    <row r="150" spans="1:2" ht="15" customHeight="1" x14ac:dyDescent="0.2">
      <c r="A150" s="25" t="s">
        <v>82</v>
      </c>
      <c r="B150" s="12">
        <v>60</v>
      </c>
    </row>
    <row r="151" spans="1:2" ht="15" customHeight="1" x14ac:dyDescent="0.2">
      <c r="A151" s="25" t="s">
        <v>86</v>
      </c>
      <c r="B151" s="12">
        <v>2</v>
      </c>
    </row>
    <row r="152" spans="1:2" ht="15" customHeight="1" x14ac:dyDescent="0.25">
      <c r="A152" s="25" t="s">
        <v>3436</v>
      </c>
      <c r="B152" s="12">
        <v>65</v>
      </c>
    </row>
    <row r="154" spans="1:2" ht="15" customHeight="1" x14ac:dyDescent="0.2">
      <c r="A154" s="9" t="s">
        <v>235</v>
      </c>
      <c r="B154" s="12">
        <f>B149*(B152-B150-B151)</f>
        <v>300</v>
      </c>
    </row>
    <row r="156" spans="1:2" ht="15" customHeight="1" x14ac:dyDescent="0.2">
      <c r="A156" s="8" t="s">
        <v>262</v>
      </c>
    </row>
    <row r="157" spans="1:2" ht="15" customHeight="1" x14ac:dyDescent="0.2">
      <c r="A157" s="8" t="s">
        <v>263</v>
      </c>
    </row>
    <row r="158" spans="1:2" ht="15" customHeight="1" x14ac:dyDescent="0.2">
      <c r="A158" s="9" t="s">
        <v>264</v>
      </c>
    </row>
    <row r="159" spans="1:2" ht="15" customHeight="1" x14ac:dyDescent="0.2">
      <c r="A159" s="9" t="s">
        <v>265</v>
      </c>
    </row>
    <row r="160" spans="1:2" ht="15" customHeight="1" x14ac:dyDescent="0.2">
      <c r="A160" s="9" t="s">
        <v>266</v>
      </c>
    </row>
    <row r="161" spans="1:2" ht="15" customHeight="1" x14ac:dyDescent="0.2">
      <c r="A161" s="9" t="s">
        <v>267</v>
      </c>
    </row>
    <row r="163" spans="1:2" ht="15" customHeight="1" x14ac:dyDescent="0.2">
      <c r="A163" s="9" t="s">
        <v>110</v>
      </c>
    </row>
    <row r="165" spans="1:2" ht="15" customHeight="1" x14ac:dyDescent="0.2">
      <c r="A165" s="9" t="s">
        <v>268</v>
      </c>
    </row>
    <row r="167" spans="1:2" ht="15" customHeight="1" x14ac:dyDescent="0.25">
      <c r="A167" s="9" t="s">
        <v>3638</v>
      </c>
      <c r="B167" s="12">
        <v>124</v>
      </c>
    </row>
    <row r="168" spans="1:2" ht="15" customHeight="1" x14ac:dyDescent="0.2">
      <c r="A168" s="25" t="s">
        <v>178</v>
      </c>
      <c r="B168" s="9">
        <v>-200</v>
      </c>
    </row>
    <row r="169" spans="1:2" ht="15" customHeight="1" x14ac:dyDescent="0.2">
      <c r="A169" s="25" t="s">
        <v>82</v>
      </c>
      <c r="B169" s="12">
        <v>120</v>
      </c>
    </row>
    <row r="170" spans="1:2" ht="15" customHeight="1" x14ac:dyDescent="0.2">
      <c r="A170" s="25" t="s">
        <v>87</v>
      </c>
      <c r="B170" s="12">
        <v>5</v>
      </c>
    </row>
    <row r="171" spans="1:2" ht="15" customHeight="1" x14ac:dyDescent="0.25">
      <c r="A171" s="25" t="s">
        <v>3436</v>
      </c>
      <c r="B171" s="12">
        <v>110</v>
      </c>
    </row>
    <row r="173" spans="1:2" ht="15" customHeight="1" x14ac:dyDescent="0.2">
      <c r="A173" s="9" t="s">
        <v>235</v>
      </c>
      <c r="B173" s="12">
        <f>B168*(B169-B171-B170)</f>
        <v>-1000</v>
      </c>
    </row>
    <row r="175" spans="1:2" ht="15" customHeight="1" x14ac:dyDescent="0.2">
      <c r="A175" s="8" t="s">
        <v>269</v>
      </c>
    </row>
    <row r="176" spans="1:2" ht="15" customHeight="1" x14ac:dyDescent="0.2">
      <c r="A176" s="8" t="s">
        <v>270</v>
      </c>
    </row>
    <row r="177" spans="1:2" ht="15" customHeight="1" x14ac:dyDescent="0.2">
      <c r="A177" s="9" t="s">
        <v>271</v>
      </c>
    </row>
    <row r="178" spans="1:2" ht="15" customHeight="1" x14ac:dyDescent="0.2">
      <c r="A178" s="9" t="s">
        <v>265</v>
      </c>
    </row>
    <row r="179" spans="1:2" ht="15" customHeight="1" x14ac:dyDescent="0.2">
      <c r="A179" s="9" t="s">
        <v>272</v>
      </c>
    </row>
    <row r="180" spans="1:2" ht="15" customHeight="1" x14ac:dyDescent="0.2">
      <c r="A180" s="9" t="s">
        <v>273</v>
      </c>
    </row>
    <row r="182" spans="1:2" ht="15" customHeight="1" x14ac:dyDescent="0.2">
      <c r="A182" s="9" t="s">
        <v>80</v>
      </c>
    </row>
    <row r="184" spans="1:2" ht="15" customHeight="1" x14ac:dyDescent="0.2">
      <c r="A184" s="9" t="s">
        <v>274</v>
      </c>
    </row>
    <row r="186" spans="1:2" ht="15" customHeight="1" x14ac:dyDescent="0.25">
      <c r="A186" s="9" t="s">
        <v>3638</v>
      </c>
      <c r="B186" s="12">
        <v>84</v>
      </c>
    </row>
    <row r="187" spans="1:2" ht="15" customHeight="1" x14ac:dyDescent="0.2">
      <c r="A187" s="25" t="s">
        <v>178</v>
      </c>
      <c r="B187" s="9">
        <v>200</v>
      </c>
    </row>
    <row r="188" spans="1:2" ht="15" customHeight="1" x14ac:dyDescent="0.2">
      <c r="A188" s="25" t="s">
        <v>82</v>
      </c>
      <c r="B188" s="12">
        <v>90</v>
      </c>
    </row>
    <row r="189" spans="1:2" ht="15" customHeight="1" x14ac:dyDescent="0.2">
      <c r="A189" s="25" t="s">
        <v>87</v>
      </c>
      <c r="B189" s="12">
        <v>10</v>
      </c>
    </row>
    <row r="190" spans="1:2" ht="15" customHeight="1" x14ac:dyDescent="0.25">
      <c r="A190" s="25" t="s">
        <v>3436</v>
      </c>
      <c r="B190" s="12">
        <v>85</v>
      </c>
    </row>
    <row r="192" spans="1:2" ht="15" customHeight="1" x14ac:dyDescent="0.2">
      <c r="A192" s="9" t="s">
        <v>235</v>
      </c>
      <c r="B192" s="12">
        <f>B187*(B188-B190-B189)</f>
        <v>-1000</v>
      </c>
    </row>
    <row r="194" spans="1:2" ht="15" customHeight="1" x14ac:dyDescent="0.2">
      <c r="A194" s="8" t="s">
        <v>275</v>
      </c>
    </row>
    <row r="195" spans="1:2" ht="15" customHeight="1" x14ac:dyDescent="0.2">
      <c r="A195" s="8" t="s">
        <v>276</v>
      </c>
    </row>
    <row r="196" spans="1:2" ht="15" customHeight="1" x14ac:dyDescent="0.2">
      <c r="A196" s="9" t="s">
        <v>277</v>
      </c>
    </row>
    <row r="197" spans="1:2" ht="15" customHeight="1" x14ac:dyDescent="0.2">
      <c r="A197" s="9" t="s">
        <v>278</v>
      </c>
    </row>
    <row r="198" spans="1:2" ht="15" customHeight="1" x14ac:dyDescent="0.2">
      <c r="A198" s="9" t="s">
        <v>272</v>
      </c>
    </row>
    <row r="199" spans="1:2" ht="15" customHeight="1" x14ac:dyDescent="0.2">
      <c r="A199" s="9" t="s">
        <v>279</v>
      </c>
    </row>
    <row r="201" spans="1:2" ht="15" customHeight="1" x14ac:dyDescent="0.2">
      <c r="A201" s="9" t="s">
        <v>98</v>
      </c>
    </row>
    <row r="203" spans="1:2" ht="15" customHeight="1" x14ac:dyDescent="0.2">
      <c r="A203" s="9" t="s">
        <v>280</v>
      </c>
    </row>
    <row r="205" spans="1:2" ht="15" customHeight="1" x14ac:dyDescent="0.25">
      <c r="A205" s="9" t="s">
        <v>3638</v>
      </c>
      <c r="B205" s="12">
        <v>48</v>
      </c>
    </row>
    <row r="206" spans="1:2" ht="15" customHeight="1" x14ac:dyDescent="0.2">
      <c r="A206" s="25" t="s">
        <v>178</v>
      </c>
      <c r="B206" s="9">
        <v>-200</v>
      </c>
    </row>
    <row r="207" spans="1:2" ht="15" customHeight="1" x14ac:dyDescent="0.2">
      <c r="A207" s="25" t="s">
        <v>82</v>
      </c>
      <c r="B207" s="12">
        <v>40</v>
      </c>
    </row>
    <row r="208" spans="1:2" ht="15" customHeight="1" x14ac:dyDescent="0.2">
      <c r="A208" s="25" t="s">
        <v>87</v>
      </c>
      <c r="B208" s="12">
        <v>2</v>
      </c>
    </row>
    <row r="209" spans="1:2" ht="15" customHeight="1" x14ac:dyDescent="0.25">
      <c r="A209" s="25" t="s">
        <v>3436</v>
      </c>
      <c r="B209" s="12">
        <v>39</v>
      </c>
    </row>
    <row r="211" spans="1:2" ht="15" customHeight="1" x14ac:dyDescent="0.2">
      <c r="A211" s="9" t="s">
        <v>235</v>
      </c>
      <c r="B211" s="12">
        <f>B206*(B207-B209-B208)</f>
        <v>200</v>
      </c>
    </row>
    <row r="213" spans="1:2" ht="15" customHeight="1" x14ac:dyDescent="0.2">
      <c r="A213" s="8" t="s">
        <v>281</v>
      </c>
    </row>
    <row r="214" spans="1:2" ht="15" customHeight="1" x14ac:dyDescent="0.2">
      <c r="A214" s="8" t="s">
        <v>282</v>
      </c>
    </row>
    <row r="215" spans="1:2" ht="15" customHeight="1" x14ac:dyDescent="0.2">
      <c r="A215" s="9" t="s">
        <v>283</v>
      </c>
    </row>
    <row r="216" spans="1:2" ht="15" customHeight="1" x14ac:dyDescent="0.2">
      <c r="A216" s="9" t="s">
        <v>284</v>
      </c>
    </row>
    <row r="217" spans="1:2" ht="15" customHeight="1" x14ac:dyDescent="0.2">
      <c r="A217" s="9" t="s">
        <v>285</v>
      </c>
    </row>
    <row r="218" spans="1:2" ht="15" customHeight="1" x14ac:dyDescent="0.2">
      <c r="A218" s="9" t="s">
        <v>286</v>
      </c>
    </row>
    <row r="220" spans="1:2" ht="15" customHeight="1" x14ac:dyDescent="0.2">
      <c r="A220" s="9" t="s">
        <v>110</v>
      </c>
    </row>
    <row r="222" spans="1:2" ht="15" customHeight="1" x14ac:dyDescent="0.2">
      <c r="A222" s="9" t="s">
        <v>287</v>
      </c>
    </row>
    <row r="223" spans="1:2" ht="15" customHeight="1" x14ac:dyDescent="0.2">
      <c r="A223" s="9" t="s">
        <v>288</v>
      </c>
    </row>
    <row r="225" spans="1:1" ht="15" customHeight="1" x14ac:dyDescent="0.2">
      <c r="A225" s="8" t="s">
        <v>289</v>
      </c>
    </row>
    <row r="226" spans="1:1" ht="15" customHeight="1" x14ac:dyDescent="0.2">
      <c r="A226" s="9" t="s">
        <v>290</v>
      </c>
    </row>
    <row r="227" spans="1:1" ht="15" customHeight="1" x14ac:dyDescent="0.2">
      <c r="A227" s="9" t="s">
        <v>291</v>
      </c>
    </row>
    <row r="228" spans="1:1" ht="15" customHeight="1" x14ac:dyDescent="0.2">
      <c r="A228" s="9" t="s">
        <v>292</v>
      </c>
    </row>
    <row r="229" spans="1:1" ht="15" customHeight="1" x14ac:dyDescent="0.2">
      <c r="A229" s="9" t="s">
        <v>293</v>
      </c>
    </row>
    <row r="231" spans="1:1" ht="15" customHeight="1" x14ac:dyDescent="0.2">
      <c r="A231" s="9" t="s">
        <v>80</v>
      </c>
    </row>
    <row r="233" spans="1:1" ht="15" customHeight="1" x14ac:dyDescent="0.2">
      <c r="A233" s="9" t="s">
        <v>300</v>
      </c>
    </row>
    <row r="234" spans="1:1" ht="15" customHeight="1" x14ac:dyDescent="0.2">
      <c r="A234" s="9" t="s">
        <v>294</v>
      </c>
    </row>
    <row r="236" spans="1:1" ht="15" customHeight="1" x14ac:dyDescent="0.2">
      <c r="A236" s="8" t="s">
        <v>295</v>
      </c>
    </row>
    <row r="237" spans="1:1" ht="15" customHeight="1" x14ac:dyDescent="0.2">
      <c r="A237" s="9" t="s">
        <v>296</v>
      </c>
    </row>
    <row r="238" spans="1:1" ht="15" customHeight="1" x14ac:dyDescent="0.2">
      <c r="A238" s="9" t="s">
        <v>297</v>
      </c>
    </row>
    <row r="239" spans="1:1" ht="15" customHeight="1" x14ac:dyDescent="0.2">
      <c r="A239" s="9" t="s">
        <v>298</v>
      </c>
    </row>
    <row r="240" spans="1:1" ht="15" customHeight="1" x14ac:dyDescent="0.2">
      <c r="A240" s="9" t="s">
        <v>299</v>
      </c>
    </row>
    <row r="242" spans="1:1" ht="15" customHeight="1" x14ac:dyDescent="0.2">
      <c r="A242" s="9" t="s">
        <v>98</v>
      </c>
    </row>
    <row r="244" spans="1:1" ht="15" customHeight="1" x14ac:dyDescent="0.25">
      <c r="A244" s="9" t="s">
        <v>4015</v>
      </c>
    </row>
    <row r="245" spans="1:1" ht="15" customHeight="1" x14ac:dyDescent="0.2">
      <c r="A245" s="9" t="s">
        <v>301</v>
      </c>
    </row>
    <row r="247" spans="1:1" ht="15" customHeight="1" x14ac:dyDescent="0.2">
      <c r="A247" s="8" t="s">
        <v>302</v>
      </c>
    </row>
    <row r="248" spans="1:1" ht="15" customHeight="1" x14ac:dyDescent="0.2">
      <c r="A248" s="8" t="s">
        <v>303</v>
      </c>
    </row>
    <row r="249" spans="1:1" ht="15" customHeight="1" x14ac:dyDescent="0.2">
      <c r="A249" s="9" t="s">
        <v>304</v>
      </c>
    </row>
    <row r="250" spans="1:1" ht="15" customHeight="1" x14ac:dyDescent="0.2">
      <c r="A250" s="9" t="s">
        <v>305</v>
      </c>
    </row>
    <row r="251" spans="1:1" ht="15" customHeight="1" x14ac:dyDescent="0.2">
      <c r="A251" s="9" t="s">
        <v>306</v>
      </c>
    </row>
    <row r="252" spans="1:1" ht="15" customHeight="1" x14ac:dyDescent="0.2">
      <c r="A252" s="9" t="s">
        <v>307</v>
      </c>
    </row>
    <row r="254" spans="1:1" ht="15" customHeight="1" x14ac:dyDescent="0.2">
      <c r="A254" s="9" t="s">
        <v>88</v>
      </c>
    </row>
    <row r="256" spans="1:1" ht="15" customHeight="1" x14ac:dyDescent="0.2">
      <c r="A256" s="9" t="s">
        <v>308</v>
      </c>
    </row>
    <row r="257" spans="1:2" ht="15" customHeight="1" x14ac:dyDescent="0.2">
      <c r="A257" s="9" t="s">
        <v>309</v>
      </c>
    </row>
    <row r="259" spans="1:2" ht="15" customHeight="1" x14ac:dyDescent="0.25">
      <c r="A259" s="25" t="s">
        <v>3693</v>
      </c>
      <c r="B259" s="12">
        <v>5000000</v>
      </c>
    </row>
    <row r="260" spans="1:2" ht="15" customHeight="1" x14ac:dyDescent="0.25">
      <c r="A260" s="25" t="s">
        <v>3451</v>
      </c>
      <c r="B260" s="12">
        <v>1250</v>
      </c>
    </row>
    <row r="261" spans="1:2" ht="15" customHeight="1" x14ac:dyDescent="0.25">
      <c r="A261" s="25" t="s">
        <v>4016</v>
      </c>
      <c r="B261" s="9">
        <v>250</v>
      </c>
    </row>
    <row r="263" spans="1:2" ht="15" customHeight="1" x14ac:dyDescent="0.2">
      <c r="A263" s="25" t="s">
        <v>178</v>
      </c>
      <c r="B263" s="19">
        <f>B259/(B261*B260)</f>
        <v>16</v>
      </c>
    </row>
    <row r="265" spans="1:2" ht="15" customHeight="1" x14ac:dyDescent="0.2">
      <c r="A265" s="8" t="s">
        <v>310</v>
      </c>
    </row>
    <row r="266" spans="1:2" ht="15" customHeight="1" x14ac:dyDescent="0.2">
      <c r="A266" s="9" t="s">
        <v>311</v>
      </c>
    </row>
    <row r="267" spans="1:2" ht="15" customHeight="1" x14ac:dyDescent="0.2">
      <c r="A267" s="9" t="s">
        <v>312</v>
      </c>
    </row>
    <row r="268" spans="1:2" ht="15" customHeight="1" x14ac:dyDescent="0.2">
      <c r="A268" s="9" t="s">
        <v>313</v>
      </c>
    </row>
    <row r="269" spans="1:2" ht="15" customHeight="1" x14ac:dyDescent="0.2">
      <c r="A269" s="9" t="s">
        <v>314</v>
      </c>
    </row>
    <row r="271" spans="1:2" ht="15" customHeight="1" x14ac:dyDescent="0.2">
      <c r="A271" s="9" t="s">
        <v>88</v>
      </c>
    </row>
    <row r="273" spans="1:1" ht="15" customHeight="1" x14ac:dyDescent="0.2">
      <c r="A273" s="9" t="s">
        <v>315</v>
      </c>
    </row>
    <row r="274" spans="1:1" ht="15" customHeight="1" x14ac:dyDescent="0.2">
      <c r="A274" s="9" t="s">
        <v>316</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
    <tabColor rgb="FF536878"/>
    <pageSetUpPr fitToPage="1"/>
  </sheetPr>
  <dimension ref="A1:P250"/>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3.28515625" style="9" customWidth="1"/>
    <col min="2" max="16384" width="9.140625" style="9"/>
  </cols>
  <sheetData>
    <row r="1" spans="1:16" ht="15" customHeight="1" x14ac:dyDescent="0.2">
      <c r="A1" s="75" t="s">
        <v>3255</v>
      </c>
      <c r="B1" s="76"/>
      <c r="C1" s="76"/>
      <c r="D1" s="76"/>
      <c r="E1" s="76"/>
      <c r="F1" s="76"/>
      <c r="G1" s="76"/>
      <c r="H1" s="76"/>
      <c r="I1" s="76"/>
      <c r="J1" s="76"/>
      <c r="K1" s="76"/>
      <c r="L1" s="76"/>
      <c r="M1" s="76"/>
      <c r="N1" s="76"/>
      <c r="O1" s="76"/>
      <c r="P1" s="76"/>
    </row>
    <row r="3" spans="1:16" ht="15" customHeight="1" x14ac:dyDescent="0.2">
      <c r="A3" s="8" t="s">
        <v>317</v>
      </c>
    </row>
    <row r="4" spans="1:16" ht="15" customHeight="1" x14ac:dyDescent="0.2">
      <c r="A4" s="9" t="s">
        <v>3990</v>
      </c>
    </row>
    <row r="5" spans="1:16" ht="15" customHeight="1" x14ac:dyDescent="0.2">
      <c r="A5" s="9" t="s">
        <v>3991</v>
      </c>
    </row>
    <row r="6" spans="1:16" ht="15" customHeight="1" x14ac:dyDescent="0.2">
      <c r="A6" s="9" t="s">
        <v>3992</v>
      </c>
    </row>
    <row r="7" spans="1:16" ht="15" customHeight="1" x14ac:dyDescent="0.2">
      <c r="A7" s="9" t="s">
        <v>3993</v>
      </c>
    </row>
    <row r="9" spans="1:16" ht="15" customHeight="1" x14ac:dyDescent="0.2">
      <c r="A9" s="9" t="s">
        <v>98</v>
      </c>
    </row>
    <row r="11" spans="1:16" ht="15" customHeight="1" x14ac:dyDescent="0.2">
      <c r="A11" s="9" t="s">
        <v>318</v>
      </c>
    </row>
    <row r="13" spans="1:16" ht="15" customHeight="1" x14ac:dyDescent="0.2">
      <c r="A13" s="8" t="s">
        <v>319</v>
      </c>
    </row>
    <row r="14" spans="1:16" ht="15" customHeight="1" x14ac:dyDescent="0.2">
      <c r="A14" s="9" t="s">
        <v>3994</v>
      </c>
    </row>
    <row r="15" spans="1:16" ht="15" customHeight="1" x14ac:dyDescent="0.2">
      <c r="A15" s="9" t="s">
        <v>3995</v>
      </c>
    </row>
    <row r="16" spans="1:16" ht="15" customHeight="1" x14ac:dyDescent="0.2">
      <c r="A16" s="9" t="s">
        <v>3996</v>
      </c>
    </row>
    <row r="17" spans="1:1" ht="15" customHeight="1" x14ac:dyDescent="0.2">
      <c r="A17" s="9" t="s">
        <v>3997</v>
      </c>
    </row>
    <row r="19" spans="1:1" ht="15" customHeight="1" x14ac:dyDescent="0.2">
      <c r="A19" s="9" t="s">
        <v>80</v>
      </c>
    </row>
    <row r="21" spans="1:1" ht="15" customHeight="1" x14ac:dyDescent="0.2">
      <c r="A21" s="9" t="s">
        <v>320</v>
      </c>
    </row>
    <row r="23" spans="1:1" ht="15" customHeight="1" x14ac:dyDescent="0.2">
      <c r="A23" s="8" t="s">
        <v>321</v>
      </c>
    </row>
    <row r="24" spans="1:1" ht="15" customHeight="1" x14ac:dyDescent="0.2">
      <c r="A24" s="9" t="s">
        <v>3998</v>
      </c>
    </row>
    <row r="25" spans="1:1" ht="15" customHeight="1" x14ac:dyDescent="0.2">
      <c r="A25" s="9" t="s">
        <v>3999</v>
      </c>
    </row>
    <row r="26" spans="1:1" ht="15" customHeight="1" x14ac:dyDescent="0.2">
      <c r="A26" s="9" t="s">
        <v>4000</v>
      </c>
    </row>
    <row r="27" spans="1:1" ht="15" customHeight="1" x14ac:dyDescent="0.2">
      <c r="A27" s="9" t="s">
        <v>4001</v>
      </c>
    </row>
    <row r="29" spans="1:1" ht="15" customHeight="1" x14ac:dyDescent="0.2">
      <c r="A29" s="9" t="s">
        <v>88</v>
      </c>
    </row>
    <row r="31" spans="1:1" ht="15" customHeight="1" x14ac:dyDescent="0.2">
      <c r="A31" s="9" t="s">
        <v>322</v>
      </c>
    </row>
    <row r="32" spans="1:1" ht="15" customHeight="1" x14ac:dyDescent="0.2">
      <c r="A32" s="9" t="s">
        <v>323</v>
      </c>
    </row>
    <row r="34" spans="1:2" ht="15" customHeight="1" x14ac:dyDescent="0.2">
      <c r="A34" s="8" t="s">
        <v>42</v>
      </c>
    </row>
    <row r="35" spans="1:2" ht="15" customHeight="1" x14ac:dyDescent="0.2">
      <c r="A35" s="8" t="s">
        <v>89</v>
      </c>
    </row>
    <row r="36" spans="1:2" ht="15" customHeight="1" x14ac:dyDescent="0.2">
      <c r="A36" s="72" t="s">
        <v>3295</v>
      </c>
    </row>
    <row r="37" spans="1:2" ht="15" customHeight="1" x14ac:dyDescent="0.2">
      <c r="A37" s="72" t="s">
        <v>3296</v>
      </c>
    </row>
    <row r="38" spans="1:2" ht="15" customHeight="1" x14ac:dyDescent="0.2">
      <c r="A38" s="72" t="s">
        <v>3297</v>
      </c>
    </row>
    <row r="39" spans="1:2" ht="15" customHeight="1" x14ac:dyDescent="0.2">
      <c r="A39" s="72" t="s">
        <v>3298</v>
      </c>
    </row>
    <row r="40" spans="1:2" ht="15" customHeight="1" x14ac:dyDescent="0.2">
      <c r="A40" s="8"/>
    </row>
    <row r="41" spans="1:2" ht="15" customHeight="1" x14ac:dyDescent="0.2">
      <c r="A41" s="9" t="s">
        <v>110</v>
      </c>
    </row>
    <row r="43" spans="1:2" ht="15" customHeight="1" x14ac:dyDescent="0.2">
      <c r="A43" s="9" t="s">
        <v>324</v>
      </c>
    </row>
    <row r="44" spans="1:2" ht="15" customHeight="1" x14ac:dyDescent="0.2">
      <c r="A44" s="9" t="s">
        <v>325</v>
      </c>
    </row>
    <row r="45" spans="1:2" ht="15" customHeight="1" x14ac:dyDescent="0.2">
      <c r="A45" s="9" t="s">
        <v>326</v>
      </c>
    </row>
    <row r="47" spans="1:2" ht="15" customHeight="1" x14ac:dyDescent="0.2">
      <c r="A47" s="9" t="s">
        <v>81</v>
      </c>
      <c r="B47" s="9">
        <v>-1</v>
      </c>
    </row>
    <row r="48" spans="1:2" ht="15" customHeight="1" x14ac:dyDescent="0.2">
      <c r="A48" s="9" t="s">
        <v>90</v>
      </c>
      <c r="B48" s="23">
        <v>50000</v>
      </c>
    </row>
    <row r="49" spans="1:3" ht="15" customHeight="1" x14ac:dyDescent="0.25">
      <c r="A49" s="25" t="s">
        <v>3656</v>
      </c>
      <c r="B49" s="18">
        <v>0.7</v>
      </c>
    </row>
    <row r="50" spans="1:3" ht="15" customHeight="1" x14ac:dyDescent="0.2">
      <c r="A50" s="9" t="s">
        <v>91</v>
      </c>
      <c r="B50" s="9">
        <v>4000</v>
      </c>
    </row>
    <row r="51" spans="1:3" ht="15" customHeight="1" x14ac:dyDescent="0.2">
      <c r="A51" s="9" t="s">
        <v>92</v>
      </c>
      <c r="C51" s="9">
        <v>3000</v>
      </c>
    </row>
    <row r="53" spans="1:3" ht="15" customHeight="1" x14ac:dyDescent="0.25">
      <c r="A53" s="25" t="s">
        <v>4002</v>
      </c>
      <c r="B53" s="15">
        <f>B49+(B50-C51)/B48</f>
        <v>0.72</v>
      </c>
    </row>
    <row r="55" spans="1:3" ht="15" customHeight="1" x14ac:dyDescent="0.2">
      <c r="A55" s="8" t="s">
        <v>132</v>
      </c>
    </row>
    <row r="56" spans="1:3" ht="15" customHeight="1" x14ac:dyDescent="0.2">
      <c r="A56" s="8" t="s">
        <v>43</v>
      </c>
    </row>
    <row r="57" spans="1:3" ht="15" customHeight="1" x14ac:dyDescent="0.2">
      <c r="A57" s="9" t="s">
        <v>327</v>
      </c>
    </row>
    <row r="58" spans="1:3" ht="15" customHeight="1" x14ac:dyDescent="0.2">
      <c r="A58" s="9" t="s">
        <v>328</v>
      </c>
    </row>
    <row r="59" spans="1:3" ht="15" customHeight="1" x14ac:dyDescent="0.2">
      <c r="A59" s="9" t="s">
        <v>329</v>
      </c>
    </row>
    <row r="60" spans="1:3" ht="15" customHeight="1" x14ac:dyDescent="0.2">
      <c r="A60" s="9" t="s">
        <v>330</v>
      </c>
    </row>
    <row r="62" spans="1:3" ht="15" customHeight="1" x14ac:dyDescent="0.2">
      <c r="A62" s="9" t="s">
        <v>88</v>
      </c>
    </row>
    <row r="64" spans="1:3" ht="15" customHeight="1" x14ac:dyDescent="0.2">
      <c r="A64" s="9" t="s">
        <v>331</v>
      </c>
    </row>
    <row r="65" spans="1:3" ht="15" customHeight="1" x14ac:dyDescent="0.2">
      <c r="A65" s="9" t="s">
        <v>3363</v>
      </c>
    </row>
    <row r="66" spans="1:3" ht="15" customHeight="1" x14ac:dyDescent="0.2">
      <c r="A66" s="8"/>
    </row>
    <row r="67" spans="1:3" ht="15" customHeight="1" x14ac:dyDescent="0.2">
      <c r="A67" s="9" t="s">
        <v>81</v>
      </c>
      <c r="B67" s="9">
        <v>1</v>
      </c>
    </row>
    <row r="68" spans="1:3" ht="15" customHeight="1" x14ac:dyDescent="0.2">
      <c r="A68" s="9" t="s">
        <v>90</v>
      </c>
      <c r="B68" s="9">
        <v>1000</v>
      </c>
    </row>
    <row r="69" spans="1:3" ht="15" customHeight="1" x14ac:dyDescent="0.25">
      <c r="A69" s="25" t="s">
        <v>3656</v>
      </c>
      <c r="B69" s="9">
        <v>60</v>
      </c>
    </row>
    <row r="70" spans="1:3" ht="15" customHeight="1" x14ac:dyDescent="0.2">
      <c r="A70" s="9" t="s">
        <v>91</v>
      </c>
      <c r="B70" s="9">
        <v>6000</v>
      </c>
    </row>
    <row r="71" spans="1:3" ht="15" customHeight="1" x14ac:dyDescent="0.2">
      <c r="A71" s="9" t="s">
        <v>92</v>
      </c>
      <c r="C71" s="9">
        <v>4000</v>
      </c>
    </row>
    <row r="72" spans="1:3" ht="15" customHeight="1" x14ac:dyDescent="0.2">
      <c r="A72" s="9" t="s">
        <v>93</v>
      </c>
      <c r="B72" s="9">
        <v>2000</v>
      </c>
    </row>
    <row r="74" spans="1:3" ht="15" customHeight="1" x14ac:dyDescent="0.25">
      <c r="A74" s="25" t="s">
        <v>4002</v>
      </c>
      <c r="B74" s="12">
        <f>B69+B67*(B72/B68)</f>
        <v>62</v>
      </c>
    </row>
    <row r="76" spans="1:3" ht="15" customHeight="1" x14ac:dyDescent="0.2">
      <c r="A76" s="8" t="s">
        <v>44</v>
      </c>
    </row>
    <row r="77" spans="1:3" ht="15" customHeight="1" x14ac:dyDescent="0.2">
      <c r="A77" s="26" t="s">
        <v>133</v>
      </c>
    </row>
    <row r="78" spans="1:3" ht="15" customHeight="1" x14ac:dyDescent="0.2">
      <c r="A78" s="26" t="s">
        <v>134</v>
      </c>
    </row>
    <row r="79" spans="1:3" ht="15" customHeight="1" x14ac:dyDescent="0.2">
      <c r="A79" s="26" t="s">
        <v>135</v>
      </c>
    </row>
    <row r="80" spans="1:3" ht="15" customHeight="1" x14ac:dyDescent="0.2">
      <c r="A80" s="26" t="s">
        <v>136</v>
      </c>
    </row>
    <row r="82" spans="1:1" ht="15" customHeight="1" x14ac:dyDescent="0.2">
      <c r="A82" s="9" t="s">
        <v>88</v>
      </c>
    </row>
    <row r="84" spans="1:1" ht="15" customHeight="1" x14ac:dyDescent="0.2">
      <c r="A84" s="9" t="s">
        <v>332</v>
      </c>
    </row>
    <row r="86" spans="1:1" ht="15" customHeight="1" x14ac:dyDescent="0.2">
      <c r="A86" s="8" t="s">
        <v>333</v>
      </c>
    </row>
    <row r="87" spans="1:1" ht="15" customHeight="1" x14ac:dyDescent="0.2">
      <c r="A87" s="9" t="s">
        <v>94</v>
      </c>
    </row>
    <row r="88" spans="1:1" ht="15" customHeight="1" x14ac:dyDescent="0.2">
      <c r="A88" s="9" t="s">
        <v>95</v>
      </c>
    </row>
    <row r="89" spans="1:1" ht="15" customHeight="1" x14ac:dyDescent="0.2">
      <c r="A89" s="9" t="s">
        <v>96</v>
      </c>
    </row>
    <row r="90" spans="1:1" ht="15" customHeight="1" x14ac:dyDescent="0.2">
      <c r="A90" s="9" t="s">
        <v>97</v>
      </c>
    </row>
    <row r="92" spans="1:1" ht="15" customHeight="1" x14ac:dyDescent="0.2">
      <c r="A92" s="9" t="s">
        <v>88</v>
      </c>
    </row>
    <row r="94" spans="1:1" ht="15" customHeight="1" x14ac:dyDescent="0.2">
      <c r="A94" s="9" t="s">
        <v>334</v>
      </c>
    </row>
    <row r="96" spans="1:1" ht="15" customHeight="1" x14ac:dyDescent="0.25">
      <c r="A96" s="8" t="s">
        <v>4003</v>
      </c>
    </row>
    <row r="97" spans="1:5" ht="15" customHeight="1" x14ac:dyDescent="0.2">
      <c r="A97" s="8" t="s">
        <v>0</v>
      </c>
    </row>
    <row r="98" spans="1:5" ht="15" customHeight="1" x14ac:dyDescent="0.2">
      <c r="A98" s="8" t="s">
        <v>1</v>
      </c>
    </row>
    <row r="99" spans="1:5" ht="15" customHeight="1" x14ac:dyDescent="0.2">
      <c r="A99" s="9" t="s">
        <v>335</v>
      </c>
    </row>
    <row r="100" spans="1:5" ht="15" customHeight="1" x14ac:dyDescent="0.2">
      <c r="A100" s="9" t="s">
        <v>336</v>
      </c>
    </row>
    <row r="101" spans="1:5" ht="15" customHeight="1" x14ac:dyDescent="0.2">
      <c r="A101" s="9" t="s">
        <v>337</v>
      </c>
    </row>
    <row r="102" spans="1:5" ht="15" customHeight="1" x14ac:dyDescent="0.2">
      <c r="A102" s="9" t="s">
        <v>338</v>
      </c>
    </row>
    <row r="104" spans="1:5" ht="15" customHeight="1" x14ac:dyDescent="0.2">
      <c r="A104" s="9" t="s">
        <v>80</v>
      </c>
    </row>
    <row r="106" spans="1:5" ht="15" customHeight="1" x14ac:dyDescent="0.2">
      <c r="A106" s="9" t="s">
        <v>339</v>
      </c>
    </row>
    <row r="108" spans="1:5" ht="15" customHeight="1" x14ac:dyDescent="0.2">
      <c r="A108" s="25" t="s">
        <v>178</v>
      </c>
      <c r="B108" s="9">
        <v>100</v>
      </c>
    </row>
    <row r="109" spans="1:5" ht="15" customHeight="1" x14ac:dyDescent="0.2">
      <c r="A109" s="9" t="s">
        <v>91</v>
      </c>
      <c r="B109" s="12">
        <v>2000</v>
      </c>
    </row>
    <row r="110" spans="1:5" ht="15" customHeight="1" x14ac:dyDescent="0.2">
      <c r="A110" s="9" t="s">
        <v>2</v>
      </c>
      <c r="B110" s="12">
        <v>1500</v>
      </c>
    </row>
    <row r="111" spans="1:5" ht="15" customHeight="1" x14ac:dyDescent="0.25">
      <c r="A111" s="25" t="s">
        <v>3656</v>
      </c>
      <c r="B111" s="12">
        <v>1010</v>
      </c>
      <c r="D111" s="25" t="s">
        <v>3975</v>
      </c>
      <c r="E111" s="12">
        <v>1012</v>
      </c>
    </row>
    <row r="112" spans="1:5" ht="15" customHeight="1" x14ac:dyDescent="0.2">
      <c r="A112" s="9" t="s">
        <v>3</v>
      </c>
      <c r="B112" s="12">
        <f>B109+B108*(B111-E111)</f>
        <v>1800</v>
      </c>
    </row>
    <row r="114" spans="1:2" ht="15" customHeight="1" x14ac:dyDescent="0.2">
      <c r="A114" s="8" t="s">
        <v>3299</v>
      </c>
    </row>
    <row r="115" spans="1:2" ht="15" customHeight="1" x14ac:dyDescent="0.2">
      <c r="A115" s="8" t="s">
        <v>3300</v>
      </c>
    </row>
    <row r="116" spans="1:2" ht="15" customHeight="1" x14ac:dyDescent="0.2">
      <c r="A116" s="8" t="s">
        <v>3301</v>
      </c>
    </row>
    <row r="117" spans="1:2" ht="15" customHeight="1" x14ac:dyDescent="0.2">
      <c r="A117" s="9" t="s">
        <v>340</v>
      </c>
    </row>
    <row r="118" spans="1:2" ht="15" customHeight="1" x14ac:dyDescent="0.2">
      <c r="A118" s="9" t="s">
        <v>341</v>
      </c>
    </row>
    <row r="119" spans="1:2" ht="15" customHeight="1" x14ac:dyDescent="0.2">
      <c r="A119" s="9" t="s">
        <v>342</v>
      </c>
    </row>
    <row r="120" spans="1:2" ht="15" customHeight="1" x14ac:dyDescent="0.2">
      <c r="A120" s="9" t="s">
        <v>343</v>
      </c>
    </row>
    <row r="121" spans="1:2" ht="15" customHeight="1" x14ac:dyDescent="0.2">
      <c r="A121" s="8"/>
    </row>
    <row r="122" spans="1:2" ht="15" customHeight="1" x14ac:dyDescent="0.2">
      <c r="A122" s="9" t="s">
        <v>110</v>
      </c>
    </row>
    <row r="123" spans="1:2" ht="15" customHeight="1" x14ac:dyDescent="0.2">
      <c r="A123" s="8"/>
    </row>
    <row r="124" spans="1:2" ht="15" customHeight="1" x14ac:dyDescent="0.2">
      <c r="A124" s="9" t="s">
        <v>4004</v>
      </c>
    </row>
    <row r="125" spans="1:2" ht="15" customHeight="1" x14ac:dyDescent="0.2">
      <c r="A125" s="8"/>
    </row>
    <row r="126" spans="1:2" ht="15" customHeight="1" x14ac:dyDescent="0.2">
      <c r="A126" s="9" t="s">
        <v>81</v>
      </c>
      <c r="B126" s="9">
        <v>1</v>
      </c>
    </row>
    <row r="127" spans="1:2" ht="15" customHeight="1" x14ac:dyDescent="0.2">
      <c r="A127" s="9" t="s">
        <v>90</v>
      </c>
      <c r="B127" s="9">
        <v>1000</v>
      </c>
    </row>
    <row r="128" spans="1:2" ht="15" customHeight="1" x14ac:dyDescent="0.25">
      <c r="A128" s="25" t="s">
        <v>3656</v>
      </c>
      <c r="B128" s="12">
        <v>60</v>
      </c>
    </row>
    <row r="129" spans="1:2" ht="15" customHeight="1" x14ac:dyDescent="0.2">
      <c r="A129" s="25" t="s">
        <v>4005</v>
      </c>
      <c r="B129" s="12">
        <v>61</v>
      </c>
    </row>
    <row r="130" spans="1:2" ht="15" customHeight="1" x14ac:dyDescent="0.25">
      <c r="A130" s="25" t="s">
        <v>4006</v>
      </c>
      <c r="B130" s="12">
        <v>64</v>
      </c>
    </row>
    <row r="132" spans="1:2" ht="15" customHeight="1" x14ac:dyDescent="0.2">
      <c r="A132" s="12">
        <f>B126*B127*(B130-B128)</f>
        <v>4000</v>
      </c>
    </row>
    <row r="134" spans="1:2" ht="15" customHeight="1" x14ac:dyDescent="0.2">
      <c r="A134" s="8" t="s">
        <v>3302</v>
      </c>
    </row>
    <row r="135" spans="1:2" ht="15" customHeight="1" x14ac:dyDescent="0.2">
      <c r="A135" s="9" t="s">
        <v>340</v>
      </c>
    </row>
    <row r="136" spans="1:2" ht="15" customHeight="1" x14ac:dyDescent="0.2">
      <c r="A136" s="9" t="s">
        <v>341</v>
      </c>
    </row>
    <row r="137" spans="1:2" ht="15" customHeight="1" x14ac:dyDescent="0.2">
      <c r="A137" s="9" t="s">
        <v>342</v>
      </c>
    </row>
    <row r="138" spans="1:2" ht="15" customHeight="1" x14ac:dyDescent="0.2">
      <c r="A138" s="9" t="s">
        <v>343</v>
      </c>
    </row>
    <row r="139" spans="1:2" ht="15" customHeight="1" x14ac:dyDescent="0.2">
      <c r="A139" s="8"/>
    </row>
    <row r="140" spans="1:2" ht="15" customHeight="1" x14ac:dyDescent="0.2">
      <c r="A140" s="9" t="s">
        <v>98</v>
      </c>
    </row>
    <row r="141" spans="1:2" ht="15" customHeight="1" x14ac:dyDescent="0.2">
      <c r="A141" s="8"/>
    </row>
    <row r="142" spans="1:2" ht="15" customHeight="1" x14ac:dyDescent="0.2">
      <c r="A142" s="9" t="s">
        <v>3303</v>
      </c>
    </row>
    <row r="143" spans="1:2" ht="15" customHeight="1" x14ac:dyDescent="0.2">
      <c r="A143" s="8"/>
    </row>
    <row r="144" spans="1:2" ht="15" customHeight="1" x14ac:dyDescent="0.2">
      <c r="A144" s="12">
        <f>B126*B127*(B130-B129)</f>
        <v>3000</v>
      </c>
    </row>
    <row r="146" spans="1:1" ht="15" customHeight="1" x14ac:dyDescent="0.2">
      <c r="A146" s="8" t="s">
        <v>344</v>
      </c>
    </row>
    <row r="147" spans="1:1" ht="15" customHeight="1" x14ac:dyDescent="0.2">
      <c r="A147" s="9" t="s">
        <v>345</v>
      </c>
    </row>
    <row r="148" spans="1:1" ht="15" customHeight="1" x14ac:dyDescent="0.2">
      <c r="A148" s="9" t="s">
        <v>346</v>
      </c>
    </row>
    <row r="149" spans="1:1" ht="15" customHeight="1" x14ac:dyDescent="0.2">
      <c r="A149" s="9" t="s">
        <v>347</v>
      </c>
    </row>
    <row r="150" spans="1:1" ht="15" customHeight="1" x14ac:dyDescent="0.2">
      <c r="A150" s="9" t="s">
        <v>348</v>
      </c>
    </row>
    <row r="152" spans="1:1" ht="15" customHeight="1" x14ac:dyDescent="0.2">
      <c r="A152" s="9" t="s">
        <v>80</v>
      </c>
    </row>
    <row r="154" spans="1:1" ht="15" customHeight="1" x14ac:dyDescent="0.2">
      <c r="A154" s="9" t="s">
        <v>349</v>
      </c>
    </row>
    <row r="156" spans="1:1" ht="15" customHeight="1" x14ac:dyDescent="0.2">
      <c r="A156" s="8" t="s">
        <v>350</v>
      </c>
    </row>
    <row r="157" spans="1:1" ht="15" customHeight="1" x14ac:dyDescent="0.2">
      <c r="A157" s="9" t="s">
        <v>351</v>
      </c>
    </row>
    <row r="158" spans="1:1" ht="15" customHeight="1" x14ac:dyDescent="0.2">
      <c r="A158" s="9" t="s">
        <v>352</v>
      </c>
    </row>
    <row r="159" spans="1:1" ht="15" customHeight="1" x14ac:dyDescent="0.2">
      <c r="A159" s="9" t="s">
        <v>353</v>
      </c>
    </row>
    <row r="160" spans="1:1" ht="15" customHeight="1" x14ac:dyDescent="0.2">
      <c r="A160" s="9" t="s">
        <v>354</v>
      </c>
    </row>
    <row r="162" spans="1:1" ht="15" customHeight="1" x14ac:dyDescent="0.2">
      <c r="A162" s="9" t="s">
        <v>110</v>
      </c>
    </row>
    <row r="164" spans="1:1" ht="15" customHeight="1" x14ac:dyDescent="0.2">
      <c r="A164" s="9" t="s">
        <v>355</v>
      </c>
    </row>
    <row r="165" spans="1:1" ht="15" customHeight="1" x14ac:dyDescent="0.2">
      <c r="A165" s="9" t="s">
        <v>356</v>
      </c>
    </row>
    <row r="167" spans="1:1" ht="15" customHeight="1" x14ac:dyDescent="0.2">
      <c r="A167" s="8" t="s">
        <v>357</v>
      </c>
    </row>
    <row r="168" spans="1:1" ht="15" customHeight="1" x14ac:dyDescent="0.2">
      <c r="A168" s="9" t="s">
        <v>358</v>
      </c>
    </row>
    <row r="169" spans="1:1" ht="15" customHeight="1" x14ac:dyDescent="0.2">
      <c r="A169" s="9" t="s">
        <v>359</v>
      </c>
    </row>
    <row r="170" spans="1:1" ht="15" customHeight="1" x14ac:dyDescent="0.2">
      <c r="A170" s="9" t="s">
        <v>360</v>
      </c>
    </row>
    <row r="171" spans="1:1" ht="15" customHeight="1" x14ac:dyDescent="0.2">
      <c r="A171" s="9" t="s">
        <v>361</v>
      </c>
    </row>
    <row r="173" spans="1:1" ht="15" customHeight="1" x14ac:dyDescent="0.2">
      <c r="A173" s="9" t="s">
        <v>88</v>
      </c>
    </row>
    <row r="175" spans="1:1" ht="15" customHeight="1" x14ac:dyDescent="0.2">
      <c r="A175" s="9" t="s">
        <v>362</v>
      </c>
    </row>
    <row r="177" spans="1:1" ht="15" customHeight="1" x14ac:dyDescent="0.2">
      <c r="A177" s="8" t="s">
        <v>3158</v>
      </c>
    </row>
    <row r="178" spans="1:1" ht="15" customHeight="1" x14ac:dyDescent="0.2">
      <c r="A178" s="9" t="s">
        <v>363</v>
      </c>
    </row>
    <row r="179" spans="1:1" ht="15" customHeight="1" x14ac:dyDescent="0.2">
      <c r="A179" s="9" t="s">
        <v>364</v>
      </c>
    </row>
    <row r="180" spans="1:1" ht="15" customHeight="1" x14ac:dyDescent="0.2">
      <c r="A180" s="9" t="s">
        <v>365</v>
      </c>
    </row>
    <row r="181" spans="1:1" ht="15" customHeight="1" x14ac:dyDescent="0.2">
      <c r="A181" s="9" t="s">
        <v>366</v>
      </c>
    </row>
    <row r="183" spans="1:1" ht="15" customHeight="1" x14ac:dyDescent="0.2">
      <c r="A183" s="9" t="s">
        <v>80</v>
      </c>
    </row>
    <row r="185" spans="1:1" ht="15" customHeight="1" x14ac:dyDescent="0.2">
      <c r="A185" s="9" t="s">
        <v>367</v>
      </c>
    </row>
    <row r="187" spans="1:1" ht="15" customHeight="1" x14ac:dyDescent="0.2">
      <c r="A187" s="8" t="s">
        <v>368</v>
      </c>
    </row>
    <row r="188" spans="1:1" ht="15" customHeight="1" x14ac:dyDescent="0.2">
      <c r="A188" s="9" t="s">
        <v>369</v>
      </c>
    </row>
    <row r="189" spans="1:1" ht="15" customHeight="1" x14ac:dyDescent="0.2">
      <c r="A189" s="9" t="s">
        <v>370</v>
      </c>
    </row>
    <row r="190" spans="1:1" ht="15" customHeight="1" x14ac:dyDescent="0.2">
      <c r="A190" s="9" t="s">
        <v>371</v>
      </c>
    </row>
    <row r="191" spans="1:1" ht="15" customHeight="1" x14ac:dyDescent="0.2">
      <c r="A191" s="9" t="s">
        <v>372</v>
      </c>
    </row>
    <row r="193" spans="1:1" ht="15" customHeight="1" x14ac:dyDescent="0.2">
      <c r="A193" s="9" t="s">
        <v>98</v>
      </c>
    </row>
    <row r="195" spans="1:1" ht="15" customHeight="1" x14ac:dyDescent="0.2">
      <c r="A195" s="9" t="s">
        <v>373</v>
      </c>
    </row>
    <row r="197" spans="1:1" ht="15" customHeight="1" x14ac:dyDescent="0.2">
      <c r="A197" s="8" t="s">
        <v>374</v>
      </c>
    </row>
    <row r="198" spans="1:1" ht="15" customHeight="1" x14ac:dyDescent="0.2">
      <c r="A198" s="9" t="s">
        <v>375</v>
      </c>
    </row>
    <row r="199" spans="1:1" ht="15" customHeight="1" x14ac:dyDescent="0.2">
      <c r="A199" s="9" t="s">
        <v>376</v>
      </c>
    </row>
    <row r="200" spans="1:1" ht="15" customHeight="1" x14ac:dyDescent="0.2">
      <c r="A200" s="9" t="s">
        <v>377</v>
      </c>
    </row>
    <row r="201" spans="1:1" ht="15" customHeight="1" x14ac:dyDescent="0.2">
      <c r="A201" s="9" t="s">
        <v>378</v>
      </c>
    </row>
    <row r="203" spans="1:1" ht="15" customHeight="1" x14ac:dyDescent="0.2">
      <c r="A203" s="9" t="s">
        <v>80</v>
      </c>
    </row>
    <row r="205" spans="1:1" ht="15" customHeight="1" x14ac:dyDescent="0.2">
      <c r="A205" s="9" t="s">
        <v>379</v>
      </c>
    </row>
    <row r="207" spans="1:1" ht="15" customHeight="1" x14ac:dyDescent="0.2">
      <c r="A207" s="8" t="s">
        <v>380</v>
      </c>
    </row>
    <row r="208" spans="1:1" ht="15" customHeight="1" x14ac:dyDescent="0.2">
      <c r="A208" s="9" t="s">
        <v>381</v>
      </c>
    </row>
    <row r="209" spans="1:2" ht="15" customHeight="1" x14ac:dyDescent="0.2">
      <c r="A209" s="9" t="s">
        <v>382</v>
      </c>
    </row>
    <row r="210" spans="1:2" ht="15" customHeight="1" x14ac:dyDescent="0.2">
      <c r="A210" s="9" t="s">
        <v>383</v>
      </c>
    </row>
    <row r="211" spans="1:2" ht="15" customHeight="1" x14ac:dyDescent="0.2">
      <c r="A211" s="9" t="s">
        <v>384</v>
      </c>
    </row>
    <row r="213" spans="1:2" ht="15" customHeight="1" x14ac:dyDescent="0.2">
      <c r="A213" s="9" t="s">
        <v>98</v>
      </c>
    </row>
    <row r="215" spans="1:2" ht="15" customHeight="1" x14ac:dyDescent="0.2">
      <c r="A215" s="9" t="s">
        <v>385</v>
      </c>
    </row>
    <row r="217" spans="1:2" ht="15" customHeight="1" x14ac:dyDescent="0.2">
      <c r="A217" s="25" t="s">
        <v>85</v>
      </c>
      <c r="B217" s="9">
        <v>4</v>
      </c>
    </row>
    <row r="219" spans="1:2" ht="15" customHeight="1" x14ac:dyDescent="0.2">
      <c r="A219" s="9" t="s">
        <v>386</v>
      </c>
      <c r="B219" s="9">
        <f>COMBIN(4,2)</f>
        <v>6</v>
      </c>
    </row>
    <row r="221" spans="1:2" ht="15" customHeight="1" x14ac:dyDescent="0.2">
      <c r="A221" s="8" t="s">
        <v>387</v>
      </c>
    </row>
    <row r="222" spans="1:2" ht="15" customHeight="1" x14ac:dyDescent="0.2">
      <c r="A222" s="9" t="s">
        <v>388</v>
      </c>
    </row>
    <row r="223" spans="1:2" ht="15" customHeight="1" x14ac:dyDescent="0.2">
      <c r="A223" s="9" t="s">
        <v>389</v>
      </c>
    </row>
    <row r="224" spans="1:2" ht="15" customHeight="1" x14ac:dyDescent="0.2">
      <c r="A224" s="9" t="s">
        <v>390</v>
      </c>
    </row>
    <row r="225" spans="1:1" ht="15" customHeight="1" x14ac:dyDescent="0.2">
      <c r="A225" s="9" t="s">
        <v>391</v>
      </c>
    </row>
    <row r="227" spans="1:1" ht="15" customHeight="1" x14ac:dyDescent="0.2">
      <c r="A227" s="9" t="s">
        <v>110</v>
      </c>
    </row>
    <row r="229" spans="1:1" ht="15" customHeight="1" x14ac:dyDescent="0.2">
      <c r="A229" s="9" t="s">
        <v>392</v>
      </c>
    </row>
    <row r="230" spans="1:1" ht="15" customHeight="1" x14ac:dyDescent="0.2">
      <c r="A230" s="9" t="s">
        <v>393</v>
      </c>
    </row>
    <row r="232" spans="1:1" ht="15" customHeight="1" x14ac:dyDescent="0.2">
      <c r="A232" s="8" t="s">
        <v>394</v>
      </c>
    </row>
    <row r="233" spans="1:1" ht="15" customHeight="1" x14ac:dyDescent="0.2">
      <c r="A233" s="9" t="s">
        <v>395</v>
      </c>
    </row>
    <row r="234" spans="1:1" ht="15" customHeight="1" x14ac:dyDescent="0.2">
      <c r="A234" s="9" t="s">
        <v>396</v>
      </c>
    </row>
    <row r="235" spans="1:1" ht="15" customHeight="1" x14ac:dyDescent="0.2">
      <c r="A235" s="9" t="s">
        <v>397</v>
      </c>
    </row>
    <row r="236" spans="1:1" ht="15" customHeight="1" x14ac:dyDescent="0.2">
      <c r="A236" s="9" t="s">
        <v>398</v>
      </c>
    </row>
    <row r="238" spans="1:1" ht="15" customHeight="1" x14ac:dyDescent="0.2">
      <c r="A238" s="9" t="s">
        <v>110</v>
      </c>
    </row>
    <row r="240" spans="1:1" ht="15" customHeight="1" x14ac:dyDescent="0.2">
      <c r="A240" s="9" t="s">
        <v>399</v>
      </c>
    </row>
    <row r="242" spans="1:1" ht="15" customHeight="1" x14ac:dyDescent="0.2">
      <c r="A242" s="8" t="s">
        <v>400</v>
      </c>
    </row>
    <row r="243" spans="1:1" ht="15" customHeight="1" x14ac:dyDescent="0.2">
      <c r="A243" s="9" t="s">
        <v>401</v>
      </c>
    </row>
    <row r="244" spans="1:1" ht="15" customHeight="1" x14ac:dyDescent="0.2">
      <c r="A244" s="9" t="s">
        <v>402</v>
      </c>
    </row>
    <row r="245" spans="1:1" ht="15" customHeight="1" x14ac:dyDescent="0.2">
      <c r="A245" s="9" t="s">
        <v>403</v>
      </c>
    </row>
    <row r="246" spans="1:1" ht="15" customHeight="1" x14ac:dyDescent="0.2">
      <c r="A246" s="9" t="s">
        <v>404</v>
      </c>
    </row>
    <row r="248" spans="1:1" ht="15" customHeight="1" x14ac:dyDescent="0.2">
      <c r="A248" s="9" t="s">
        <v>88</v>
      </c>
    </row>
    <row r="250" spans="1:1" ht="15" customHeight="1" x14ac:dyDescent="0.2">
      <c r="A250" s="9" t="s">
        <v>405</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
    <tabColor rgb="FF536878"/>
    <pageSetUpPr fitToPage="1"/>
  </sheetPr>
  <dimension ref="A1:P275"/>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10.7109375" style="9" customWidth="1"/>
    <col min="3" max="16384" width="9.140625" style="9"/>
  </cols>
  <sheetData>
    <row r="1" spans="1:16" ht="15" customHeight="1" x14ac:dyDescent="0.2">
      <c r="A1" s="75" t="s">
        <v>7</v>
      </c>
      <c r="B1" s="76"/>
      <c r="C1" s="76"/>
      <c r="D1" s="76"/>
      <c r="E1" s="76"/>
      <c r="F1" s="76"/>
      <c r="G1" s="76"/>
      <c r="H1" s="76"/>
      <c r="I1" s="76"/>
      <c r="J1" s="76"/>
      <c r="K1" s="76"/>
      <c r="L1" s="76"/>
      <c r="M1" s="76"/>
      <c r="N1" s="76"/>
      <c r="O1" s="76"/>
      <c r="P1" s="76"/>
    </row>
    <row r="3" spans="1:16" ht="15" customHeight="1" x14ac:dyDescent="0.2">
      <c r="A3" s="8" t="s">
        <v>406</v>
      </c>
    </row>
    <row r="4" spans="1:16" ht="15" customHeight="1" x14ac:dyDescent="0.2">
      <c r="A4" s="9" t="s">
        <v>407</v>
      </c>
    </row>
    <row r="5" spans="1:16" ht="15" customHeight="1" x14ac:dyDescent="0.2">
      <c r="A5" s="9" t="s">
        <v>408</v>
      </c>
    </row>
    <row r="6" spans="1:16" ht="15" customHeight="1" x14ac:dyDescent="0.2">
      <c r="A6" s="9" t="s">
        <v>409</v>
      </c>
    </row>
    <row r="7" spans="1:16" ht="15" customHeight="1" x14ac:dyDescent="0.2">
      <c r="A7" s="9" t="s">
        <v>410</v>
      </c>
    </row>
    <row r="9" spans="1:16" ht="15" customHeight="1" x14ac:dyDescent="0.2">
      <c r="A9" s="9" t="s">
        <v>80</v>
      </c>
    </row>
    <row r="11" spans="1:16" ht="15" customHeight="1" x14ac:dyDescent="0.2">
      <c r="A11" s="9" t="s">
        <v>411</v>
      </c>
    </row>
    <row r="13" spans="1:16" ht="15" customHeight="1" x14ac:dyDescent="0.2">
      <c r="A13" s="8" t="s">
        <v>412</v>
      </c>
    </row>
    <row r="14" spans="1:16" ht="15" customHeight="1" x14ac:dyDescent="0.2">
      <c r="A14" s="9" t="s">
        <v>3971</v>
      </c>
    </row>
    <row r="15" spans="1:16" ht="15" customHeight="1" x14ac:dyDescent="0.2">
      <c r="A15" s="26" t="s">
        <v>3972</v>
      </c>
    </row>
    <row r="16" spans="1:16" ht="15" customHeight="1" x14ac:dyDescent="0.2">
      <c r="A16" s="26" t="s">
        <v>3973</v>
      </c>
    </row>
    <row r="17" spans="1:1" ht="15" customHeight="1" x14ac:dyDescent="0.2">
      <c r="A17" s="26" t="s">
        <v>3974</v>
      </c>
    </row>
    <row r="19" spans="1:1" ht="15" customHeight="1" x14ac:dyDescent="0.2">
      <c r="A19" s="9" t="s">
        <v>88</v>
      </c>
    </row>
    <row r="21" spans="1:1" ht="15" customHeight="1" x14ac:dyDescent="0.2">
      <c r="A21" s="9" t="s">
        <v>413</v>
      </c>
    </row>
    <row r="23" spans="1:1" ht="15" customHeight="1" x14ac:dyDescent="0.2">
      <c r="A23" s="8" t="s">
        <v>414</v>
      </c>
    </row>
    <row r="24" spans="1:1" ht="15" customHeight="1" x14ac:dyDescent="0.2">
      <c r="A24" s="8" t="s">
        <v>415</v>
      </c>
    </row>
    <row r="25" spans="1:1" ht="15" customHeight="1" x14ac:dyDescent="0.2">
      <c r="A25" s="8" t="s">
        <v>416</v>
      </c>
    </row>
    <row r="26" spans="1:1" ht="15" customHeight="1" x14ac:dyDescent="0.2">
      <c r="A26" s="9" t="s">
        <v>417</v>
      </c>
    </row>
    <row r="27" spans="1:1" ht="15" customHeight="1" x14ac:dyDescent="0.2">
      <c r="A27" s="9" t="s">
        <v>418</v>
      </c>
    </row>
    <row r="28" spans="1:1" ht="15" customHeight="1" x14ac:dyDescent="0.2">
      <c r="A28" s="9" t="s">
        <v>419</v>
      </c>
    </row>
    <row r="29" spans="1:1" ht="15" customHeight="1" x14ac:dyDescent="0.2">
      <c r="A29" s="9" t="s">
        <v>420</v>
      </c>
    </row>
    <row r="30" spans="1:1" ht="15" customHeight="1" x14ac:dyDescent="0.2">
      <c r="A30" s="8"/>
    </row>
    <row r="31" spans="1:1" ht="15" customHeight="1" x14ac:dyDescent="0.2">
      <c r="A31" s="9" t="s">
        <v>80</v>
      </c>
    </row>
    <row r="32" spans="1:1" ht="15" customHeight="1" x14ac:dyDescent="0.2">
      <c r="A32" s="8"/>
    </row>
    <row r="33" spans="1:3" ht="15" customHeight="1" x14ac:dyDescent="0.2">
      <c r="A33" s="9" t="s">
        <v>421</v>
      </c>
    </row>
    <row r="34" spans="1:3" ht="15" customHeight="1" x14ac:dyDescent="0.2">
      <c r="A34" s="9" t="s">
        <v>3364</v>
      </c>
    </row>
    <row r="35" spans="1:3" ht="15" customHeight="1" x14ac:dyDescent="0.2">
      <c r="A35" s="8"/>
    </row>
    <row r="36" spans="1:3" ht="15" customHeight="1" x14ac:dyDescent="0.25">
      <c r="A36" s="25" t="s">
        <v>3451</v>
      </c>
      <c r="B36" s="13">
        <v>60</v>
      </c>
    </row>
    <row r="37" spans="1:3" ht="15" customHeight="1" x14ac:dyDescent="0.25">
      <c r="A37" s="25" t="s">
        <v>3656</v>
      </c>
      <c r="B37" s="13">
        <v>59</v>
      </c>
    </row>
    <row r="38" spans="1:3" ht="15" customHeight="1" x14ac:dyDescent="0.25">
      <c r="A38" s="25" t="s">
        <v>3478</v>
      </c>
      <c r="B38" s="13">
        <v>64</v>
      </c>
    </row>
    <row r="39" spans="1:3" ht="15" customHeight="1" x14ac:dyDescent="0.25">
      <c r="A39" s="25" t="s">
        <v>3975</v>
      </c>
      <c r="B39" s="13">
        <v>63.5</v>
      </c>
    </row>
    <row r="40" spans="1:3" ht="15" customHeight="1" x14ac:dyDescent="0.2">
      <c r="A40" s="9" t="s">
        <v>81</v>
      </c>
      <c r="B40" s="9">
        <v>1</v>
      </c>
    </row>
    <row r="42" spans="1:3" ht="15" customHeight="1" x14ac:dyDescent="0.25">
      <c r="A42" s="77" t="s">
        <v>3976</v>
      </c>
      <c r="B42" s="77"/>
      <c r="C42" s="13">
        <f>B38-(B39-B37)</f>
        <v>59.5</v>
      </c>
    </row>
    <row r="43" spans="1:3" ht="15" customHeight="1" x14ac:dyDescent="0.25">
      <c r="A43" s="25" t="s">
        <v>3977</v>
      </c>
      <c r="B43" s="13">
        <f>B37+(B38-B39)</f>
        <v>59.5</v>
      </c>
    </row>
    <row r="45" spans="1:3" ht="15" customHeight="1" x14ac:dyDescent="0.2">
      <c r="A45" s="8" t="s">
        <v>422</v>
      </c>
    </row>
    <row r="46" spans="1:3" ht="15" customHeight="1" x14ac:dyDescent="0.2">
      <c r="A46" s="8" t="s">
        <v>423</v>
      </c>
    </row>
    <row r="47" spans="1:3" ht="15" customHeight="1" x14ac:dyDescent="0.2">
      <c r="A47" s="8" t="s">
        <v>424</v>
      </c>
    </row>
    <row r="48" spans="1:3" ht="15" customHeight="1" x14ac:dyDescent="0.2">
      <c r="A48" s="9" t="s">
        <v>425</v>
      </c>
    </row>
    <row r="49" spans="1:3" ht="15" customHeight="1" x14ac:dyDescent="0.2">
      <c r="A49" s="9" t="s">
        <v>426</v>
      </c>
    </row>
    <row r="50" spans="1:3" ht="15" customHeight="1" x14ac:dyDescent="0.2">
      <c r="A50" s="9" t="s">
        <v>427</v>
      </c>
    </row>
    <row r="51" spans="1:3" ht="15" customHeight="1" x14ac:dyDescent="0.2">
      <c r="A51" s="9" t="s">
        <v>428</v>
      </c>
    </row>
    <row r="52" spans="1:3" ht="15" customHeight="1" x14ac:dyDescent="0.2">
      <c r="A52" s="8"/>
    </row>
    <row r="53" spans="1:3" ht="15" customHeight="1" x14ac:dyDescent="0.2">
      <c r="A53" s="9" t="s">
        <v>110</v>
      </c>
    </row>
    <row r="54" spans="1:3" ht="15" customHeight="1" x14ac:dyDescent="0.2">
      <c r="A54" s="8"/>
    </row>
    <row r="55" spans="1:3" ht="15" customHeight="1" x14ac:dyDescent="0.2">
      <c r="A55" s="9" t="s">
        <v>429</v>
      </c>
    </row>
    <row r="56" spans="1:3" ht="15" customHeight="1" x14ac:dyDescent="0.2">
      <c r="A56" s="9" t="s">
        <v>430</v>
      </c>
    </row>
    <row r="57" spans="1:3" ht="15" customHeight="1" x14ac:dyDescent="0.2">
      <c r="A57" s="8"/>
    </row>
    <row r="58" spans="1:3" ht="15" customHeight="1" x14ac:dyDescent="0.25">
      <c r="A58" s="25" t="s">
        <v>3451</v>
      </c>
      <c r="B58" s="12">
        <v>1000</v>
      </c>
    </row>
    <row r="59" spans="1:3" ht="15" customHeight="1" x14ac:dyDescent="0.25">
      <c r="A59" s="25" t="s">
        <v>3656</v>
      </c>
      <c r="B59" s="12">
        <v>1015</v>
      </c>
    </row>
    <row r="60" spans="1:3" ht="15" customHeight="1" x14ac:dyDescent="0.25">
      <c r="A60" s="25" t="s">
        <v>3478</v>
      </c>
      <c r="B60" s="12">
        <v>980</v>
      </c>
    </row>
    <row r="61" spans="1:3" ht="15" customHeight="1" x14ac:dyDescent="0.25">
      <c r="A61" s="25" t="s">
        <v>3975</v>
      </c>
      <c r="B61" s="12">
        <v>981</v>
      </c>
    </row>
    <row r="62" spans="1:3" ht="15" customHeight="1" x14ac:dyDescent="0.2">
      <c r="A62" s="9" t="s">
        <v>81</v>
      </c>
      <c r="B62" s="9">
        <v>-1</v>
      </c>
    </row>
    <row r="64" spans="1:3" ht="15" customHeight="1" x14ac:dyDescent="0.25">
      <c r="A64" s="77" t="s">
        <v>3976</v>
      </c>
      <c r="B64" s="77"/>
      <c r="C64" s="13">
        <f>B60-(B61-B59)</f>
        <v>1014</v>
      </c>
    </row>
    <row r="65" spans="1:2" ht="15" customHeight="1" x14ac:dyDescent="0.25">
      <c r="A65" s="25" t="s">
        <v>3977</v>
      </c>
      <c r="B65" s="12">
        <f>B59+(B60-B61)</f>
        <v>1014</v>
      </c>
    </row>
    <row r="67" spans="1:2" ht="15" customHeight="1" x14ac:dyDescent="0.2">
      <c r="A67" s="8" t="s">
        <v>431</v>
      </c>
    </row>
    <row r="68" spans="1:2" ht="15" customHeight="1" x14ac:dyDescent="0.2">
      <c r="A68" s="8" t="s">
        <v>432</v>
      </c>
    </row>
    <row r="69" spans="1:2" ht="15" customHeight="1" x14ac:dyDescent="0.2">
      <c r="A69" s="9" t="s">
        <v>433</v>
      </c>
    </row>
    <row r="70" spans="1:2" ht="15" customHeight="1" x14ac:dyDescent="0.2">
      <c r="A70" s="9" t="s">
        <v>434</v>
      </c>
    </row>
    <row r="71" spans="1:2" ht="15" customHeight="1" x14ac:dyDescent="0.2">
      <c r="A71" s="9" t="s">
        <v>435</v>
      </c>
    </row>
    <row r="72" spans="1:2" ht="15" customHeight="1" x14ac:dyDescent="0.2">
      <c r="A72" s="9" t="s">
        <v>436</v>
      </c>
    </row>
    <row r="73" spans="1:2" ht="15" customHeight="1" x14ac:dyDescent="0.2">
      <c r="A73" s="8"/>
    </row>
    <row r="74" spans="1:2" ht="15" customHeight="1" x14ac:dyDescent="0.2">
      <c r="A74" s="9" t="s">
        <v>80</v>
      </c>
    </row>
    <row r="76" spans="1:2" ht="15" customHeight="1" x14ac:dyDescent="0.2">
      <c r="A76" s="9" t="s">
        <v>437</v>
      </c>
    </row>
    <row r="77" spans="1:2" ht="15" customHeight="1" x14ac:dyDescent="0.2">
      <c r="A77" s="8"/>
    </row>
    <row r="78" spans="1:2" ht="15" customHeight="1" x14ac:dyDescent="0.25">
      <c r="A78" s="25" t="s">
        <v>3978</v>
      </c>
      <c r="B78" s="9">
        <v>2</v>
      </c>
    </row>
    <row r="79" spans="1:2" ht="15" customHeight="1" x14ac:dyDescent="0.25">
      <c r="A79" s="35" t="s">
        <v>3979</v>
      </c>
      <c r="B79" s="9">
        <v>3</v>
      </c>
    </row>
    <row r="80" spans="1:2" ht="15" customHeight="1" x14ac:dyDescent="0.2">
      <c r="A80" s="25" t="s">
        <v>4</v>
      </c>
      <c r="B80" s="9">
        <v>0.9</v>
      </c>
    </row>
    <row r="82" spans="1:2" ht="15" customHeight="1" x14ac:dyDescent="0.2">
      <c r="A82" s="25" t="s">
        <v>103</v>
      </c>
      <c r="B82" s="9">
        <f>B78/B79*B80</f>
        <v>0.6</v>
      </c>
    </row>
    <row r="84" spans="1:2" ht="15" customHeight="1" x14ac:dyDescent="0.2">
      <c r="A84" s="8" t="s">
        <v>3365</v>
      </c>
    </row>
    <row r="85" spans="1:2" ht="15" customHeight="1" x14ac:dyDescent="0.2">
      <c r="A85" s="8" t="s">
        <v>438</v>
      </c>
    </row>
    <row r="86" spans="1:2" ht="15" customHeight="1" x14ac:dyDescent="0.2">
      <c r="A86" s="9" t="s">
        <v>439</v>
      </c>
    </row>
    <row r="87" spans="1:2" ht="15" customHeight="1" x14ac:dyDescent="0.2">
      <c r="A87" s="9" t="s">
        <v>440</v>
      </c>
    </row>
    <row r="88" spans="1:2" ht="15" customHeight="1" x14ac:dyDescent="0.2">
      <c r="A88" s="9" t="s">
        <v>441</v>
      </c>
    </row>
    <row r="89" spans="1:2" ht="15" customHeight="1" x14ac:dyDescent="0.2">
      <c r="A89" s="9" t="s">
        <v>442</v>
      </c>
    </row>
    <row r="91" spans="1:2" ht="15" customHeight="1" x14ac:dyDescent="0.2">
      <c r="A91" s="9" t="s">
        <v>110</v>
      </c>
    </row>
    <row r="93" spans="1:2" ht="15" customHeight="1" x14ac:dyDescent="0.2">
      <c r="A93" s="9" t="s">
        <v>443</v>
      </c>
    </row>
    <row r="95" spans="1:2" ht="15" customHeight="1" x14ac:dyDescent="0.2">
      <c r="A95" s="9" t="s">
        <v>81</v>
      </c>
      <c r="B95" s="9">
        <v>1</v>
      </c>
    </row>
    <row r="96" spans="1:2" ht="15" customHeight="1" x14ac:dyDescent="0.2">
      <c r="A96" s="25" t="s">
        <v>104</v>
      </c>
      <c r="B96" s="12">
        <v>36000000</v>
      </c>
    </row>
    <row r="97" spans="1:2" ht="15" customHeight="1" x14ac:dyDescent="0.2">
      <c r="A97" s="9" t="s">
        <v>105</v>
      </c>
      <c r="B97" s="9">
        <v>1.2</v>
      </c>
    </row>
    <row r="98" spans="1:2" ht="15" customHeight="1" x14ac:dyDescent="0.25">
      <c r="A98" s="25" t="s">
        <v>3656</v>
      </c>
      <c r="B98" s="9">
        <v>900</v>
      </c>
    </row>
    <row r="99" spans="1:2" ht="15" customHeight="1" x14ac:dyDescent="0.2">
      <c r="A99" s="25" t="s">
        <v>106</v>
      </c>
      <c r="B99" s="9">
        <v>250</v>
      </c>
    </row>
    <row r="100" spans="1:2" ht="15" customHeight="1" x14ac:dyDescent="0.25">
      <c r="A100" s="25" t="s">
        <v>3980</v>
      </c>
      <c r="B100" s="9">
        <v>0</v>
      </c>
    </row>
    <row r="101" spans="1:2" ht="15" customHeight="1" x14ac:dyDescent="0.25">
      <c r="A101" s="35" t="s">
        <v>3981</v>
      </c>
      <c r="B101" s="9">
        <v>0.9</v>
      </c>
    </row>
    <row r="102" spans="1:2" ht="15" customHeight="1" x14ac:dyDescent="0.25">
      <c r="A102" s="25" t="s">
        <v>3982</v>
      </c>
      <c r="B102" s="9">
        <v>1.8</v>
      </c>
    </row>
    <row r="104" spans="1:2" ht="15" customHeight="1" x14ac:dyDescent="0.2">
      <c r="A104" s="9" t="s">
        <v>3983</v>
      </c>
      <c r="B104" s="9">
        <f>-$B$95*($B$97-B101)*$B$96/($B$98*$B$99)</f>
        <v>-47.999999999999993</v>
      </c>
    </row>
    <row r="106" spans="1:2" ht="15" customHeight="1" x14ac:dyDescent="0.2">
      <c r="A106" s="8" t="s">
        <v>3366</v>
      </c>
    </row>
    <row r="107" spans="1:2" ht="15" customHeight="1" x14ac:dyDescent="0.2">
      <c r="A107" s="8" t="s">
        <v>444</v>
      </c>
    </row>
    <row r="108" spans="1:2" ht="15" customHeight="1" x14ac:dyDescent="0.2">
      <c r="A108" s="9" t="s">
        <v>439</v>
      </c>
    </row>
    <row r="109" spans="1:2" ht="15" customHeight="1" x14ac:dyDescent="0.2">
      <c r="A109" s="9" t="s">
        <v>440</v>
      </c>
    </row>
    <row r="110" spans="1:2" ht="15" customHeight="1" x14ac:dyDescent="0.2">
      <c r="A110" s="9" t="s">
        <v>445</v>
      </c>
    </row>
    <row r="111" spans="1:2" ht="15" customHeight="1" x14ac:dyDescent="0.2">
      <c r="A111" s="9" t="s">
        <v>446</v>
      </c>
    </row>
    <row r="113" spans="1:2" ht="15" customHeight="1" x14ac:dyDescent="0.2">
      <c r="A113" s="9" t="s">
        <v>98</v>
      </c>
    </row>
    <row r="115" spans="1:2" ht="15" customHeight="1" x14ac:dyDescent="0.2">
      <c r="A115" s="9" t="s">
        <v>447</v>
      </c>
    </row>
    <row r="117" spans="1:2" ht="15" customHeight="1" x14ac:dyDescent="0.2">
      <c r="A117" s="9" t="s">
        <v>81</v>
      </c>
      <c r="B117" s="9">
        <v>1</v>
      </c>
    </row>
    <row r="118" spans="1:2" ht="15" customHeight="1" x14ac:dyDescent="0.2">
      <c r="A118" s="25" t="s">
        <v>104</v>
      </c>
      <c r="B118" s="12">
        <v>36000000</v>
      </c>
    </row>
    <row r="119" spans="1:2" ht="15" customHeight="1" x14ac:dyDescent="0.2">
      <c r="A119" s="9" t="s">
        <v>105</v>
      </c>
      <c r="B119" s="9">
        <v>1.2</v>
      </c>
    </row>
    <row r="120" spans="1:2" ht="15" customHeight="1" x14ac:dyDescent="0.25">
      <c r="A120" s="25" t="s">
        <v>3656</v>
      </c>
      <c r="B120" s="9">
        <v>900</v>
      </c>
    </row>
    <row r="121" spans="1:2" ht="15" customHeight="1" x14ac:dyDescent="0.2">
      <c r="A121" s="25" t="s">
        <v>106</v>
      </c>
      <c r="B121" s="9">
        <v>250</v>
      </c>
    </row>
    <row r="122" spans="1:2" ht="15" customHeight="1" x14ac:dyDescent="0.25">
      <c r="A122" s="25" t="s">
        <v>3980</v>
      </c>
      <c r="B122" s="9">
        <v>0</v>
      </c>
    </row>
    <row r="123" spans="1:2" ht="15" customHeight="1" x14ac:dyDescent="0.25">
      <c r="A123" s="35" t="s">
        <v>3981</v>
      </c>
      <c r="B123" s="9">
        <v>0.9</v>
      </c>
    </row>
    <row r="124" spans="1:2" ht="15" customHeight="1" x14ac:dyDescent="0.25">
      <c r="A124" s="25" t="s">
        <v>3982</v>
      </c>
      <c r="B124" s="9">
        <v>1.8</v>
      </c>
    </row>
    <row r="126" spans="1:2" ht="15" customHeight="1" x14ac:dyDescent="0.2">
      <c r="A126" s="9" t="s">
        <v>3983</v>
      </c>
      <c r="B126" s="9">
        <f>-$B$95*($B$97-B124)*$B$96/($B$98*$B$99)</f>
        <v>96.000000000000014</v>
      </c>
    </row>
    <row r="128" spans="1:2" ht="15" customHeight="1" x14ac:dyDescent="0.2">
      <c r="A128" s="8" t="s">
        <v>448</v>
      </c>
    </row>
    <row r="129" spans="1:1" ht="15" customHeight="1" x14ac:dyDescent="0.2">
      <c r="A129" s="9" t="s">
        <v>3984</v>
      </c>
    </row>
    <row r="130" spans="1:1" ht="15" customHeight="1" x14ac:dyDescent="0.2">
      <c r="A130" s="9" t="s">
        <v>3985</v>
      </c>
    </row>
    <row r="131" spans="1:1" ht="15" customHeight="1" x14ac:dyDescent="0.2">
      <c r="A131" s="9" t="s">
        <v>3986</v>
      </c>
    </row>
    <row r="132" spans="1:1" ht="15" customHeight="1" x14ac:dyDescent="0.2">
      <c r="A132" s="9" t="s">
        <v>3987</v>
      </c>
    </row>
    <row r="134" spans="1:1" ht="15" customHeight="1" x14ac:dyDescent="0.2">
      <c r="A134" s="9" t="s">
        <v>98</v>
      </c>
    </row>
    <row r="136" spans="1:1" ht="15" customHeight="1" x14ac:dyDescent="0.2">
      <c r="A136" s="9" t="s">
        <v>449</v>
      </c>
    </row>
    <row r="138" spans="1:1" ht="15" customHeight="1" x14ac:dyDescent="0.2">
      <c r="A138" s="8" t="s">
        <v>450</v>
      </c>
    </row>
    <row r="139" spans="1:1" ht="15" customHeight="1" x14ac:dyDescent="0.2">
      <c r="A139" s="9" t="s">
        <v>451</v>
      </c>
    </row>
    <row r="140" spans="1:1" ht="15" customHeight="1" x14ac:dyDescent="0.2">
      <c r="A140" s="9" t="s">
        <v>452</v>
      </c>
    </row>
    <row r="141" spans="1:1" ht="15" customHeight="1" x14ac:dyDescent="0.2">
      <c r="A141" s="9" t="s">
        <v>453</v>
      </c>
    </row>
    <row r="142" spans="1:1" ht="15" customHeight="1" x14ac:dyDescent="0.2">
      <c r="A142" s="9" t="s">
        <v>5</v>
      </c>
    </row>
    <row r="144" spans="1:1" ht="15" customHeight="1" x14ac:dyDescent="0.2">
      <c r="A144" s="9" t="s">
        <v>110</v>
      </c>
    </row>
    <row r="146" spans="1:1" ht="15" customHeight="1" x14ac:dyDescent="0.2">
      <c r="A146" s="9" t="s">
        <v>454</v>
      </c>
    </row>
    <row r="148" spans="1:1" ht="15" customHeight="1" x14ac:dyDescent="0.2">
      <c r="A148" s="8" t="s">
        <v>455</v>
      </c>
    </row>
    <row r="149" spans="1:1" ht="15" customHeight="1" x14ac:dyDescent="0.2">
      <c r="A149" s="9" t="s">
        <v>456</v>
      </c>
    </row>
    <row r="150" spans="1:1" ht="15" customHeight="1" x14ac:dyDescent="0.2">
      <c r="A150" s="9" t="s">
        <v>457</v>
      </c>
    </row>
    <row r="151" spans="1:1" ht="15" customHeight="1" x14ac:dyDescent="0.2">
      <c r="A151" s="9" t="s">
        <v>458</v>
      </c>
    </row>
    <row r="152" spans="1:1" ht="15" customHeight="1" x14ac:dyDescent="0.2">
      <c r="A152" s="9" t="s">
        <v>459</v>
      </c>
    </row>
    <row r="154" spans="1:1" ht="15" customHeight="1" x14ac:dyDescent="0.2">
      <c r="A154" s="9" t="s">
        <v>88</v>
      </c>
    </row>
    <row r="156" spans="1:1" ht="15" customHeight="1" x14ac:dyDescent="0.2">
      <c r="A156" s="9" t="s">
        <v>460</v>
      </c>
    </row>
    <row r="158" spans="1:1" ht="15" customHeight="1" x14ac:dyDescent="0.2">
      <c r="A158" s="8" t="s">
        <v>461</v>
      </c>
    </row>
    <row r="159" spans="1:1" ht="15" customHeight="1" x14ac:dyDescent="0.2">
      <c r="A159" s="9" t="s">
        <v>462</v>
      </c>
    </row>
    <row r="160" spans="1:1" ht="15" customHeight="1" x14ac:dyDescent="0.2">
      <c r="A160" s="9" t="s">
        <v>463</v>
      </c>
    </row>
    <row r="161" spans="1:1" ht="15" customHeight="1" x14ac:dyDescent="0.2">
      <c r="A161" s="9" t="s">
        <v>464</v>
      </c>
    </row>
    <row r="162" spans="1:1" ht="15" customHeight="1" x14ac:dyDescent="0.2">
      <c r="A162" s="9" t="s">
        <v>465</v>
      </c>
    </row>
    <row r="164" spans="1:1" ht="15" customHeight="1" x14ac:dyDescent="0.2">
      <c r="A164" s="9" t="s">
        <v>98</v>
      </c>
    </row>
    <row r="166" spans="1:1" ht="15" customHeight="1" x14ac:dyDescent="0.2">
      <c r="A166" s="9" t="s">
        <v>466</v>
      </c>
    </row>
    <row r="167" spans="1:1" ht="15" customHeight="1" x14ac:dyDescent="0.2">
      <c r="A167" s="9" t="s">
        <v>467</v>
      </c>
    </row>
    <row r="169" spans="1:1" ht="15" customHeight="1" x14ac:dyDescent="0.2">
      <c r="A169" s="8" t="s">
        <v>468</v>
      </c>
    </row>
    <row r="170" spans="1:1" ht="15" customHeight="1" x14ac:dyDescent="0.2">
      <c r="A170" s="9" t="s">
        <v>469</v>
      </c>
    </row>
    <row r="171" spans="1:1" ht="15" customHeight="1" x14ac:dyDescent="0.2">
      <c r="A171" s="9" t="s">
        <v>470</v>
      </c>
    </row>
    <row r="172" spans="1:1" ht="15" customHeight="1" x14ac:dyDescent="0.2">
      <c r="A172" s="9" t="s">
        <v>471</v>
      </c>
    </row>
    <row r="173" spans="1:1" ht="15" customHeight="1" x14ac:dyDescent="0.2">
      <c r="A173" s="9" t="s">
        <v>472</v>
      </c>
    </row>
    <row r="175" spans="1:1" ht="15" customHeight="1" x14ac:dyDescent="0.2">
      <c r="A175" s="9" t="s">
        <v>80</v>
      </c>
    </row>
    <row r="177" spans="1:1" ht="15" customHeight="1" x14ac:dyDescent="0.2">
      <c r="A177" s="9" t="s">
        <v>473</v>
      </c>
    </row>
    <row r="178" spans="1:1" ht="15" customHeight="1" x14ac:dyDescent="0.2">
      <c r="A178" s="9" t="s">
        <v>474</v>
      </c>
    </row>
    <row r="180" spans="1:1" ht="15" customHeight="1" x14ac:dyDescent="0.2">
      <c r="A180" s="8" t="s">
        <v>475</v>
      </c>
    </row>
    <row r="181" spans="1:1" ht="15" customHeight="1" x14ac:dyDescent="0.2">
      <c r="A181" s="9" t="s">
        <v>3304</v>
      </c>
    </row>
    <row r="182" spans="1:1" ht="15" customHeight="1" x14ac:dyDescent="0.2">
      <c r="A182" s="9" t="s">
        <v>476</v>
      </c>
    </row>
    <row r="183" spans="1:1" ht="15" customHeight="1" x14ac:dyDescent="0.2">
      <c r="A183" s="9" t="s">
        <v>477</v>
      </c>
    </row>
    <row r="184" spans="1:1" ht="15" customHeight="1" x14ac:dyDescent="0.2">
      <c r="A184" s="9" t="s">
        <v>5</v>
      </c>
    </row>
    <row r="186" spans="1:1" ht="15" customHeight="1" x14ac:dyDescent="0.2">
      <c r="A186" s="9" t="s">
        <v>88</v>
      </c>
    </row>
    <row r="188" spans="1:1" ht="15" customHeight="1" x14ac:dyDescent="0.2">
      <c r="A188" s="9" t="s">
        <v>3305</v>
      </c>
    </row>
    <row r="189" spans="1:1" ht="15" customHeight="1" x14ac:dyDescent="0.2">
      <c r="A189" s="9" t="s">
        <v>3306</v>
      </c>
    </row>
    <row r="191" spans="1:1" ht="15" customHeight="1" x14ac:dyDescent="0.2">
      <c r="A191" s="8" t="s">
        <v>478</v>
      </c>
    </row>
    <row r="192" spans="1:1" ht="15" customHeight="1" x14ac:dyDescent="0.2">
      <c r="A192" s="9" t="s">
        <v>479</v>
      </c>
    </row>
    <row r="193" spans="1:1" ht="15" customHeight="1" x14ac:dyDescent="0.2">
      <c r="A193" s="9" t="s">
        <v>480</v>
      </c>
    </row>
    <row r="194" spans="1:1" ht="15" customHeight="1" x14ac:dyDescent="0.2">
      <c r="A194" s="9" t="s">
        <v>481</v>
      </c>
    </row>
    <row r="195" spans="1:1" ht="15" customHeight="1" x14ac:dyDescent="0.2">
      <c r="A195" s="9" t="s">
        <v>482</v>
      </c>
    </row>
    <row r="197" spans="1:1" ht="15" customHeight="1" x14ac:dyDescent="0.2">
      <c r="A197" s="9" t="s">
        <v>80</v>
      </c>
    </row>
    <row r="199" spans="1:1" ht="15" customHeight="1" x14ac:dyDescent="0.2">
      <c r="A199" s="9" t="s">
        <v>483</v>
      </c>
    </row>
    <row r="200" spans="1:1" ht="15" customHeight="1" x14ac:dyDescent="0.2">
      <c r="A200" s="9" t="s">
        <v>484</v>
      </c>
    </row>
    <row r="202" spans="1:1" ht="15" customHeight="1" x14ac:dyDescent="0.2">
      <c r="A202" s="8" t="s">
        <v>485</v>
      </c>
    </row>
    <row r="203" spans="1:1" ht="15" customHeight="1" x14ac:dyDescent="0.2">
      <c r="A203" s="9" t="s">
        <v>486</v>
      </c>
    </row>
    <row r="204" spans="1:1" ht="15" customHeight="1" x14ac:dyDescent="0.2">
      <c r="A204" s="9" t="s">
        <v>487</v>
      </c>
    </row>
    <row r="205" spans="1:1" ht="15" customHeight="1" x14ac:dyDescent="0.2">
      <c r="A205" s="9" t="s">
        <v>488</v>
      </c>
    </row>
    <row r="206" spans="1:1" ht="15" customHeight="1" x14ac:dyDescent="0.2">
      <c r="A206" s="9" t="s">
        <v>489</v>
      </c>
    </row>
    <row r="208" spans="1:1" ht="15" customHeight="1" x14ac:dyDescent="0.2">
      <c r="A208" s="9" t="s">
        <v>110</v>
      </c>
    </row>
    <row r="210" spans="1:1" ht="15" customHeight="1" x14ac:dyDescent="0.2">
      <c r="A210" s="9" t="s">
        <v>490</v>
      </c>
    </row>
    <row r="212" spans="1:1" ht="15" customHeight="1" x14ac:dyDescent="0.2">
      <c r="A212" s="8" t="s">
        <v>491</v>
      </c>
    </row>
    <row r="213" spans="1:1" ht="15" customHeight="1" x14ac:dyDescent="0.2">
      <c r="A213" s="9" t="s">
        <v>492</v>
      </c>
    </row>
    <row r="214" spans="1:1" ht="15" customHeight="1" x14ac:dyDescent="0.2">
      <c r="A214" s="9" t="s">
        <v>493</v>
      </c>
    </row>
    <row r="215" spans="1:1" ht="15" customHeight="1" x14ac:dyDescent="0.2">
      <c r="A215" s="9" t="s">
        <v>494</v>
      </c>
    </row>
    <row r="216" spans="1:1" ht="15" customHeight="1" x14ac:dyDescent="0.2">
      <c r="A216" s="9" t="s">
        <v>495</v>
      </c>
    </row>
    <row r="218" spans="1:1" ht="15" customHeight="1" x14ac:dyDescent="0.2">
      <c r="A218" s="9" t="s">
        <v>110</v>
      </c>
    </row>
    <row r="220" spans="1:1" ht="15" customHeight="1" x14ac:dyDescent="0.2">
      <c r="A220" s="9" t="s">
        <v>3307</v>
      </c>
    </row>
    <row r="222" spans="1:1" ht="15" customHeight="1" x14ac:dyDescent="0.2">
      <c r="A222" s="8" t="s">
        <v>496</v>
      </c>
    </row>
    <row r="223" spans="1:1" ht="15" customHeight="1" x14ac:dyDescent="0.2">
      <c r="A223" s="9" t="s">
        <v>497</v>
      </c>
    </row>
    <row r="224" spans="1:1" ht="15" customHeight="1" x14ac:dyDescent="0.2">
      <c r="A224" s="9" t="s">
        <v>498</v>
      </c>
    </row>
    <row r="225" spans="1:1" ht="15" customHeight="1" x14ac:dyDescent="0.2">
      <c r="A225" s="9" t="s">
        <v>499</v>
      </c>
    </row>
    <row r="226" spans="1:1" ht="15" customHeight="1" x14ac:dyDescent="0.2">
      <c r="A226" s="9" t="s">
        <v>5</v>
      </c>
    </row>
    <row r="228" spans="1:1" ht="15" customHeight="1" x14ac:dyDescent="0.2">
      <c r="A228" s="9" t="s">
        <v>88</v>
      </c>
    </row>
    <row r="230" spans="1:1" ht="15" customHeight="1" x14ac:dyDescent="0.2">
      <c r="A230" s="9" t="s">
        <v>500</v>
      </c>
    </row>
    <row r="232" spans="1:1" ht="15" customHeight="1" x14ac:dyDescent="0.2">
      <c r="A232" s="8" t="s">
        <v>501</v>
      </c>
    </row>
    <row r="233" spans="1:1" ht="15" customHeight="1" x14ac:dyDescent="0.2">
      <c r="A233" s="9" t="s">
        <v>502</v>
      </c>
    </row>
    <row r="234" spans="1:1" ht="15" customHeight="1" x14ac:dyDescent="0.2">
      <c r="A234" s="9" t="s">
        <v>503</v>
      </c>
    </row>
    <row r="235" spans="1:1" ht="15" customHeight="1" x14ac:dyDescent="0.2">
      <c r="A235" s="9" t="s">
        <v>504</v>
      </c>
    </row>
    <row r="236" spans="1:1" ht="15" customHeight="1" x14ac:dyDescent="0.2">
      <c r="A236" s="9" t="s">
        <v>505</v>
      </c>
    </row>
    <row r="238" spans="1:1" ht="15" customHeight="1" x14ac:dyDescent="0.2">
      <c r="A238" s="9" t="s">
        <v>98</v>
      </c>
    </row>
    <row r="240" spans="1:1" ht="15" customHeight="1" x14ac:dyDescent="0.2">
      <c r="A240" s="9" t="s">
        <v>506</v>
      </c>
    </row>
    <row r="241" spans="1:1" ht="15" customHeight="1" x14ac:dyDescent="0.2">
      <c r="A241" s="9" t="s">
        <v>507</v>
      </c>
    </row>
    <row r="243" spans="1:1" ht="15" customHeight="1" x14ac:dyDescent="0.2">
      <c r="A243" s="8" t="s">
        <v>508</v>
      </c>
    </row>
    <row r="244" spans="1:1" ht="15" customHeight="1" x14ac:dyDescent="0.2">
      <c r="A244" s="9" t="s">
        <v>509</v>
      </c>
    </row>
    <row r="245" spans="1:1" ht="15" customHeight="1" x14ac:dyDescent="0.2">
      <c r="A245" s="9" t="s">
        <v>510</v>
      </c>
    </row>
    <row r="246" spans="1:1" ht="15" customHeight="1" x14ac:dyDescent="0.2">
      <c r="A246" s="9" t="s">
        <v>511</v>
      </c>
    </row>
    <row r="247" spans="1:1" ht="15" customHeight="1" x14ac:dyDescent="0.2">
      <c r="A247" s="9" t="s">
        <v>512</v>
      </c>
    </row>
    <row r="249" spans="1:1" ht="15" customHeight="1" x14ac:dyDescent="0.2">
      <c r="A249" s="9" t="s">
        <v>88</v>
      </c>
    </row>
    <row r="251" spans="1:1" ht="15" customHeight="1" x14ac:dyDescent="0.2">
      <c r="A251" s="9" t="s">
        <v>513</v>
      </c>
    </row>
    <row r="252" spans="1:1" ht="15" customHeight="1" x14ac:dyDescent="0.2">
      <c r="A252" s="9" t="s">
        <v>514</v>
      </c>
    </row>
    <row r="254" spans="1:1" ht="15" customHeight="1" x14ac:dyDescent="0.2">
      <c r="A254" s="8" t="s">
        <v>515</v>
      </c>
    </row>
    <row r="255" spans="1:1" ht="15" customHeight="1" x14ac:dyDescent="0.2">
      <c r="A255" s="8" t="s">
        <v>516</v>
      </c>
    </row>
    <row r="256" spans="1:1" ht="15" customHeight="1" x14ac:dyDescent="0.2">
      <c r="A256" s="9" t="s">
        <v>517</v>
      </c>
    </row>
    <row r="257" spans="1:2" ht="15" customHeight="1" x14ac:dyDescent="0.2">
      <c r="A257" s="9" t="s">
        <v>518</v>
      </c>
    </row>
    <row r="258" spans="1:2" ht="15" customHeight="1" x14ac:dyDescent="0.2">
      <c r="A258" s="9" t="s">
        <v>519</v>
      </c>
    </row>
    <row r="259" spans="1:2" ht="15" customHeight="1" x14ac:dyDescent="0.2">
      <c r="A259" s="9" t="s">
        <v>520</v>
      </c>
    </row>
    <row r="261" spans="1:2" ht="15" customHeight="1" x14ac:dyDescent="0.2">
      <c r="A261" s="9" t="s">
        <v>88</v>
      </c>
    </row>
    <row r="263" spans="1:2" ht="15" customHeight="1" x14ac:dyDescent="0.2">
      <c r="A263" s="9" t="s">
        <v>521</v>
      </c>
    </row>
    <row r="264" spans="1:2" ht="15" customHeight="1" x14ac:dyDescent="0.2">
      <c r="A264" s="9" t="s">
        <v>522</v>
      </c>
    </row>
    <row r="266" spans="1:2" ht="15" customHeight="1" x14ac:dyDescent="0.2">
      <c r="A266" s="25" t="s">
        <v>178</v>
      </c>
      <c r="B266" s="23">
        <v>1000</v>
      </c>
    </row>
    <row r="267" spans="1:2" ht="15" customHeight="1" x14ac:dyDescent="0.2">
      <c r="A267" s="25" t="s">
        <v>127</v>
      </c>
      <c r="B267" s="21">
        <v>0.8</v>
      </c>
    </row>
    <row r="268" spans="1:2" ht="15" customHeight="1" x14ac:dyDescent="0.25">
      <c r="A268" s="9" t="s">
        <v>3638</v>
      </c>
      <c r="B268" s="12">
        <v>100</v>
      </c>
    </row>
    <row r="269" spans="1:2" ht="15" customHeight="1" x14ac:dyDescent="0.25">
      <c r="A269" s="9" t="s">
        <v>3672</v>
      </c>
      <c r="B269" s="12">
        <v>90</v>
      </c>
    </row>
    <row r="270" spans="1:2" ht="15" customHeight="1" x14ac:dyDescent="0.25">
      <c r="A270" s="9" t="s">
        <v>3988</v>
      </c>
      <c r="B270" s="12">
        <v>112</v>
      </c>
    </row>
    <row r="271" spans="1:2" ht="15" customHeight="1" x14ac:dyDescent="0.25">
      <c r="A271" s="9" t="s">
        <v>3989</v>
      </c>
      <c r="B271" s="12">
        <v>110</v>
      </c>
    </row>
    <row r="273" spans="1:3" ht="15" customHeight="1" x14ac:dyDescent="0.25">
      <c r="A273" s="77" t="s">
        <v>3976</v>
      </c>
      <c r="B273" s="77"/>
      <c r="C273" s="12">
        <f>B270-(B271-B269)</f>
        <v>92</v>
      </c>
    </row>
    <row r="274" spans="1:3" ht="15" customHeight="1" x14ac:dyDescent="0.25">
      <c r="A274" s="25" t="s">
        <v>3977</v>
      </c>
      <c r="B274" s="12">
        <f>B269+(B270-B271)</f>
        <v>92</v>
      </c>
    </row>
    <row r="275" spans="1:3" ht="15" customHeight="1" x14ac:dyDescent="0.2">
      <c r="A275" s="25" t="s">
        <v>523</v>
      </c>
      <c r="B275" s="12">
        <f>B267*C273+(1-B267)*B270</f>
        <v>96</v>
      </c>
    </row>
  </sheetData>
  <mergeCells count="4">
    <mergeCell ref="A42:B42"/>
    <mergeCell ref="A64:B64"/>
    <mergeCell ref="A273:B273"/>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
    <tabColor rgb="FF536878"/>
    <pageSetUpPr fitToPage="1"/>
  </sheetPr>
  <dimension ref="A1:P275"/>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9.85546875" style="9" customWidth="1"/>
    <col min="3" max="16384" width="9.140625" style="9"/>
  </cols>
  <sheetData>
    <row r="1" spans="1:16" ht="15" customHeight="1" x14ac:dyDescent="0.2">
      <c r="A1" s="75" t="s">
        <v>9</v>
      </c>
      <c r="B1" s="76"/>
      <c r="C1" s="76"/>
      <c r="D1" s="76"/>
      <c r="E1" s="76"/>
      <c r="F1" s="76"/>
      <c r="G1" s="76"/>
      <c r="H1" s="76"/>
      <c r="I1" s="76"/>
      <c r="J1" s="76"/>
      <c r="K1" s="76"/>
      <c r="L1" s="76"/>
      <c r="M1" s="76"/>
      <c r="N1" s="76"/>
      <c r="O1" s="76"/>
      <c r="P1" s="76"/>
    </row>
    <row r="3" spans="1:16" ht="15" customHeight="1" x14ac:dyDescent="0.2">
      <c r="A3" s="8" t="s">
        <v>525</v>
      </c>
    </row>
    <row r="4" spans="1:16" ht="15" customHeight="1" x14ac:dyDescent="0.2">
      <c r="A4" s="9" t="s">
        <v>526</v>
      </c>
    </row>
    <row r="5" spans="1:16" ht="15" customHeight="1" x14ac:dyDescent="0.2">
      <c r="A5" s="9" t="s">
        <v>527</v>
      </c>
    </row>
    <row r="6" spans="1:16" ht="15" customHeight="1" x14ac:dyDescent="0.2">
      <c r="A6" s="9" t="s">
        <v>528</v>
      </c>
    </row>
    <row r="7" spans="1:16" ht="15" customHeight="1" x14ac:dyDescent="0.2">
      <c r="A7" s="9" t="s">
        <v>142</v>
      </c>
    </row>
    <row r="9" spans="1:16" ht="15" customHeight="1" x14ac:dyDescent="0.2">
      <c r="A9" s="9" t="s">
        <v>88</v>
      </c>
    </row>
    <row r="11" spans="1:16" ht="15" customHeight="1" x14ac:dyDescent="0.2">
      <c r="A11" s="9" t="s">
        <v>529</v>
      </c>
    </row>
    <row r="13" spans="1:16" ht="15" customHeight="1" x14ac:dyDescent="0.2">
      <c r="A13" s="8" t="s">
        <v>530</v>
      </c>
    </row>
    <row r="14" spans="1:16" ht="15" customHeight="1" x14ac:dyDescent="0.2">
      <c r="A14" s="9" t="s">
        <v>531</v>
      </c>
    </row>
    <row r="15" spans="1:16" ht="15" customHeight="1" x14ac:dyDescent="0.2">
      <c r="A15" s="9" t="s">
        <v>532</v>
      </c>
    </row>
    <row r="16" spans="1:16" ht="15" customHeight="1" x14ac:dyDescent="0.2">
      <c r="A16" s="9" t="s">
        <v>533</v>
      </c>
    </row>
    <row r="17" spans="1:2" ht="15" customHeight="1" x14ac:dyDescent="0.2">
      <c r="A17" s="9" t="s">
        <v>534</v>
      </c>
    </row>
    <row r="18" spans="1:2" ht="15" customHeight="1" x14ac:dyDescent="0.2">
      <c r="A18" s="8"/>
    </row>
    <row r="19" spans="1:2" ht="15" customHeight="1" x14ac:dyDescent="0.2">
      <c r="A19" s="9" t="s">
        <v>98</v>
      </c>
    </row>
    <row r="21" spans="1:2" ht="15" customHeight="1" x14ac:dyDescent="0.2">
      <c r="A21" s="9" t="s">
        <v>551</v>
      </c>
    </row>
    <row r="22" spans="1:2" ht="15" customHeight="1" x14ac:dyDescent="0.2">
      <c r="A22" s="8"/>
    </row>
    <row r="23" spans="1:2" ht="15" customHeight="1" x14ac:dyDescent="0.2">
      <c r="A23" s="25" t="s">
        <v>100</v>
      </c>
      <c r="B23" s="21">
        <v>0.06</v>
      </c>
    </row>
    <row r="24" spans="1:2" ht="15" customHeight="1" x14ac:dyDescent="0.2">
      <c r="A24" s="25" t="s">
        <v>101</v>
      </c>
      <c r="B24" s="19">
        <v>1</v>
      </c>
    </row>
    <row r="26" spans="1:2" ht="15" customHeight="1" x14ac:dyDescent="0.2">
      <c r="A26" s="25" t="s">
        <v>99</v>
      </c>
      <c r="B26" s="14">
        <f>LN(1+B23)</f>
        <v>5.8268908123975824E-2</v>
      </c>
    </row>
    <row r="28" spans="1:2" ht="15" customHeight="1" x14ac:dyDescent="0.2">
      <c r="A28" s="8" t="s">
        <v>535</v>
      </c>
    </row>
    <row r="29" spans="1:2" ht="15" customHeight="1" x14ac:dyDescent="0.2">
      <c r="A29" s="9" t="s">
        <v>536</v>
      </c>
    </row>
    <row r="30" spans="1:2" ht="15" customHeight="1" x14ac:dyDescent="0.2">
      <c r="A30" s="9" t="s">
        <v>537</v>
      </c>
    </row>
    <row r="31" spans="1:2" ht="15" customHeight="1" x14ac:dyDescent="0.2">
      <c r="A31" s="9" t="s">
        <v>538</v>
      </c>
    </row>
    <row r="32" spans="1:2" ht="15" customHeight="1" x14ac:dyDescent="0.2">
      <c r="A32" s="9" t="s">
        <v>539</v>
      </c>
    </row>
    <row r="33" spans="1:2" ht="15" customHeight="1" x14ac:dyDescent="0.2">
      <c r="A33" s="8"/>
    </row>
    <row r="34" spans="1:2" ht="15" customHeight="1" x14ac:dyDescent="0.2">
      <c r="A34" s="9" t="s">
        <v>80</v>
      </c>
    </row>
    <row r="36" spans="1:2" ht="15" customHeight="1" x14ac:dyDescent="0.2">
      <c r="A36" s="9" t="s">
        <v>550</v>
      </c>
    </row>
    <row r="37" spans="1:2" ht="15" customHeight="1" x14ac:dyDescent="0.2">
      <c r="A37" s="8"/>
    </row>
    <row r="38" spans="1:2" ht="15" customHeight="1" x14ac:dyDescent="0.2">
      <c r="A38" s="25" t="s">
        <v>99</v>
      </c>
      <c r="B38" s="21">
        <v>0.05</v>
      </c>
    </row>
    <row r="39" spans="1:2" ht="15" customHeight="1" x14ac:dyDescent="0.2">
      <c r="A39" s="25" t="s">
        <v>101</v>
      </c>
      <c r="B39" s="9">
        <v>2</v>
      </c>
    </row>
    <row r="41" spans="1:2" ht="15" customHeight="1" x14ac:dyDescent="0.2">
      <c r="A41" s="25" t="s">
        <v>100</v>
      </c>
      <c r="B41" s="14">
        <f>B39*(EXP(B38/B39)-1)</f>
        <v>5.0630241048857716E-2</v>
      </c>
    </row>
    <row r="43" spans="1:2" ht="15" customHeight="1" x14ac:dyDescent="0.2">
      <c r="A43" s="8" t="s">
        <v>540</v>
      </c>
    </row>
    <row r="44" spans="1:2" ht="15" customHeight="1" x14ac:dyDescent="0.2">
      <c r="A44" s="9" t="s">
        <v>541</v>
      </c>
    </row>
    <row r="45" spans="1:2" ht="15" customHeight="1" x14ac:dyDescent="0.2">
      <c r="A45" s="9" t="s">
        <v>542</v>
      </c>
    </row>
    <row r="46" spans="1:2" ht="15" customHeight="1" x14ac:dyDescent="0.2">
      <c r="A46" s="9" t="s">
        <v>543</v>
      </c>
    </row>
    <row r="47" spans="1:2" ht="15" customHeight="1" x14ac:dyDescent="0.2">
      <c r="A47" s="9" t="s">
        <v>544</v>
      </c>
    </row>
    <row r="48" spans="1:2" ht="15" customHeight="1" x14ac:dyDescent="0.2">
      <c r="A48" s="8"/>
    </row>
    <row r="49" spans="1:2" ht="15" customHeight="1" x14ac:dyDescent="0.2">
      <c r="A49" s="9" t="s">
        <v>80</v>
      </c>
    </row>
    <row r="50" spans="1:2" ht="15" customHeight="1" x14ac:dyDescent="0.2">
      <c r="A50" s="8"/>
    </row>
    <row r="51" spans="1:2" ht="15" customHeight="1" x14ac:dyDescent="0.2">
      <c r="A51" s="9" t="s">
        <v>553</v>
      </c>
    </row>
    <row r="52" spans="1:2" ht="15" customHeight="1" x14ac:dyDescent="0.2">
      <c r="A52" s="8"/>
    </row>
    <row r="53" spans="1:2" ht="15" customHeight="1" x14ac:dyDescent="0.25">
      <c r="A53" s="25" t="s">
        <v>3951</v>
      </c>
      <c r="B53" s="21">
        <v>0.12</v>
      </c>
    </row>
    <row r="54" spans="1:2" ht="15" customHeight="1" x14ac:dyDescent="0.25">
      <c r="A54" s="25" t="s">
        <v>3875</v>
      </c>
      <c r="B54" s="9">
        <v>2</v>
      </c>
    </row>
    <row r="55" spans="1:2" ht="15" customHeight="1" x14ac:dyDescent="0.25">
      <c r="A55" s="25" t="s">
        <v>3952</v>
      </c>
      <c r="B55" s="9">
        <v>4</v>
      </c>
    </row>
    <row r="57" spans="1:2" ht="15" customHeight="1" x14ac:dyDescent="0.25">
      <c r="A57" s="25" t="s">
        <v>3953</v>
      </c>
      <c r="B57" s="14">
        <f>B55*((1+B53/B54)^(B54/B55)-1)</f>
        <v>0.11825205639479996</v>
      </c>
    </row>
    <row r="59" spans="1:2" ht="15" customHeight="1" x14ac:dyDescent="0.2">
      <c r="A59" s="8" t="s">
        <v>545</v>
      </c>
    </row>
    <row r="60" spans="1:2" ht="15" customHeight="1" x14ac:dyDescent="0.2">
      <c r="A60" s="9" t="s">
        <v>546</v>
      </c>
    </row>
    <row r="61" spans="1:2" ht="15" customHeight="1" x14ac:dyDescent="0.2">
      <c r="A61" s="9" t="s">
        <v>547</v>
      </c>
    </row>
    <row r="62" spans="1:2" ht="15" customHeight="1" x14ac:dyDescent="0.2">
      <c r="A62" s="9" t="s">
        <v>548</v>
      </c>
    </row>
    <row r="63" spans="1:2" ht="15" customHeight="1" x14ac:dyDescent="0.2">
      <c r="A63" s="9" t="s">
        <v>549</v>
      </c>
    </row>
    <row r="64" spans="1:2" ht="15" customHeight="1" x14ac:dyDescent="0.2">
      <c r="A64" s="8"/>
    </row>
    <row r="65" spans="1:2" ht="15" customHeight="1" x14ac:dyDescent="0.2">
      <c r="A65" s="9" t="s">
        <v>110</v>
      </c>
    </row>
    <row r="66" spans="1:2" ht="15" customHeight="1" x14ac:dyDescent="0.2">
      <c r="A66" s="8"/>
    </row>
    <row r="67" spans="1:2" ht="15" customHeight="1" x14ac:dyDescent="0.2">
      <c r="A67" s="9" t="s">
        <v>552</v>
      </c>
    </row>
    <row r="68" spans="1:2" ht="15" customHeight="1" x14ac:dyDescent="0.2">
      <c r="A68" s="8"/>
    </row>
    <row r="69" spans="1:2" ht="15" customHeight="1" x14ac:dyDescent="0.25">
      <c r="A69" s="25" t="s">
        <v>3954</v>
      </c>
      <c r="B69" s="9">
        <v>2</v>
      </c>
    </row>
    <row r="70" spans="1:2" ht="15" customHeight="1" x14ac:dyDescent="0.25">
      <c r="A70" s="25" t="s">
        <v>3955</v>
      </c>
      <c r="B70" s="9">
        <v>3</v>
      </c>
    </row>
    <row r="71" spans="1:2" ht="15" customHeight="1" x14ac:dyDescent="0.25">
      <c r="A71" s="25" t="s">
        <v>3956</v>
      </c>
      <c r="B71" s="21">
        <v>0.06</v>
      </c>
    </row>
    <row r="72" spans="1:2" ht="15" customHeight="1" x14ac:dyDescent="0.25">
      <c r="A72" s="25" t="s">
        <v>3957</v>
      </c>
      <c r="B72" s="14">
        <v>6.5000000000000002E-2</v>
      </c>
    </row>
    <row r="74" spans="1:2" ht="15" customHeight="1" x14ac:dyDescent="0.25">
      <c r="A74" s="25" t="s">
        <v>3932</v>
      </c>
      <c r="B74" s="14">
        <f>(B72*B70-B71*B69)/(B70-B69)</f>
        <v>7.5000000000000011E-2</v>
      </c>
    </row>
    <row r="76" spans="1:2" ht="15" customHeight="1" x14ac:dyDescent="0.2">
      <c r="A76" s="8" t="s">
        <v>3367</v>
      </c>
    </row>
    <row r="77" spans="1:2" ht="15" customHeight="1" x14ac:dyDescent="0.25">
      <c r="A77" s="8" t="s">
        <v>3958</v>
      </c>
    </row>
    <row r="78" spans="1:2" ht="15" customHeight="1" x14ac:dyDescent="0.2">
      <c r="A78" s="9" t="s">
        <v>554</v>
      </c>
    </row>
    <row r="79" spans="1:2" ht="15" customHeight="1" x14ac:dyDescent="0.2">
      <c r="A79" s="9" t="s">
        <v>555</v>
      </c>
    </row>
    <row r="80" spans="1:2" ht="15" customHeight="1" x14ac:dyDescent="0.2">
      <c r="A80" s="9" t="s">
        <v>556</v>
      </c>
    </row>
    <row r="81" spans="1:11" ht="15" customHeight="1" x14ac:dyDescent="0.2">
      <c r="A81" s="9" t="s">
        <v>557</v>
      </c>
    </row>
    <row r="82" spans="1:11" ht="15" customHeight="1" x14ac:dyDescent="0.2">
      <c r="A82" s="8"/>
    </row>
    <row r="83" spans="1:11" ht="15" customHeight="1" x14ac:dyDescent="0.2">
      <c r="A83" s="9" t="s">
        <v>98</v>
      </c>
    </row>
    <row r="84" spans="1:11" ht="15" customHeight="1" x14ac:dyDescent="0.2">
      <c r="A84" s="8"/>
    </row>
    <row r="85" spans="1:11" ht="15" customHeight="1" x14ac:dyDescent="0.2">
      <c r="A85" s="9" t="s">
        <v>558</v>
      </c>
      <c r="K85" s="9" t="s">
        <v>559</v>
      </c>
    </row>
    <row r="86" spans="1:11" ht="15" customHeight="1" x14ac:dyDescent="0.2">
      <c r="A86" s="8"/>
    </row>
    <row r="87" spans="1:11" ht="15" customHeight="1" x14ac:dyDescent="0.2">
      <c r="A87" s="25" t="s">
        <v>108</v>
      </c>
      <c r="B87" s="9">
        <v>100</v>
      </c>
    </row>
    <row r="88" spans="1:11" ht="15" customHeight="1" x14ac:dyDescent="0.25">
      <c r="A88" s="25" t="s">
        <v>3954</v>
      </c>
      <c r="B88" s="9">
        <v>0.5</v>
      </c>
    </row>
    <row r="89" spans="1:11" ht="15" customHeight="1" x14ac:dyDescent="0.25">
      <c r="A89" s="25" t="s">
        <v>3955</v>
      </c>
      <c r="B89" s="9">
        <v>1</v>
      </c>
    </row>
    <row r="90" spans="1:11" ht="15" customHeight="1" x14ac:dyDescent="0.25">
      <c r="A90" s="25" t="s">
        <v>3956</v>
      </c>
      <c r="B90" s="21">
        <v>0.08</v>
      </c>
    </row>
    <row r="91" spans="1:11" ht="15" customHeight="1" x14ac:dyDescent="0.25">
      <c r="A91" s="25" t="s">
        <v>3875</v>
      </c>
      <c r="B91" s="9">
        <v>2</v>
      </c>
    </row>
    <row r="92" spans="1:11" ht="15" customHeight="1" x14ac:dyDescent="0.2">
      <c r="A92" s="25" t="s">
        <v>107</v>
      </c>
      <c r="B92" s="9">
        <v>97</v>
      </c>
    </row>
    <row r="93" spans="1:11" ht="15" customHeight="1" x14ac:dyDescent="0.2">
      <c r="A93" s="25" t="s">
        <v>86</v>
      </c>
      <c r="B93" s="21">
        <v>0.06</v>
      </c>
    </row>
    <row r="95" spans="1:11" ht="15" customHeight="1" x14ac:dyDescent="0.25">
      <c r="A95" s="25" t="s">
        <v>3957</v>
      </c>
      <c r="B95" s="14">
        <f>LN((B87*(1+B93/B91))/(B92-B87*B93/B91/(1+B90/2)^B89))</f>
        <v>9.0207462808446132E-2</v>
      </c>
    </row>
    <row r="97" spans="1:2" ht="15" customHeight="1" x14ac:dyDescent="0.2">
      <c r="A97" s="8" t="s">
        <v>3368</v>
      </c>
    </row>
    <row r="98" spans="1:2" s="8" customFormat="1" ht="15" customHeight="1" x14ac:dyDescent="0.2">
      <c r="A98" s="8" t="s">
        <v>3369</v>
      </c>
    </row>
    <row r="99" spans="1:2" s="8" customFormat="1" ht="15" customHeight="1" x14ac:dyDescent="0.2">
      <c r="A99" s="9" t="s">
        <v>560</v>
      </c>
    </row>
    <row r="100" spans="1:2" s="8" customFormat="1" ht="15" customHeight="1" x14ac:dyDescent="0.2">
      <c r="A100" s="9" t="s">
        <v>561</v>
      </c>
    </row>
    <row r="101" spans="1:2" s="8" customFormat="1" ht="15" customHeight="1" x14ac:dyDescent="0.2">
      <c r="A101" s="9" t="s">
        <v>562</v>
      </c>
    </row>
    <row r="102" spans="1:2" s="8" customFormat="1" ht="15" customHeight="1" x14ac:dyDescent="0.2">
      <c r="A102" s="9" t="s">
        <v>563</v>
      </c>
    </row>
    <row r="103" spans="1:2" s="8" customFormat="1" ht="15" customHeight="1" x14ac:dyDescent="0.2"/>
    <row r="104" spans="1:2" s="8" customFormat="1" ht="15" customHeight="1" x14ac:dyDescent="0.2">
      <c r="A104" s="9" t="s">
        <v>110</v>
      </c>
    </row>
    <row r="105" spans="1:2" s="8" customFormat="1" ht="15" customHeight="1" x14ac:dyDescent="0.2"/>
    <row r="106" spans="1:2" s="8" customFormat="1" ht="15" customHeight="1" x14ac:dyDescent="0.2">
      <c r="A106" s="9" t="s">
        <v>3370</v>
      </c>
    </row>
    <row r="107" spans="1:2" s="8" customFormat="1" ht="15" customHeight="1" x14ac:dyDescent="0.2"/>
    <row r="108" spans="1:2" ht="15" customHeight="1" x14ac:dyDescent="0.2">
      <c r="A108" s="25" t="s">
        <v>109</v>
      </c>
      <c r="B108" s="21">
        <v>0.06</v>
      </c>
    </row>
    <row r="109" spans="1:2" ht="15" customHeight="1" x14ac:dyDescent="0.2">
      <c r="A109" s="25" t="s">
        <v>101</v>
      </c>
      <c r="B109" s="19">
        <v>2</v>
      </c>
    </row>
    <row r="110" spans="1:2" ht="15" customHeight="1" x14ac:dyDescent="0.25">
      <c r="A110" s="25" t="s">
        <v>3954</v>
      </c>
      <c r="B110" s="9">
        <v>2</v>
      </c>
    </row>
    <row r="111" spans="1:2" ht="15" customHeight="1" x14ac:dyDescent="0.25">
      <c r="A111" s="25" t="s">
        <v>3955</v>
      </c>
      <c r="B111" s="9">
        <v>2.5</v>
      </c>
    </row>
    <row r="112" spans="1:2" ht="15" customHeight="1" x14ac:dyDescent="0.25">
      <c r="A112" s="25" t="s">
        <v>3959</v>
      </c>
      <c r="B112" s="21">
        <v>0.08</v>
      </c>
    </row>
    <row r="113" spans="1:2" ht="15" customHeight="1" x14ac:dyDescent="0.2">
      <c r="A113" s="25" t="s">
        <v>108</v>
      </c>
      <c r="B113" s="9">
        <v>1000</v>
      </c>
    </row>
    <row r="115" spans="1:2" ht="15" customHeight="1" x14ac:dyDescent="0.25">
      <c r="A115" s="25" t="s">
        <v>3960</v>
      </c>
      <c r="B115" s="15">
        <f>B113*(B112-B108)*(B111-B110)*(1+B108/B109)^(-B111*B109)</f>
        <v>8.626087843841642</v>
      </c>
    </row>
    <row r="117" spans="1:2" ht="15" customHeight="1" x14ac:dyDescent="0.2">
      <c r="A117" s="8" t="s">
        <v>524</v>
      </c>
    </row>
    <row r="118" spans="1:2" ht="15" customHeight="1" x14ac:dyDescent="0.2">
      <c r="A118" s="9" t="s">
        <v>3961</v>
      </c>
    </row>
    <row r="119" spans="1:2" ht="15" customHeight="1" x14ac:dyDescent="0.2">
      <c r="A119" s="9" t="s">
        <v>3962</v>
      </c>
    </row>
    <row r="120" spans="1:2" ht="15" customHeight="1" x14ac:dyDescent="0.2">
      <c r="A120" s="9" t="s">
        <v>3963</v>
      </c>
    </row>
    <row r="121" spans="1:2" ht="15" customHeight="1" x14ac:dyDescent="0.2">
      <c r="A121" s="9" t="s">
        <v>3964</v>
      </c>
    </row>
    <row r="123" spans="1:2" ht="15" customHeight="1" x14ac:dyDescent="0.2">
      <c r="A123" s="9" t="s">
        <v>110</v>
      </c>
    </row>
    <row r="125" spans="1:2" ht="15" customHeight="1" x14ac:dyDescent="0.2">
      <c r="A125" s="9" t="s">
        <v>564</v>
      </c>
    </row>
    <row r="127" spans="1:2" ht="15" customHeight="1" x14ac:dyDescent="0.2">
      <c r="A127" s="8" t="s">
        <v>565</v>
      </c>
    </row>
    <row r="128" spans="1:2" ht="15" customHeight="1" x14ac:dyDescent="0.2">
      <c r="A128" s="9" t="s">
        <v>566</v>
      </c>
    </row>
    <row r="129" spans="1:1" ht="15" customHeight="1" x14ac:dyDescent="0.2">
      <c r="A129" s="9" t="s">
        <v>567</v>
      </c>
    </row>
    <row r="130" spans="1:1" ht="15" customHeight="1" x14ac:dyDescent="0.2">
      <c r="A130" s="9" t="s">
        <v>568</v>
      </c>
    </row>
    <row r="131" spans="1:1" ht="15" customHeight="1" x14ac:dyDescent="0.2">
      <c r="A131" s="9" t="s">
        <v>569</v>
      </c>
    </row>
    <row r="133" spans="1:1" ht="15" customHeight="1" x14ac:dyDescent="0.2">
      <c r="A133" s="9" t="s">
        <v>80</v>
      </c>
    </row>
    <row r="135" spans="1:1" ht="15" customHeight="1" x14ac:dyDescent="0.2">
      <c r="A135" s="9" t="s">
        <v>570</v>
      </c>
    </row>
    <row r="137" spans="1:1" ht="15" customHeight="1" x14ac:dyDescent="0.2">
      <c r="A137" s="8" t="s">
        <v>571</v>
      </c>
    </row>
    <row r="138" spans="1:1" ht="15" customHeight="1" x14ac:dyDescent="0.2">
      <c r="A138" s="9" t="s">
        <v>572</v>
      </c>
    </row>
    <row r="139" spans="1:1" ht="15" customHeight="1" x14ac:dyDescent="0.2">
      <c r="A139" s="9" t="s">
        <v>573</v>
      </c>
    </row>
    <row r="140" spans="1:1" ht="15" customHeight="1" x14ac:dyDescent="0.2">
      <c r="A140" s="9" t="s">
        <v>574</v>
      </c>
    </row>
    <row r="141" spans="1:1" ht="15" customHeight="1" x14ac:dyDescent="0.2">
      <c r="A141" s="9" t="s">
        <v>575</v>
      </c>
    </row>
    <row r="143" spans="1:1" ht="15" customHeight="1" x14ac:dyDescent="0.2">
      <c r="A143" s="9" t="s">
        <v>88</v>
      </c>
    </row>
    <row r="145" spans="1:2" ht="15" customHeight="1" x14ac:dyDescent="0.2">
      <c r="A145" s="9" t="s">
        <v>576</v>
      </c>
    </row>
    <row r="147" spans="1:2" ht="15" customHeight="1" x14ac:dyDescent="0.25">
      <c r="A147" s="8" t="s">
        <v>3965</v>
      </c>
    </row>
    <row r="148" spans="1:2" ht="15" customHeight="1" x14ac:dyDescent="0.2">
      <c r="A148" s="9" t="s">
        <v>577</v>
      </c>
    </row>
    <row r="149" spans="1:2" ht="15" customHeight="1" x14ac:dyDescent="0.2">
      <c r="A149" s="9" t="s">
        <v>578</v>
      </c>
    </row>
    <row r="150" spans="1:2" ht="15" customHeight="1" x14ac:dyDescent="0.2">
      <c r="A150" s="9" t="s">
        <v>579</v>
      </c>
    </row>
    <row r="151" spans="1:2" ht="15" customHeight="1" x14ac:dyDescent="0.2">
      <c r="A151" s="9" t="s">
        <v>580</v>
      </c>
    </row>
    <row r="153" spans="1:2" ht="15" customHeight="1" x14ac:dyDescent="0.2">
      <c r="A153" s="9" t="s">
        <v>88</v>
      </c>
    </row>
    <row r="155" spans="1:2" ht="15" customHeight="1" x14ac:dyDescent="0.2">
      <c r="A155" s="9" t="s">
        <v>628</v>
      </c>
    </row>
    <row r="156" spans="1:2" ht="15" customHeight="1" x14ac:dyDescent="0.2">
      <c r="A156" s="8"/>
    </row>
    <row r="157" spans="1:2" ht="15" customHeight="1" x14ac:dyDescent="0.2">
      <c r="A157" s="25" t="s">
        <v>104</v>
      </c>
      <c r="B157" s="12">
        <v>1000000</v>
      </c>
    </row>
    <row r="158" spans="1:2" ht="15" customHeight="1" x14ac:dyDescent="0.2">
      <c r="A158" s="25" t="s">
        <v>76</v>
      </c>
      <c r="B158" s="19">
        <v>5</v>
      </c>
    </row>
    <row r="159" spans="1:2" ht="15" customHeight="1" x14ac:dyDescent="0.2">
      <c r="A159" s="9" t="s">
        <v>3966</v>
      </c>
      <c r="B159" s="71">
        <f>5/10000</f>
        <v>5.0000000000000001E-4</v>
      </c>
    </row>
    <row r="160" spans="1:2" ht="15" customHeight="1" x14ac:dyDescent="0.2">
      <c r="A160" s="25"/>
      <c r="B160" s="12"/>
    </row>
    <row r="161" spans="1:2" ht="15" customHeight="1" x14ac:dyDescent="0.2">
      <c r="A161" s="9" t="s">
        <v>3967</v>
      </c>
      <c r="B161" s="12">
        <f>-B157*B158*B159</f>
        <v>-2500</v>
      </c>
    </row>
    <row r="163" spans="1:2" ht="15" customHeight="1" x14ac:dyDescent="0.25">
      <c r="A163" s="8" t="s">
        <v>3968</v>
      </c>
    </row>
    <row r="164" spans="1:2" ht="15" customHeight="1" x14ac:dyDescent="0.2">
      <c r="A164" s="9" t="s">
        <v>581</v>
      </c>
    </row>
    <row r="165" spans="1:2" ht="15" customHeight="1" x14ac:dyDescent="0.2">
      <c r="A165" s="9" t="s">
        <v>582</v>
      </c>
    </row>
    <row r="166" spans="1:2" ht="15" customHeight="1" x14ac:dyDescent="0.2">
      <c r="A166" s="9" t="s">
        <v>583</v>
      </c>
    </row>
    <row r="167" spans="1:2" ht="15" customHeight="1" x14ac:dyDescent="0.2">
      <c r="A167" s="9" t="s">
        <v>584</v>
      </c>
    </row>
    <row r="169" spans="1:2" ht="15" customHeight="1" x14ac:dyDescent="0.2">
      <c r="A169" s="9" t="s">
        <v>110</v>
      </c>
    </row>
    <row r="170" spans="1:2" ht="15" customHeight="1" x14ac:dyDescent="0.2">
      <c r="A170" s="8"/>
    </row>
    <row r="171" spans="1:2" ht="15" customHeight="1" x14ac:dyDescent="0.2">
      <c r="A171" s="9" t="s">
        <v>585</v>
      </c>
    </row>
    <row r="172" spans="1:2" ht="15" customHeight="1" x14ac:dyDescent="0.2">
      <c r="A172" s="8"/>
    </row>
    <row r="173" spans="1:2" ht="15" customHeight="1" x14ac:dyDescent="0.2">
      <c r="A173" s="25" t="s">
        <v>3969</v>
      </c>
      <c r="B173" s="9">
        <v>1000</v>
      </c>
    </row>
    <row r="174" spans="1:2" ht="15" customHeight="1" x14ac:dyDescent="0.2">
      <c r="A174" s="9" t="s">
        <v>123</v>
      </c>
      <c r="B174" s="9">
        <v>1</v>
      </c>
    </row>
    <row r="175" spans="1:2" ht="15" customHeight="1" x14ac:dyDescent="0.25">
      <c r="A175" s="25" t="s">
        <v>3954</v>
      </c>
      <c r="B175" s="9">
        <v>5</v>
      </c>
    </row>
    <row r="176" spans="1:2" ht="15" customHeight="1" x14ac:dyDescent="0.2">
      <c r="A176" s="25" t="s">
        <v>3970</v>
      </c>
      <c r="B176" s="9">
        <v>4000</v>
      </c>
    </row>
    <row r="177" spans="1:2" ht="15" customHeight="1" x14ac:dyDescent="0.2">
      <c r="A177" s="9" t="s">
        <v>124</v>
      </c>
      <c r="B177" s="9">
        <v>1</v>
      </c>
    </row>
    <row r="178" spans="1:2" ht="15" customHeight="1" x14ac:dyDescent="0.25">
      <c r="A178" s="25" t="s">
        <v>3955</v>
      </c>
      <c r="B178" s="9">
        <v>10</v>
      </c>
    </row>
    <row r="180" spans="1:2" ht="15" customHeight="1" x14ac:dyDescent="0.2">
      <c r="A180" s="9">
        <f>(B175*B174*B173+B178*B177*B176)/(B173*B174+B176*B177)</f>
        <v>9</v>
      </c>
      <c r="B180" s="9" t="s">
        <v>125</v>
      </c>
    </row>
    <row r="182" spans="1:2" ht="15" customHeight="1" x14ac:dyDescent="0.2">
      <c r="A182" s="8" t="s">
        <v>3371</v>
      </c>
    </row>
    <row r="183" spans="1:2" ht="15" customHeight="1" x14ac:dyDescent="0.2">
      <c r="A183" s="9" t="s">
        <v>3372</v>
      </c>
    </row>
    <row r="184" spans="1:2" ht="15" customHeight="1" x14ac:dyDescent="0.2">
      <c r="A184" s="9" t="s">
        <v>3373</v>
      </c>
    </row>
    <row r="185" spans="1:2" ht="15" customHeight="1" x14ac:dyDescent="0.2">
      <c r="A185" s="9" t="s">
        <v>3374</v>
      </c>
    </row>
    <row r="186" spans="1:2" ht="15" customHeight="1" x14ac:dyDescent="0.2">
      <c r="A186" s="9" t="s">
        <v>3375</v>
      </c>
    </row>
    <row r="188" spans="1:2" ht="15" customHeight="1" x14ac:dyDescent="0.2">
      <c r="A188" s="9" t="s">
        <v>98</v>
      </c>
    </row>
    <row r="190" spans="1:2" ht="15" customHeight="1" x14ac:dyDescent="0.2">
      <c r="A190" s="9" t="s">
        <v>3376</v>
      </c>
    </row>
    <row r="192" spans="1:2" ht="15" customHeight="1" x14ac:dyDescent="0.2">
      <c r="A192" s="8" t="s">
        <v>586</v>
      </c>
    </row>
    <row r="193" spans="1:1" ht="15" customHeight="1" x14ac:dyDescent="0.2">
      <c r="A193" s="9" t="s">
        <v>587</v>
      </c>
    </row>
    <row r="194" spans="1:1" ht="15" customHeight="1" x14ac:dyDescent="0.2">
      <c r="A194" s="9" t="s">
        <v>588</v>
      </c>
    </row>
    <row r="195" spans="1:1" ht="15" customHeight="1" x14ac:dyDescent="0.2">
      <c r="A195" s="9" t="s">
        <v>589</v>
      </c>
    </row>
    <row r="196" spans="1:1" ht="15" customHeight="1" x14ac:dyDescent="0.2">
      <c r="A196" s="9" t="s">
        <v>590</v>
      </c>
    </row>
    <row r="198" spans="1:1" ht="15" customHeight="1" x14ac:dyDescent="0.2">
      <c r="A198" s="9" t="s">
        <v>80</v>
      </c>
    </row>
    <row r="200" spans="1:1" ht="15" customHeight="1" x14ac:dyDescent="0.2">
      <c r="A200" s="9" t="s">
        <v>591</v>
      </c>
    </row>
    <row r="201" spans="1:1" ht="15" customHeight="1" x14ac:dyDescent="0.2">
      <c r="A201" s="9" t="s">
        <v>592</v>
      </c>
    </row>
    <row r="203" spans="1:1" ht="15" customHeight="1" x14ac:dyDescent="0.2">
      <c r="A203" s="8" t="s">
        <v>593</v>
      </c>
    </row>
    <row r="204" spans="1:1" ht="15" customHeight="1" x14ac:dyDescent="0.2">
      <c r="A204" s="9" t="s">
        <v>594</v>
      </c>
    </row>
    <row r="205" spans="1:1" ht="15" customHeight="1" x14ac:dyDescent="0.2">
      <c r="A205" s="9" t="s">
        <v>595</v>
      </c>
    </row>
    <row r="206" spans="1:1" ht="15" customHeight="1" x14ac:dyDescent="0.2">
      <c r="A206" s="9" t="s">
        <v>596</v>
      </c>
    </row>
    <row r="207" spans="1:1" ht="15" customHeight="1" x14ac:dyDescent="0.2">
      <c r="A207" s="9" t="s">
        <v>597</v>
      </c>
    </row>
    <row r="209" spans="1:1" ht="15" customHeight="1" x14ac:dyDescent="0.2">
      <c r="A209" s="9" t="s">
        <v>110</v>
      </c>
    </row>
    <row r="211" spans="1:1" ht="15" customHeight="1" x14ac:dyDescent="0.2">
      <c r="A211" s="9" t="s">
        <v>598</v>
      </c>
    </row>
    <row r="213" spans="1:1" ht="15" customHeight="1" x14ac:dyDescent="0.2">
      <c r="A213" s="8" t="s">
        <v>599</v>
      </c>
    </row>
    <row r="214" spans="1:1" ht="15" customHeight="1" x14ac:dyDescent="0.2">
      <c r="A214" s="9" t="s">
        <v>600</v>
      </c>
    </row>
    <row r="215" spans="1:1" ht="15" customHeight="1" x14ac:dyDescent="0.2">
      <c r="A215" s="9" t="s">
        <v>601</v>
      </c>
    </row>
    <row r="216" spans="1:1" ht="15" customHeight="1" x14ac:dyDescent="0.2">
      <c r="A216" s="9" t="s">
        <v>602</v>
      </c>
    </row>
    <row r="217" spans="1:1" ht="15" customHeight="1" x14ac:dyDescent="0.2">
      <c r="A217" s="9" t="s">
        <v>404</v>
      </c>
    </row>
    <row r="219" spans="1:1" ht="15" customHeight="1" x14ac:dyDescent="0.2">
      <c r="A219" s="9" t="s">
        <v>98</v>
      </c>
    </row>
    <row r="221" spans="1:1" ht="15" customHeight="1" x14ac:dyDescent="0.2">
      <c r="A221" s="9" t="s">
        <v>603</v>
      </c>
    </row>
    <row r="223" spans="1:1" ht="15" customHeight="1" x14ac:dyDescent="0.2">
      <c r="A223" s="8" t="s">
        <v>604</v>
      </c>
    </row>
    <row r="224" spans="1:1" ht="15" customHeight="1" x14ac:dyDescent="0.2">
      <c r="A224" s="9" t="s">
        <v>605</v>
      </c>
    </row>
    <row r="225" spans="1:1" ht="15" customHeight="1" x14ac:dyDescent="0.2">
      <c r="A225" s="9" t="s">
        <v>606</v>
      </c>
    </row>
    <row r="226" spans="1:1" ht="15" customHeight="1" x14ac:dyDescent="0.2">
      <c r="A226" s="9" t="s">
        <v>607</v>
      </c>
    </row>
    <row r="227" spans="1:1" ht="15" customHeight="1" x14ac:dyDescent="0.2">
      <c r="A227" s="9" t="s">
        <v>608</v>
      </c>
    </row>
    <row r="229" spans="1:1" ht="15" customHeight="1" x14ac:dyDescent="0.2">
      <c r="A229" s="9" t="s">
        <v>88</v>
      </c>
    </row>
    <row r="231" spans="1:1" ht="15" customHeight="1" x14ac:dyDescent="0.2">
      <c r="A231" s="9" t="s">
        <v>609</v>
      </c>
    </row>
    <row r="232" spans="1:1" ht="15" customHeight="1" x14ac:dyDescent="0.2">
      <c r="A232" s="9" t="s">
        <v>610</v>
      </c>
    </row>
    <row r="234" spans="1:1" ht="15" customHeight="1" x14ac:dyDescent="0.2">
      <c r="A234" s="8" t="s">
        <v>611</v>
      </c>
    </row>
    <row r="235" spans="1:1" ht="15" customHeight="1" x14ac:dyDescent="0.2">
      <c r="A235" s="9" t="s">
        <v>566</v>
      </c>
    </row>
    <row r="236" spans="1:1" ht="15" customHeight="1" x14ac:dyDescent="0.2">
      <c r="A236" s="9" t="s">
        <v>567</v>
      </c>
    </row>
    <row r="237" spans="1:1" ht="15" customHeight="1" x14ac:dyDescent="0.2">
      <c r="A237" s="9" t="s">
        <v>568</v>
      </c>
    </row>
    <row r="238" spans="1:1" ht="15" customHeight="1" x14ac:dyDescent="0.2">
      <c r="A238" s="9" t="s">
        <v>569</v>
      </c>
    </row>
    <row r="240" spans="1:1" ht="15" customHeight="1" x14ac:dyDescent="0.2">
      <c r="A240" s="9" t="s">
        <v>110</v>
      </c>
    </row>
    <row r="242" spans="1:1" ht="15" customHeight="1" x14ac:dyDescent="0.2">
      <c r="A242" s="9" t="s">
        <v>3308</v>
      </c>
    </row>
    <row r="243" spans="1:1" ht="15" customHeight="1" x14ac:dyDescent="0.2">
      <c r="A243" s="9" t="s">
        <v>3309</v>
      </c>
    </row>
    <row r="245" spans="1:1" ht="15" customHeight="1" x14ac:dyDescent="0.2">
      <c r="A245" s="8" t="s">
        <v>612</v>
      </c>
    </row>
    <row r="246" spans="1:1" ht="15" customHeight="1" x14ac:dyDescent="0.2">
      <c r="A246" s="9" t="s">
        <v>613</v>
      </c>
    </row>
    <row r="247" spans="1:1" ht="15" customHeight="1" x14ac:dyDescent="0.2">
      <c r="A247" s="9" t="s">
        <v>614</v>
      </c>
    </row>
    <row r="248" spans="1:1" ht="15" customHeight="1" x14ac:dyDescent="0.2">
      <c r="A248" s="9" t="s">
        <v>615</v>
      </c>
    </row>
    <row r="249" spans="1:1" ht="15" customHeight="1" x14ac:dyDescent="0.2">
      <c r="A249" s="9" t="s">
        <v>404</v>
      </c>
    </row>
    <row r="251" spans="1:1" ht="15" customHeight="1" x14ac:dyDescent="0.2">
      <c r="A251" s="9" t="s">
        <v>110</v>
      </c>
    </row>
    <row r="253" spans="1:1" ht="15" customHeight="1" x14ac:dyDescent="0.2">
      <c r="A253" s="9" t="s">
        <v>616</v>
      </c>
    </row>
    <row r="254" spans="1:1" ht="15" customHeight="1" x14ac:dyDescent="0.2">
      <c r="A254" s="9" t="s">
        <v>617</v>
      </c>
    </row>
    <row r="255" spans="1:1" ht="15" customHeight="1" x14ac:dyDescent="0.2">
      <c r="A255" s="9" t="s">
        <v>618</v>
      </c>
    </row>
    <row r="256" spans="1:1" ht="15" customHeight="1" x14ac:dyDescent="0.2">
      <c r="A256" s="9" t="s">
        <v>619</v>
      </c>
    </row>
    <row r="258" spans="1:3" ht="15" customHeight="1" x14ac:dyDescent="0.2">
      <c r="A258" s="8" t="s">
        <v>620</v>
      </c>
    </row>
    <row r="259" spans="1:3" ht="15" customHeight="1" x14ac:dyDescent="0.2">
      <c r="A259" s="9" t="s">
        <v>621</v>
      </c>
    </row>
    <row r="260" spans="1:3" ht="15" customHeight="1" x14ac:dyDescent="0.2">
      <c r="A260" s="9" t="s">
        <v>622</v>
      </c>
    </row>
    <row r="261" spans="1:3" ht="15" customHeight="1" x14ac:dyDescent="0.2">
      <c r="A261" s="9" t="s">
        <v>623</v>
      </c>
    </row>
    <row r="262" spans="1:3" ht="15" customHeight="1" x14ac:dyDescent="0.2">
      <c r="A262" s="9" t="s">
        <v>624</v>
      </c>
    </row>
    <row r="264" spans="1:3" ht="15" customHeight="1" x14ac:dyDescent="0.2">
      <c r="A264" s="9" t="s">
        <v>80</v>
      </c>
    </row>
    <row r="266" spans="1:3" ht="15" customHeight="1" x14ac:dyDescent="0.2">
      <c r="A266" s="9" t="s">
        <v>625</v>
      </c>
    </row>
    <row r="267" spans="1:3" ht="15" customHeight="1" x14ac:dyDescent="0.2">
      <c r="A267" s="9" t="s">
        <v>626</v>
      </c>
    </row>
    <row r="269" spans="1:3" ht="15" customHeight="1" x14ac:dyDescent="0.2">
      <c r="A269" s="25" t="s">
        <v>101</v>
      </c>
      <c r="B269" s="9">
        <v>2</v>
      </c>
    </row>
    <row r="270" spans="1:3" ht="15" customHeight="1" x14ac:dyDescent="0.2">
      <c r="A270" s="25" t="s">
        <v>83</v>
      </c>
      <c r="B270" s="9">
        <v>0.5</v>
      </c>
      <c r="C270" s="9">
        <v>1</v>
      </c>
    </row>
    <row r="271" spans="1:3" ht="15" customHeight="1" x14ac:dyDescent="0.2">
      <c r="A271" s="25" t="s">
        <v>100</v>
      </c>
      <c r="B271" s="21">
        <v>0.03</v>
      </c>
      <c r="C271" s="21">
        <v>0.04</v>
      </c>
    </row>
    <row r="273" spans="1:2" ht="15" customHeight="1" x14ac:dyDescent="0.2">
      <c r="A273" s="25" t="s">
        <v>102</v>
      </c>
      <c r="B273" s="9">
        <f>1/(1+C271/B269)^(B269*C270)</f>
        <v>0.96116878123798544</v>
      </c>
    </row>
    <row r="274" spans="1:2" ht="15" customHeight="1" x14ac:dyDescent="0.2">
      <c r="A274" s="25" t="s">
        <v>627</v>
      </c>
      <c r="B274" s="9">
        <f>1/(1+B271/B269)^(B269*B270)+1/(1+C271/B269)^(B269*C270)</f>
        <v>1.9463904561148329</v>
      </c>
    </row>
    <row r="275" spans="1:2" ht="15" customHeight="1" x14ac:dyDescent="0.2">
      <c r="A275" s="25" t="s">
        <v>86</v>
      </c>
      <c r="B275" s="1">
        <f>B269*(1-B273)/B274</f>
        <v>3.9900749245888829E-2</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5">
    <tabColor rgb="FF536878"/>
    <pageSetUpPr fitToPage="1"/>
  </sheetPr>
  <dimension ref="A1:P259"/>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0.42578125" style="9" customWidth="1"/>
    <col min="2" max="2" width="13" style="9" customWidth="1"/>
    <col min="3" max="16384" width="9.140625" style="9"/>
  </cols>
  <sheetData>
    <row r="1" spans="1:16" ht="15" customHeight="1" x14ac:dyDescent="0.2">
      <c r="A1" s="75" t="s">
        <v>10</v>
      </c>
      <c r="B1" s="76"/>
      <c r="C1" s="76"/>
      <c r="D1" s="76"/>
      <c r="E1" s="76"/>
      <c r="F1" s="76"/>
      <c r="G1" s="76"/>
      <c r="H1" s="76"/>
      <c r="I1" s="76"/>
      <c r="J1" s="76"/>
      <c r="K1" s="76"/>
      <c r="L1" s="76"/>
      <c r="M1" s="76"/>
      <c r="N1" s="76"/>
      <c r="O1" s="76"/>
      <c r="P1" s="76"/>
    </row>
    <row r="3" spans="1:16" ht="15" customHeight="1" x14ac:dyDescent="0.2">
      <c r="A3" s="8" t="s">
        <v>632</v>
      </c>
    </row>
    <row r="4" spans="1:16" ht="15" customHeight="1" x14ac:dyDescent="0.2">
      <c r="A4" s="9" t="s">
        <v>137</v>
      </c>
    </row>
    <row r="5" spans="1:16" ht="15" customHeight="1" x14ac:dyDescent="0.2">
      <c r="A5" s="9" t="s">
        <v>138</v>
      </c>
    </row>
    <row r="6" spans="1:16" ht="15" customHeight="1" x14ac:dyDescent="0.2">
      <c r="A6" s="9" t="s">
        <v>139</v>
      </c>
    </row>
    <row r="7" spans="1:16" ht="15" customHeight="1" x14ac:dyDescent="0.2">
      <c r="A7" s="9" t="s">
        <v>140</v>
      </c>
    </row>
    <row r="9" spans="1:16" ht="15" customHeight="1" x14ac:dyDescent="0.2">
      <c r="A9" s="9" t="s">
        <v>98</v>
      </c>
    </row>
    <row r="11" spans="1:16" ht="15" customHeight="1" x14ac:dyDescent="0.2">
      <c r="A11" s="9" t="s">
        <v>633</v>
      </c>
    </row>
    <row r="13" spans="1:16" ht="15" customHeight="1" x14ac:dyDescent="0.2">
      <c r="A13" s="8" t="s">
        <v>634</v>
      </c>
    </row>
    <row r="14" spans="1:16" ht="15" customHeight="1" x14ac:dyDescent="0.2">
      <c r="A14" s="8" t="s">
        <v>635</v>
      </c>
    </row>
    <row r="15" spans="1:16" ht="15" customHeight="1" x14ac:dyDescent="0.2">
      <c r="A15" s="9" t="s">
        <v>636</v>
      </c>
    </row>
    <row r="16" spans="1:16" ht="15" customHeight="1" x14ac:dyDescent="0.2">
      <c r="A16" s="9" t="s">
        <v>637</v>
      </c>
    </row>
    <row r="17" spans="1:2" ht="15" customHeight="1" x14ac:dyDescent="0.2">
      <c r="A17" s="9" t="s">
        <v>638</v>
      </c>
    </row>
    <row r="18" spans="1:2" ht="15" customHeight="1" x14ac:dyDescent="0.2">
      <c r="A18" s="9" t="s">
        <v>639</v>
      </c>
    </row>
    <row r="20" spans="1:2" ht="15" customHeight="1" x14ac:dyDescent="0.2">
      <c r="A20" s="9" t="s">
        <v>88</v>
      </c>
    </row>
    <row r="22" spans="1:2" ht="15" customHeight="1" x14ac:dyDescent="0.2">
      <c r="A22" s="9" t="s">
        <v>640</v>
      </c>
    </row>
    <row r="23" spans="1:2" ht="15" customHeight="1" x14ac:dyDescent="0.2">
      <c r="A23" s="9" t="s">
        <v>641</v>
      </c>
    </row>
    <row r="25" spans="1:2" ht="15" customHeight="1" x14ac:dyDescent="0.2">
      <c r="A25" s="9" t="s">
        <v>81</v>
      </c>
      <c r="B25" s="9">
        <v>-1</v>
      </c>
    </row>
    <row r="26" spans="1:2" ht="15" customHeight="1" x14ac:dyDescent="0.2">
      <c r="A26" s="9" t="s">
        <v>90</v>
      </c>
      <c r="B26" s="9">
        <v>100</v>
      </c>
    </row>
    <row r="27" spans="1:2" ht="15" customHeight="1" x14ac:dyDescent="0.25">
      <c r="A27" s="25" t="s">
        <v>3451</v>
      </c>
      <c r="B27" s="9">
        <v>50</v>
      </c>
    </row>
    <row r="28" spans="1:2" ht="15" customHeight="1" x14ac:dyDescent="0.2">
      <c r="A28" s="25" t="s">
        <v>83</v>
      </c>
      <c r="B28" s="9">
        <v>0.5</v>
      </c>
    </row>
    <row r="29" spans="1:2" ht="15" customHeight="1" x14ac:dyDescent="0.25">
      <c r="A29" s="25" t="s">
        <v>3436</v>
      </c>
      <c r="B29" s="9">
        <v>43</v>
      </c>
    </row>
    <row r="30" spans="1:2" ht="15" customHeight="1" x14ac:dyDescent="0.2">
      <c r="A30" s="25" t="s">
        <v>102</v>
      </c>
      <c r="B30" s="9">
        <v>3</v>
      </c>
    </row>
    <row r="32" spans="1:2" ht="15" customHeight="1" x14ac:dyDescent="0.2">
      <c r="A32" s="9" t="s">
        <v>84</v>
      </c>
      <c r="B32" s="12">
        <f>B25*B26*(B29+B30-B27)</f>
        <v>400</v>
      </c>
    </row>
    <row r="34" spans="1:2" ht="15" customHeight="1" x14ac:dyDescent="0.2">
      <c r="A34" s="8" t="s">
        <v>642</v>
      </c>
    </row>
    <row r="35" spans="1:2" ht="15" customHeight="1" x14ac:dyDescent="0.2">
      <c r="A35" s="8" t="s">
        <v>643</v>
      </c>
    </row>
    <row r="36" spans="1:2" ht="15" customHeight="1" x14ac:dyDescent="0.2">
      <c r="A36" s="9" t="s">
        <v>644</v>
      </c>
    </row>
    <row r="37" spans="1:2" ht="15" customHeight="1" x14ac:dyDescent="0.2">
      <c r="A37" s="9" t="s">
        <v>645</v>
      </c>
    </row>
    <row r="38" spans="1:2" ht="15" customHeight="1" x14ac:dyDescent="0.2">
      <c r="A38" s="9" t="s">
        <v>646</v>
      </c>
    </row>
    <row r="39" spans="1:2" ht="15" customHeight="1" x14ac:dyDescent="0.2">
      <c r="A39" s="9" t="s">
        <v>647</v>
      </c>
    </row>
    <row r="41" spans="1:2" ht="15" customHeight="1" x14ac:dyDescent="0.2">
      <c r="A41" s="9" t="s">
        <v>80</v>
      </c>
    </row>
    <row r="43" spans="1:2" ht="15" customHeight="1" x14ac:dyDescent="0.2">
      <c r="A43" s="9" t="s">
        <v>648</v>
      </c>
    </row>
    <row r="44" spans="1:2" ht="15" customHeight="1" x14ac:dyDescent="0.2">
      <c r="A44" s="8"/>
    </row>
    <row r="45" spans="1:2" ht="15" customHeight="1" x14ac:dyDescent="0.25">
      <c r="A45" s="25" t="s">
        <v>3451</v>
      </c>
      <c r="B45" s="9">
        <v>30</v>
      </c>
    </row>
    <row r="46" spans="1:2" ht="15" customHeight="1" x14ac:dyDescent="0.2">
      <c r="A46" s="25" t="s">
        <v>99</v>
      </c>
      <c r="B46" s="21">
        <v>0.1</v>
      </c>
    </row>
    <row r="47" spans="1:2" ht="15" customHeight="1" x14ac:dyDescent="0.2">
      <c r="A47" s="25" t="s">
        <v>83</v>
      </c>
      <c r="B47" s="9">
        <v>3</v>
      </c>
    </row>
    <row r="49" spans="1:2" ht="15" customHeight="1" x14ac:dyDescent="0.25">
      <c r="A49" s="25" t="s">
        <v>3656</v>
      </c>
      <c r="B49" s="15">
        <f>B45*EXP(B46*B47)</f>
        <v>40.495764227280098</v>
      </c>
    </row>
    <row r="51" spans="1:2" ht="15" customHeight="1" x14ac:dyDescent="0.2">
      <c r="A51" s="8" t="s">
        <v>650</v>
      </c>
    </row>
    <row r="52" spans="1:2" ht="15" customHeight="1" x14ac:dyDescent="0.2">
      <c r="A52" s="8" t="s">
        <v>651</v>
      </c>
    </row>
    <row r="53" spans="1:2" ht="15" customHeight="1" x14ac:dyDescent="0.2">
      <c r="A53" s="9" t="s">
        <v>652</v>
      </c>
    </row>
    <row r="54" spans="1:2" ht="15" customHeight="1" x14ac:dyDescent="0.2">
      <c r="A54" s="9" t="s">
        <v>653</v>
      </c>
    </row>
    <row r="55" spans="1:2" ht="15" customHeight="1" x14ac:dyDescent="0.2">
      <c r="A55" s="9" t="s">
        <v>654</v>
      </c>
    </row>
    <row r="56" spans="1:2" ht="15" customHeight="1" x14ac:dyDescent="0.2">
      <c r="A56" s="9" t="s">
        <v>655</v>
      </c>
    </row>
    <row r="58" spans="1:2" ht="15" customHeight="1" x14ac:dyDescent="0.2">
      <c r="A58" s="9" t="s">
        <v>88</v>
      </c>
    </row>
    <row r="60" spans="1:2" ht="15" customHeight="1" x14ac:dyDescent="0.2">
      <c r="A60" s="9" t="s">
        <v>3933</v>
      </c>
    </row>
    <row r="61" spans="1:2" ht="15" customHeight="1" x14ac:dyDescent="0.2">
      <c r="A61" s="9" t="s">
        <v>656</v>
      </c>
    </row>
    <row r="62" spans="1:2" ht="15" customHeight="1" x14ac:dyDescent="0.2">
      <c r="A62" s="9" t="s">
        <v>657</v>
      </c>
    </row>
    <row r="63" spans="1:2" ht="15" customHeight="1" x14ac:dyDescent="0.2">
      <c r="A63" s="8"/>
    </row>
    <row r="64" spans="1:2" ht="15" customHeight="1" x14ac:dyDescent="0.25">
      <c r="A64" s="25" t="s">
        <v>3451</v>
      </c>
      <c r="B64" s="9">
        <v>30</v>
      </c>
    </row>
    <row r="65" spans="1:2" ht="15" customHeight="1" x14ac:dyDescent="0.2">
      <c r="A65" s="25" t="s">
        <v>99</v>
      </c>
      <c r="B65" s="21">
        <v>0.1</v>
      </c>
    </row>
    <row r="66" spans="1:2" ht="15" customHeight="1" x14ac:dyDescent="0.2">
      <c r="A66" s="25" t="s">
        <v>83</v>
      </c>
      <c r="B66" s="9">
        <v>3</v>
      </c>
    </row>
    <row r="67" spans="1:2" ht="15" customHeight="1" x14ac:dyDescent="0.25">
      <c r="A67" s="25" t="s">
        <v>3639</v>
      </c>
      <c r="B67" s="9">
        <v>2</v>
      </c>
    </row>
    <row r="68" spans="1:2" ht="15" customHeight="1" x14ac:dyDescent="0.25">
      <c r="A68" s="25" t="s">
        <v>3934</v>
      </c>
      <c r="B68" s="9">
        <v>2</v>
      </c>
    </row>
    <row r="69" spans="1:2" ht="15" customHeight="1" x14ac:dyDescent="0.25">
      <c r="A69" s="35" t="s">
        <v>3935</v>
      </c>
      <c r="B69" s="9">
        <v>1</v>
      </c>
    </row>
    <row r="70" spans="1:2" ht="15" customHeight="1" x14ac:dyDescent="0.25">
      <c r="A70" s="35" t="s">
        <v>3936</v>
      </c>
      <c r="B70" s="9">
        <v>2</v>
      </c>
    </row>
    <row r="71" spans="1:2" ht="15" customHeight="1" x14ac:dyDescent="0.2">
      <c r="A71" s="35"/>
    </row>
    <row r="72" spans="1:2" ht="15" customHeight="1" x14ac:dyDescent="0.2">
      <c r="A72" s="33" t="s">
        <v>649</v>
      </c>
      <c r="B72" s="15">
        <f>B67*EXP(-B46*B69)+B68*EXP(-B46*B70)</f>
        <v>3.4471363422278829</v>
      </c>
    </row>
    <row r="73" spans="1:2" ht="15" customHeight="1" x14ac:dyDescent="0.25">
      <c r="A73" s="25" t="s">
        <v>3937</v>
      </c>
      <c r="B73" s="15">
        <f>B64-B72</f>
        <v>26.552863657772118</v>
      </c>
    </row>
    <row r="74" spans="1:2" ht="15" customHeight="1" x14ac:dyDescent="0.25">
      <c r="A74" s="25" t="s">
        <v>3656</v>
      </c>
      <c r="B74" s="15">
        <f>(B45-B67*EXP(-B46*B69)-B68*EXP(-B46*B70))*EXP(B46*B47)</f>
        <v>35.842616874808456</v>
      </c>
    </row>
    <row r="75" spans="1:2" ht="15" customHeight="1" x14ac:dyDescent="0.2">
      <c r="A75" s="18"/>
    </row>
    <row r="76" spans="1:2" ht="15" customHeight="1" x14ac:dyDescent="0.25">
      <c r="A76" s="8" t="s">
        <v>3938</v>
      </c>
    </row>
    <row r="77" spans="1:2" ht="15" customHeight="1" x14ac:dyDescent="0.25">
      <c r="A77" s="8" t="s">
        <v>3939</v>
      </c>
    </row>
    <row r="78" spans="1:2" ht="15" customHeight="1" x14ac:dyDescent="0.2">
      <c r="A78" s="9" t="s">
        <v>658</v>
      </c>
    </row>
    <row r="79" spans="1:2" ht="15" customHeight="1" x14ac:dyDescent="0.2">
      <c r="A79" s="9" t="s">
        <v>659</v>
      </c>
    </row>
    <row r="80" spans="1:2" ht="15" customHeight="1" x14ac:dyDescent="0.2">
      <c r="A80" s="9" t="s">
        <v>660</v>
      </c>
    </row>
    <row r="81" spans="1:2" ht="15" customHeight="1" x14ac:dyDescent="0.2">
      <c r="A81" s="9" t="s">
        <v>661</v>
      </c>
    </row>
    <row r="83" spans="1:2" ht="15" customHeight="1" x14ac:dyDescent="0.2">
      <c r="A83" s="9" t="s">
        <v>110</v>
      </c>
    </row>
    <row r="85" spans="1:2" ht="15" customHeight="1" x14ac:dyDescent="0.2">
      <c r="A85" s="9" t="s">
        <v>662</v>
      </c>
    </row>
    <row r="87" spans="1:2" ht="15" customHeight="1" x14ac:dyDescent="0.25">
      <c r="A87" s="25" t="s">
        <v>3451</v>
      </c>
      <c r="B87" s="16">
        <v>0.7</v>
      </c>
    </row>
    <row r="88" spans="1:2" ht="15" customHeight="1" x14ac:dyDescent="0.2">
      <c r="A88" s="25" t="s">
        <v>99</v>
      </c>
      <c r="B88" s="21">
        <v>0.05</v>
      </c>
    </row>
    <row r="89" spans="1:2" ht="15" customHeight="1" x14ac:dyDescent="0.25">
      <c r="A89" s="25" t="s">
        <v>3703</v>
      </c>
      <c r="B89" s="21">
        <v>7.0000000000000007E-2</v>
      </c>
    </row>
    <row r="90" spans="1:2" ht="15" customHeight="1" x14ac:dyDescent="0.2">
      <c r="A90" s="25" t="s">
        <v>83</v>
      </c>
      <c r="B90" s="9">
        <v>0.5</v>
      </c>
    </row>
    <row r="92" spans="1:2" ht="15" customHeight="1" x14ac:dyDescent="0.25">
      <c r="A92" s="25" t="s">
        <v>3656</v>
      </c>
      <c r="B92" s="17">
        <f>B87*EXP((B88-B89)*B90)</f>
        <v>0.69303488362441767</v>
      </c>
    </row>
    <row r="94" spans="1:2" ht="15" customHeight="1" x14ac:dyDescent="0.2">
      <c r="A94" s="8" t="s">
        <v>629</v>
      </c>
    </row>
    <row r="95" spans="1:2" ht="15" customHeight="1" x14ac:dyDescent="0.2">
      <c r="A95" s="9" t="s">
        <v>3940</v>
      </c>
    </row>
    <row r="96" spans="1:2" ht="15" customHeight="1" x14ac:dyDescent="0.2">
      <c r="A96" s="9" t="s">
        <v>3941</v>
      </c>
    </row>
    <row r="97" spans="1:1" ht="15" customHeight="1" x14ac:dyDescent="0.2">
      <c r="A97" s="9" t="s">
        <v>3942</v>
      </c>
    </row>
    <row r="98" spans="1:1" ht="15" customHeight="1" x14ac:dyDescent="0.2">
      <c r="A98" s="9" t="s">
        <v>3943</v>
      </c>
    </row>
    <row r="100" spans="1:1" ht="15" customHeight="1" x14ac:dyDescent="0.2">
      <c r="A100" s="9" t="s">
        <v>80</v>
      </c>
    </row>
    <row r="102" spans="1:1" ht="15" customHeight="1" x14ac:dyDescent="0.2">
      <c r="A102" s="9" t="s">
        <v>663</v>
      </c>
    </row>
    <row r="103" spans="1:1" ht="15" customHeight="1" x14ac:dyDescent="0.2">
      <c r="A103" s="9" t="s">
        <v>664</v>
      </c>
    </row>
    <row r="105" spans="1:1" ht="15" customHeight="1" x14ac:dyDescent="0.2">
      <c r="A105" s="8" t="s">
        <v>630</v>
      </c>
    </row>
    <row r="106" spans="1:1" ht="15" customHeight="1" x14ac:dyDescent="0.25">
      <c r="A106" s="8" t="s">
        <v>3944</v>
      </c>
    </row>
    <row r="107" spans="1:1" ht="15" customHeight="1" x14ac:dyDescent="0.2">
      <c r="A107" s="9" t="s">
        <v>665</v>
      </c>
    </row>
    <row r="108" spans="1:1" ht="15" customHeight="1" x14ac:dyDescent="0.2">
      <c r="A108" s="9" t="s">
        <v>666</v>
      </c>
    </row>
    <row r="109" spans="1:1" ht="15" customHeight="1" x14ac:dyDescent="0.2">
      <c r="A109" s="9" t="s">
        <v>667</v>
      </c>
    </row>
    <row r="110" spans="1:1" ht="15" customHeight="1" x14ac:dyDescent="0.2">
      <c r="A110" s="9" t="s">
        <v>668</v>
      </c>
    </row>
    <row r="112" spans="1:1" ht="15" customHeight="1" x14ac:dyDescent="0.2">
      <c r="A112" s="9" t="s">
        <v>110</v>
      </c>
    </row>
    <row r="114" spans="1:2" ht="15" customHeight="1" x14ac:dyDescent="0.2">
      <c r="A114" s="9" t="s">
        <v>3945</v>
      </c>
    </row>
    <row r="115" spans="1:2" ht="15" customHeight="1" x14ac:dyDescent="0.2">
      <c r="A115" s="8"/>
    </row>
    <row r="116" spans="1:2" ht="15" customHeight="1" x14ac:dyDescent="0.2">
      <c r="A116" s="9" t="s">
        <v>81</v>
      </c>
      <c r="B116" s="9">
        <v>-1</v>
      </c>
    </row>
    <row r="117" spans="1:2" ht="15" customHeight="1" x14ac:dyDescent="0.2">
      <c r="A117" s="25" t="s">
        <v>82</v>
      </c>
      <c r="B117" s="9">
        <v>40</v>
      </c>
    </row>
    <row r="118" spans="1:2" ht="15" customHeight="1" x14ac:dyDescent="0.2">
      <c r="A118" s="25" t="s">
        <v>83</v>
      </c>
      <c r="B118" s="9">
        <v>0.25</v>
      </c>
    </row>
    <row r="119" spans="1:2" ht="15" customHeight="1" x14ac:dyDescent="0.25">
      <c r="A119" s="25" t="s">
        <v>3656</v>
      </c>
      <c r="B119" s="9">
        <f>42</f>
        <v>42</v>
      </c>
    </row>
    <row r="120" spans="1:2" ht="15" customHeight="1" x14ac:dyDescent="0.2">
      <c r="A120" s="25" t="s">
        <v>99</v>
      </c>
      <c r="B120" s="21">
        <v>0.08</v>
      </c>
    </row>
    <row r="122" spans="1:2" ht="15" customHeight="1" x14ac:dyDescent="0.2">
      <c r="A122" s="66" t="s">
        <v>3946</v>
      </c>
      <c r="B122" s="15">
        <f>B116*(B119-B117)*EXP(-B120*B118)</f>
        <v>-1.9603973466135105</v>
      </c>
    </row>
    <row r="124" spans="1:2" ht="15" customHeight="1" x14ac:dyDescent="0.2">
      <c r="A124" s="8" t="s">
        <v>631</v>
      </c>
    </row>
    <row r="125" spans="1:2" ht="15" customHeight="1" x14ac:dyDescent="0.2">
      <c r="A125" s="9" t="s">
        <v>3947</v>
      </c>
    </row>
    <row r="126" spans="1:2" ht="15" customHeight="1" x14ac:dyDescent="0.2">
      <c r="A126" s="9" t="s">
        <v>3948</v>
      </c>
    </row>
    <row r="127" spans="1:2" ht="15" customHeight="1" x14ac:dyDescent="0.2">
      <c r="A127" s="9" t="s">
        <v>3949</v>
      </c>
    </row>
    <row r="128" spans="1:2" ht="15" customHeight="1" x14ac:dyDescent="0.2">
      <c r="A128" s="9" t="s">
        <v>3950</v>
      </c>
    </row>
    <row r="130" spans="1:1" ht="15" customHeight="1" x14ac:dyDescent="0.2">
      <c r="A130" s="9" t="s">
        <v>98</v>
      </c>
    </row>
    <row r="132" spans="1:1" ht="15" customHeight="1" x14ac:dyDescent="0.2">
      <c r="A132" s="9" t="s">
        <v>669</v>
      </c>
    </row>
    <row r="133" spans="1:1" ht="15" customHeight="1" x14ac:dyDescent="0.2">
      <c r="A133" s="9" t="s">
        <v>670</v>
      </c>
    </row>
    <row r="135" spans="1:1" ht="15" customHeight="1" x14ac:dyDescent="0.2">
      <c r="A135" s="8" t="s">
        <v>671</v>
      </c>
    </row>
    <row r="136" spans="1:1" ht="15" customHeight="1" x14ac:dyDescent="0.2">
      <c r="A136" s="9" t="s">
        <v>672</v>
      </c>
    </row>
    <row r="137" spans="1:1" ht="15" customHeight="1" x14ac:dyDescent="0.2">
      <c r="A137" s="9" t="s">
        <v>673</v>
      </c>
    </row>
    <row r="138" spans="1:1" ht="15" customHeight="1" x14ac:dyDescent="0.2">
      <c r="A138" s="9" t="s">
        <v>674</v>
      </c>
    </row>
    <row r="139" spans="1:1" ht="15" customHeight="1" x14ac:dyDescent="0.2">
      <c r="A139" s="9" t="s">
        <v>675</v>
      </c>
    </row>
    <row r="141" spans="1:1" ht="15" customHeight="1" x14ac:dyDescent="0.2">
      <c r="A141" s="9" t="s">
        <v>80</v>
      </c>
    </row>
    <row r="143" spans="1:1" ht="15" customHeight="1" x14ac:dyDescent="0.2">
      <c r="A143" s="9" t="s">
        <v>676</v>
      </c>
    </row>
    <row r="144" spans="1:1" ht="15" customHeight="1" x14ac:dyDescent="0.2">
      <c r="A144" s="9" t="s">
        <v>677</v>
      </c>
    </row>
    <row r="146" spans="1:1" ht="15" customHeight="1" x14ac:dyDescent="0.2">
      <c r="A146" s="8" t="s">
        <v>678</v>
      </c>
    </row>
    <row r="147" spans="1:1" ht="15" customHeight="1" x14ac:dyDescent="0.2">
      <c r="A147" s="9" t="s">
        <v>672</v>
      </c>
    </row>
    <row r="148" spans="1:1" ht="15" customHeight="1" x14ac:dyDescent="0.2">
      <c r="A148" s="9" t="s">
        <v>673</v>
      </c>
    </row>
    <row r="149" spans="1:1" ht="15" customHeight="1" x14ac:dyDescent="0.2">
      <c r="A149" s="9" t="s">
        <v>679</v>
      </c>
    </row>
    <row r="150" spans="1:1" ht="15" customHeight="1" x14ac:dyDescent="0.2">
      <c r="A150" s="9" t="s">
        <v>680</v>
      </c>
    </row>
    <row r="152" spans="1:1" ht="15" customHeight="1" x14ac:dyDescent="0.2">
      <c r="A152" s="9" t="s">
        <v>98</v>
      </c>
    </row>
    <row r="154" spans="1:1" ht="15" customHeight="1" x14ac:dyDescent="0.2">
      <c r="A154" s="9" t="s">
        <v>676</v>
      </c>
    </row>
    <row r="155" spans="1:1" ht="15" customHeight="1" x14ac:dyDescent="0.2">
      <c r="A155" s="9" t="s">
        <v>677</v>
      </c>
    </row>
    <row r="157" spans="1:1" ht="15" customHeight="1" x14ac:dyDescent="0.2">
      <c r="A157" s="8" t="s">
        <v>681</v>
      </c>
    </row>
    <row r="158" spans="1:1" ht="15" customHeight="1" x14ac:dyDescent="0.2">
      <c r="A158" s="9" t="s">
        <v>682</v>
      </c>
    </row>
    <row r="159" spans="1:1" ht="15" customHeight="1" x14ac:dyDescent="0.2">
      <c r="A159" s="9" t="s">
        <v>683</v>
      </c>
    </row>
    <row r="160" spans="1:1" ht="15" customHeight="1" x14ac:dyDescent="0.2">
      <c r="A160" s="9" t="s">
        <v>684</v>
      </c>
    </row>
    <row r="161" spans="1:1" ht="15" customHeight="1" x14ac:dyDescent="0.2">
      <c r="A161" s="9" t="s">
        <v>685</v>
      </c>
    </row>
    <row r="163" spans="1:1" ht="15" customHeight="1" x14ac:dyDescent="0.2">
      <c r="A163" s="9" t="s">
        <v>88</v>
      </c>
    </row>
    <row r="165" spans="1:1" ht="15" customHeight="1" x14ac:dyDescent="0.2">
      <c r="A165" s="9" t="s">
        <v>686</v>
      </c>
    </row>
    <row r="167" spans="1:1" ht="15" customHeight="1" x14ac:dyDescent="0.2">
      <c r="A167" s="8" t="s">
        <v>687</v>
      </c>
    </row>
    <row r="168" spans="1:1" ht="15" customHeight="1" x14ac:dyDescent="0.2">
      <c r="A168" s="9" t="s">
        <v>688</v>
      </c>
    </row>
    <row r="169" spans="1:1" ht="15" customHeight="1" x14ac:dyDescent="0.2">
      <c r="A169" s="9" t="s">
        <v>689</v>
      </c>
    </row>
    <row r="170" spans="1:1" ht="15" customHeight="1" x14ac:dyDescent="0.2">
      <c r="A170" s="9" t="s">
        <v>690</v>
      </c>
    </row>
    <row r="171" spans="1:1" ht="15" customHeight="1" x14ac:dyDescent="0.2">
      <c r="A171" s="9" t="s">
        <v>691</v>
      </c>
    </row>
    <row r="173" spans="1:1" ht="15" customHeight="1" x14ac:dyDescent="0.2">
      <c r="A173" s="9" t="s">
        <v>98</v>
      </c>
    </row>
    <row r="175" spans="1:1" ht="15" customHeight="1" x14ac:dyDescent="0.2">
      <c r="A175" s="9" t="s">
        <v>692</v>
      </c>
    </row>
    <row r="177" spans="1:1" ht="15" customHeight="1" x14ac:dyDescent="0.2">
      <c r="A177" s="8" t="s">
        <v>693</v>
      </c>
    </row>
    <row r="178" spans="1:1" ht="15" customHeight="1" x14ac:dyDescent="0.2">
      <c r="A178" s="9" t="s">
        <v>694</v>
      </c>
    </row>
    <row r="179" spans="1:1" ht="15" customHeight="1" x14ac:dyDescent="0.2">
      <c r="A179" s="9" t="s">
        <v>695</v>
      </c>
    </row>
    <row r="180" spans="1:1" ht="15" customHeight="1" x14ac:dyDescent="0.2">
      <c r="A180" s="9" t="s">
        <v>696</v>
      </c>
    </row>
    <row r="181" spans="1:1" ht="15" customHeight="1" x14ac:dyDescent="0.2">
      <c r="A181" s="9" t="s">
        <v>697</v>
      </c>
    </row>
    <row r="183" spans="1:1" ht="15" customHeight="1" x14ac:dyDescent="0.2">
      <c r="A183" s="9" t="s">
        <v>110</v>
      </c>
    </row>
    <row r="185" spans="1:1" ht="15" customHeight="1" x14ac:dyDescent="0.2">
      <c r="A185" s="9" t="s">
        <v>698</v>
      </c>
    </row>
    <row r="187" spans="1:1" ht="15" customHeight="1" x14ac:dyDescent="0.2">
      <c r="A187" s="8" t="s">
        <v>699</v>
      </c>
    </row>
    <row r="188" spans="1:1" ht="15" customHeight="1" x14ac:dyDescent="0.2">
      <c r="A188" s="9" t="s">
        <v>700</v>
      </c>
    </row>
    <row r="189" spans="1:1" ht="15" customHeight="1" x14ac:dyDescent="0.2">
      <c r="A189" s="9" t="s">
        <v>701</v>
      </c>
    </row>
    <row r="190" spans="1:1" ht="15" customHeight="1" x14ac:dyDescent="0.2">
      <c r="A190" s="9" t="s">
        <v>702</v>
      </c>
    </row>
    <row r="191" spans="1:1" ht="15" customHeight="1" x14ac:dyDescent="0.2">
      <c r="A191" s="9" t="s">
        <v>703</v>
      </c>
    </row>
    <row r="193" spans="1:1" ht="15" customHeight="1" x14ac:dyDescent="0.2">
      <c r="A193" s="9" t="s">
        <v>80</v>
      </c>
    </row>
    <row r="195" spans="1:1" ht="15" customHeight="1" x14ac:dyDescent="0.2">
      <c r="A195" s="9" t="s">
        <v>704</v>
      </c>
    </row>
    <row r="197" spans="1:1" ht="15" customHeight="1" x14ac:dyDescent="0.2">
      <c r="A197" s="8" t="s">
        <v>705</v>
      </c>
    </row>
    <row r="198" spans="1:1" ht="15" customHeight="1" x14ac:dyDescent="0.2">
      <c r="A198" s="9" t="s">
        <v>706</v>
      </c>
    </row>
    <row r="199" spans="1:1" ht="15" customHeight="1" x14ac:dyDescent="0.2">
      <c r="A199" s="9" t="s">
        <v>707</v>
      </c>
    </row>
    <row r="200" spans="1:1" ht="15" customHeight="1" x14ac:dyDescent="0.2">
      <c r="A200" s="9" t="s">
        <v>708</v>
      </c>
    </row>
    <row r="201" spans="1:1" ht="15" customHeight="1" x14ac:dyDescent="0.2">
      <c r="A201" s="9" t="s">
        <v>709</v>
      </c>
    </row>
    <row r="203" spans="1:1" ht="15" customHeight="1" x14ac:dyDescent="0.2">
      <c r="A203" s="9" t="s">
        <v>88</v>
      </c>
    </row>
    <row r="205" spans="1:1" ht="15" customHeight="1" x14ac:dyDescent="0.2">
      <c r="A205" s="9" t="s">
        <v>710</v>
      </c>
    </row>
    <row r="207" spans="1:1" ht="15" customHeight="1" x14ac:dyDescent="0.2">
      <c r="A207" s="8" t="s">
        <v>711</v>
      </c>
    </row>
    <row r="208" spans="1:1" ht="15" customHeight="1" x14ac:dyDescent="0.2">
      <c r="A208" s="9" t="s">
        <v>706</v>
      </c>
    </row>
    <row r="209" spans="1:1" ht="15" customHeight="1" x14ac:dyDescent="0.2">
      <c r="A209" s="9" t="s">
        <v>707</v>
      </c>
    </row>
    <row r="210" spans="1:1" ht="15" customHeight="1" x14ac:dyDescent="0.2">
      <c r="A210" s="9" t="s">
        <v>708</v>
      </c>
    </row>
    <row r="211" spans="1:1" ht="15" customHeight="1" x14ac:dyDescent="0.2">
      <c r="A211" s="9" t="s">
        <v>709</v>
      </c>
    </row>
    <row r="213" spans="1:1" ht="15" customHeight="1" x14ac:dyDescent="0.2">
      <c r="A213" s="9" t="s">
        <v>88</v>
      </c>
    </row>
    <row r="215" spans="1:1" ht="15" customHeight="1" x14ac:dyDescent="0.2">
      <c r="A215" s="9" t="s">
        <v>712</v>
      </c>
    </row>
    <row r="217" spans="1:1" ht="15" customHeight="1" x14ac:dyDescent="0.2">
      <c r="A217" s="8" t="s">
        <v>713</v>
      </c>
    </row>
    <row r="218" spans="1:1" ht="15" customHeight="1" x14ac:dyDescent="0.2">
      <c r="A218" s="9" t="s">
        <v>714</v>
      </c>
    </row>
    <row r="219" spans="1:1" ht="15" customHeight="1" x14ac:dyDescent="0.2">
      <c r="A219" s="9" t="s">
        <v>715</v>
      </c>
    </row>
    <row r="220" spans="1:1" ht="15" customHeight="1" x14ac:dyDescent="0.2">
      <c r="A220" s="9" t="s">
        <v>716</v>
      </c>
    </row>
    <row r="221" spans="1:1" ht="15" customHeight="1" x14ac:dyDescent="0.2">
      <c r="A221" s="9" t="s">
        <v>717</v>
      </c>
    </row>
    <row r="223" spans="1:1" ht="15" customHeight="1" x14ac:dyDescent="0.2">
      <c r="A223" s="9" t="s">
        <v>98</v>
      </c>
    </row>
    <row r="225" spans="1:1" ht="15" customHeight="1" x14ac:dyDescent="0.2">
      <c r="A225" s="9" t="s">
        <v>718</v>
      </c>
    </row>
    <row r="227" spans="1:1" ht="15" customHeight="1" x14ac:dyDescent="0.2">
      <c r="A227" s="8" t="s">
        <v>719</v>
      </c>
    </row>
    <row r="228" spans="1:1" ht="15" customHeight="1" x14ac:dyDescent="0.2">
      <c r="A228" s="9" t="s">
        <v>720</v>
      </c>
    </row>
    <row r="229" spans="1:1" ht="15" customHeight="1" x14ac:dyDescent="0.2">
      <c r="A229" s="9" t="s">
        <v>721</v>
      </c>
    </row>
    <row r="230" spans="1:1" ht="15" customHeight="1" x14ac:dyDescent="0.2">
      <c r="A230" s="9" t="s">
        <v>722</v>
      </c>
    </row>
    <row r="231" spans="1:1" ht="15" customHeight="1" x14ac:dyDescent="0.2">
      <c r="A231" s="9" t="s">
        <v>723</v>
      </c>
    </row>
    <row r="233" spans="1:1" ht="15" customHeight="1" x14ac:dyDescent="0.2">
      <c r="A233" s="9" t="s">
        <v>80</v>
      </c>
    </row>
    <row r="235" spans="1:1" ht="15" customHeight="1" x14ac:dyDescent="0.2">
      <c r="A235" s="9" t="s">
        <v>724</v>
      </c>
    </row>
    <row r="236" spans="1:1" ht="15" customHeight="1" x14ac:dyDescent="0.2">
      <c r="A236" s="9" t="s">
        <v>725</v>
      </c>
    </row>
    <row r="238" spans="1:1" ht="15" customHeight="1" x14ac:dyDescent="0.2">
      <c r="A238" s="8" t="s">
        <v>726</v>
      </c>
    </row>
    <row r="239" spans="1:1" ht="15" customHeight="1" x14ac:dyDescent="0.2">
      <c r="A239" s="9" t="s">
        <v>727</v>
      </c>
    </row>
    <row r="240" spans="1:1" ht="15" customHeight="1" x14ac:dyDescent="0.2">
      <c r="A240" s="9" t="s">
        <v>728</v>
      </c>
    </row>
    <row r="241" spans="1:1" ht="15" customHeight="1" x14ac:dyDescent="0.2">
      <c r="A241" s="9" t="s">
        <v>729</v>
      </c>
    </row>
    <row r="242" spans="1:1" ht="15" customHeight="1" x14ac:dyDescent="0.2">
      <c r="A242" s="9" t="s">
        <v>730</v>
      </c>
    </row>
    <row r="244" spans="1:1" ht="15" customHeight="1" x14ac:dyDescent="0.2">
      <c r="A244" s="9" t="s">
        <v>110</v>
      </c>
    </row>
    <row r="246" spans="1:1" ht="15" customHeight="1" x14ac:dyDescent="0.2">
      <c r="A246" s="9" t="s">
        <v>731</v>
      </c>
    </row>
    <row r="248" spans="1:1" ht="15" customHeight="1" x14ac:dyDescent="0.2">
      <c r="A248" s="8" t="s">
        <v>3321</v>
      </c>
    </row>
    <row r="249" spans="1:1" ht="15" customHeight="1" x14ac:dyDescent="0.2">
      <c r="A249" s="9" t="s">
        <v>3322</v>
      </c>
    </row>
    <row r="250" spans="1:1" ht="15" customHeight="1" x14ac:dyDescent="0.2">
      <c r="A250" s="9" t="s">
        <v>732</v>
      </c>
    </row>
    <row r="251" spans="1:1" ht="15" customHeight="1" x14ac:dyDescent="0.2">
      <c r="A251" s="9" t="s">
        <v>3323</v>
      </c>
    </row>
    <row r="252" spans="1:1" ht="15" customHeight="1" x14ac:dyDescent="0.2">
      <c r="A252" s="9" t="s">
        <v>733</v>
      </c>
    </row>
    <row r="254" spans="1:1" ht="15" customHeight="1" x14ac:dyDescent="0.2">
      <c r="A254" s="9" t="s">
        <v>98</v>
      </c>
    </row>
    <row r="256" spans="1:1" ht="15" customHeight="1" x14ac:dyDescent="0.2">
      <c r="A256" s="9" t="s">
        <v>3324</v>
      </c>
    </row>
    <row r="257" spans="1:1" ht="15" customHeight="1" x14ac:dyDescent="0.2">
      <c r="A257" s="9" t="s">
        <v>3325</v>
      </c>
    </row>
    <row r="258" spans="1:1" ht="15" customHeight="1" x14ac:dyDescent="0.2">
      <c r="A258" s="9" t="s">
        <v>3326</v>
      </c>
    </row>
    <row r="259" spans="1:1" ht="15" customHeight="1" x14ac:dyDescent="0.2">
      <c r="A259" s="9" t="s">
        <v>3327</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6">
    <tabColor rgb="FF536878"/>
    <pageSetUpPr fitToPage="1"/>
  </sheetPr>
  <dimension ref="A1:P266"/>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3.85546875" style="9" customWidth="1"/>
    <col min="2" max="2" width="13.5703125" style="9" customWidth="1"/>
    <col min="3" max="16384" width="9.140625" style="9"/>
  </cols>
  <sheetData>
    <row r="1" spans="1:16" ht="15" customHeight="1" x14ac:dyDescent="0.2">
      <c r="A1" s="75" t="s">
        <v>11</v>
      </c>
      <c r="B1" s="76"/>
      <c r="C1" s="76"/>
      <c r="D1" s="76"/>
      <c r="E1" s="76"/>
      <c r="F1" s="76"/>
      <c r="G1" s="76"/>
      <c r="H1" s="76"/>
      <c r="I1" s="76"/>
      <c r="J1" s="76"/>
      <c r="K1" s="76"/>
      <c r="L1" s="76"/>
      <c r="M1" s="76"/>
      <c r="N1" s="76"/>
      <c r="O1" s="76"/>
      <c r="P1" s="76"/>
    </row>
    <row r="3" spans="1:16" ht="15" customHeight="1" x14ac:dyDescent="0.2">
      <c r="A3" s="8" t="s">
        <v>773</v>
      </c>
    </row>
    <row r="4" spans="1:16" ht="15" customHeight="1" x14ac:dyDescent="0.2">
      <c r="A4" s="9" t="s">
        <v>64</v>
      </c>
    </row>
    <row r="5" spans="1:16" ht="15" customHeight="1" x14ac:dyDescent="0.2">
      <c r="A5" s="9" t="s">
        <v>65</v>
      </c>
    </row>
    <row r="6" spans="1:16" ht="15" customHeight="1" x14ac:dyDescent="0.2">
      <c r="A6" s="9" t="s">
        <v>66</v>
      </c>
    </row>
    <row r="7" spans="1:16" ht="15" customHeight="1" x14ac:dyDescent="0.2">
      <c r="A7" s="9" t="s">
        <v>67</v>
      </c>
    </row>
    <row r="9" spans="1:16" ht="15" customHeight="1" x14ac:dyDescent="0.2">
      <c r="A9" s="9" t="s">
        <v>98</v>
      </c>
    </row>
    <row r="11" spans="1:16" ht="15" customHeight="1" x14ac:dyDescent="0.2">
      <c r="A11" s="9" t="s">
        <v>734</v>
      </c>
    </row>
    <row r="13" spans="1:16" ht="15" customHeight="1" x14ac:dyDescent="0.2">
      <c r="A13" s="8" t="s">
        <v>143</v>
      </c>
    </row>
    <row r="14" spans="1:16" ht="15" customHeight="1" x14ac:dyDescent="0.2">
      <c r="A14" s="9" t="s">
        <v>111</v>
      </c>
    </row>
    <row r="15" spans="1:16" ht="15" customHeight="1" x14ac:dyDescent="0.2">
      <c r="A15" s="9" t="s">
        <v>735</v>
      </c>
    </row>
    <row r="16" spans="1:16" ht="15" customHeight="1" x14ac:dyDescent="0.2">
      <c r="A16" s="9" t="s">
        <v>736</v>
      </c>
    </row>
    <row r="17" spans="1:2" ht="15" customHeight="1" x14ac:dyDescent="0.2">
      <c r="A17" s="9" t="s">
        <v>737</v>
      </c>
    </row>
    <row r="18" spans="1:2" ht="15" customHeight="1" x14ac:dyDescent="0.2">
      <c r="A18" s="9" t="s">
        <v>738</v>
      </c>
    </row>
    <row r="20" spans="1:2" ht="15" customHeight="1" x14ac:dyDescent="0.2">
      <c r="A20" s="9" t="s">
        <v>98</v>
      </c>
    </row>
    <row r="22" spans="1:2" ht="15" customHeight="1" x14ac:dyDescent="0.2">
      <c r="A22" s="9" t="s">
        <v>739</v>
      </c>
    </row>
    <row r="23" spans="1:2" ht="15" customHeight="1" x14ac:dyDescent="0.2">
      <c r="A23" s="9" t="s">
        <v>740</v>
      </c>
    </row>
    <row r="25" spans="1:2" ht="15" customHeight="1" x14ac:dyDescent="0.25">
      <c r="A25" s="25" t="s">
        <v>3919</v>
      </c>
      <c r="B25" s="68">
        <v>38108</v>
      </c>
    </row>
    <row r="26" spans="1:2" ht="15" customHeight="1" x14ac:dyDescent="0.2">
      <c r="A26" s="9" t="s">
        <v>112</v>
      </c>
      <c r="B26" s="68">
        <v>38078</v>
      </c>
    </row>
    <row r="27" spans="1:2" ht="15" customHeight="1" x14ac:dyDescent="0.2">
      <c r="A27" s="9" t="s">
        <v>113</v>
      </c>
      <c r="B27" s="68">
        <v>38261</v>
      </c>
    </row>
    <row r="28" spans="1:2" ht="15" customHeight="1" x14ac:dyDescent="0.2">
      <c r="A28" s="25" t="s">
        <v>108</v>
      </c>
      <c r="B28" s="19">
        <v>100</v>
      </c>
    </row>
    <row r="29" spans="1:2" ht="15" customHeight="1" x14ac:dyDescent="0.2">
      <c r="A29" s="9" t="s">
        <v>115</v>
      </c>
      <c r="B29" s="21">
        <v>0.12</v>
      </c>
    </row>
    <row r="30" spans="1:2" ht="15" customHeight="1" x14ac:dyDescent="0.2">
      <c r="A30" s="25" t="s">
        <v>101</v>
      </c>
      <c r="B30" s="19">
        <v>2</v>
      </c>
    </row>
    <row r="31" spans="1:2" ht="15" customHeight="1" x14ac:dyDescent="0.2">
      <c r="A31" s="9" t="s">
        <v>114</v>
      </c>
      <c r="B31" s="19">
        <v>105</v>
      </c>
    </row>
    <row r="33" spans="1:2" ht="15" customHeight="1" x14ac:dyDescent="0.2">
      <c r="A33" s="9" t="s">
        <v>68</v>
      </c>
      <c r="B33" s="18">
        <f>B31+B28*(B29/B30)*(B25-B26)/(B27-B26)</f>
        <v>105.98360655737704</v>
      </c>
    </row>
    <row r="35" spans="1:2" ht="15" customHeight="1" x14ac:dyDescent="0.2">
      <c r="A35" s="8" t="s">
        <v>741</v>
      </c>
    </row>
    <row r="36" spans="1:2" ht="15" customHeight="1" x14ac:dyDescent="0.2">
      <c r="A36" s="9" t="s">
        <v>735</v>
      </c>
    </row>
    <row r="37" spans="1:2" ht="15" customHeight="1" x14ac:dyDescent="0.2">
      <c r="A37" s="9" t="s">
        <v>736</v>
      </c>
    </row>
    <row r="38" spans="1:2" ht="15" customHeight="1" x14ac:dyDescent="0.2">
      <c r="A38" s="9" t="s">
        <v>737</v>
      </c>
    </row>
    <row r="39" spans="1:2" ht="15" customHeight="1" x14ac:dyDescent="0.2">
      <c r="A39" s="9" t="s">
        <v>738</v>
      </c>
    </row>
    <row r="41" spans="1:2" ht="15" customHeight="1" x14ac:dyDescent="0.2">
      <c r="A41" s="9" t="s">
        <v>80</v>
      </c>
    </row>
    <row r="43" spans="1:2" ht="15" customHeight="1" x14ac:dyDescent="0.2">
      <c r="A43" s="9" t="s">
        <v>742</v>
      </c>
    </row>
    <row r="44" spans="1:2" ht="15" customHeight="1" x14ac:dyDescent="0.2">
      <c r="A44" s="9" t="s">
        <v>743</v>
      </c>
    </row>
    <row r="46" spans="1:2" ht="15" customHeight="1" x14ac:dyDescent="0.25">
      <c r="A46" s="25" t="s">
        <v>3919</v>
      </c>
      <c r="B46" s="68">
        <v>38108</v>
      </c>
    </row>
    <row r="47" spans="1:2" ht="15" customHeight="1" x14ac:dyDescent="0.2">
      <c r="A47" s="9" t="s">
        <v>112</v>
      </c>
      <c r="B47" s="68">
        <v>38078</v>
      </c>
    </row>
    <row r="48" spans="1:2" ht="15" customHeight="1" x14ac:dyDescent="0.2">
      <c r="A48" s="9" t="s">
        <v>113</v>
      </c>
      <c r="B48" s="68">
        <v>38261</v>
      </c>
    </row>
    <row r="49" spans="1:6" ht="15" customHeight="1" x14ac:dyDescent="0.2">
      <c r="A49" s="25" t="s">
        <v>108</v>
      </c>
      <c r="B49" s="19">
        <v>100</v>
      </c>
    </row>
    <row r="50" spans="1:6" ht="15" customHeight="1" x14ac:dyDescent="0.2">
      <c r="A50" s="9" t="s">
        <v>115</v>
      </c>
      <c r="B50" s="21">
        <v>0.12</v>
      </c>
    </row>
    <row r="51" spans="1:6" ht="15" customHeight="1" x14ac:dyDescent="0.2">
      <c r="A51" s="25" t="s">
        <v>101</v>
      </c>
      <c r="B51" s="19">
        <v>2</v>
      </c>
    </row>
    <row r="52" spans="1:6" ht="15" customHeight="1" x14ac:dyDescent="0.2">
      <c r="A52" s="9" t="s">
        <v>114</v>
      </c>
      <c r="B52" s="19">
        <v>105</v>
      </c>
    </row>
    <row r="53" spans="1:6" ht="15" customHeight="1" x14ac:dyDescent="0.2">
      <c r="A53" s="19"/>
    </row>
    <row r="54" spans="1:6" ht="15" customHeight="1" x14ac:dyDescent="0.2">
      <c r="A54" s="9" t="s">
        <v>68</v>
      </c>
      <c r="B54" s="18">
        <f>B52+B49*(B50/B51)*(DAYS360(B47,B46))/180</f>
        <v>106</v>
      </c>
    </row>
    <row r="56" spans="1:6" ht="15" customHeight="1" x14ac:dyDescent="0.2">
      <c r="A56" s="8" t="s">
        <v>144</v>
      </c>
    </row>
    <row r="57" spans="1:6" ht="15" customHeight="1" x14ac:dyDescent="0.2">
      <c r="A57" s="9" t="s">
        <v>80</v>
      </c>
      <c r="B57" s="9" t="s">
        <v>119</v>
      </c>
      <c r="C57" s="9">
        <v>110</v>
      </c>
      <c r="D57" s="9" t="s">
        <v>116</v>
      </c>
      <c r="F57" s="9">
        <v>1.04</v>
      </c>
    </row>
    <row r="58" spans="1:6" ht="15" customHeight="1" x14ac:dyDescent="0.2">
      <c r="A58" s="9" t="s">
        <v>118</v>
      </c>
      <c r="B58" s="9" t="s">
        <v>119</v>
      </c>
      <c r="C58" s="9">
        <v>160</v>
      </c>
      <c r="D58" s="9" t="s">
        <v>116</v>
      </c>
      <c r="F58" s="9">
        <v>1.52</v>
      </c>
    </row>
    <row r="59" spans="1:6" ht="15" customHeight="1" x14ac:dyDescent="0.2">
      <c r="A59" s="9" t="s">
        <v>98</v>
      </c>
      <c r="B59" s="9" t="s">
        <v>119</v>
      </c>
      <c r="C59" s="9">
        <v>131</v>
      </c>
      <c r="D59" s="9" t="s">
        <v>116</v>
      </c>
      <c r="F59" s="9">
        <v>1.25</v>
      </c>
    </row>
    <row r="60" spans="1:6" ht="15" customHeight="1" x14ac:dyDescent="0.2">
      <c r="A60" s="9" t="s">
        <v>120</v>
      </c>
      <c r="B60" s="9" t="s">
        <v>119</v>
      </c>
      <c r="C60" s="9">
        <v>143</v>
      </c>
      <c r="D60" s="9" t="s">
        <v>116</v>
      </c>
      <c r="F60" s="9">
        <v>1.35</v>
      </c>
    </row>
    <row r="62" spans="1:6" ht="15" customHeight="1" x14ac:dyDescent="0.2">
      <c r="A62" s="9" t="s">
        <v>98</v>
      </c>
    </row>
    <row r="64" spans="1:6" ht="15" customHeight="1" x14ac:dyDescent="0.2">
      <c r="A64" s="9" t="s">
        <v>744</v>
      </c>
    </row>
    <row r="65" spans="1:3" ht="15" customHeight="1" x14ac:dyDescent="0.2">
      <c r="A65" s="9" t="s">
        <v>745</v>
      </c>
    </row>
    <row r="67" spans="1:3" ht="15" customHeight="1" x14ac:dyDescent="0.25">
      <c r="A67" s="25" t="s">
        <v>3656</v>
      </c>
      <c r="B67" s="9">
        <v>103.5</v>
      </c>
    </row>
    <row r="68" spans="1:3" ht="15" customHeight="1" x14ac:dyDescent="0.2">
      <c r="A68" s="25" t="s">
        <v>117</v>
      </c>
      <c r="B68" s="9">
        <f>C57-$B$67*F57</f>
        <v>2.3599999999999994</v>
      </c>
      <c r="C68" s="9" t="s">
        <v>80</v>
      </c>
    </row>
    <row r="69" spans="1:3" ht="15" customHeight="1" x14ac:dyDescent="0.2">
      <c r="B69" s="9">
        <f>C58-$B$67*F58</f>
        <v>2.6800000000000068</v>
      </c>
      <c r="C69" s="9" t="s">
        <v>88</v>
      </c>
    </row>
    <row r="70" spans="1:3" ht="15" customHeight="1" x14ac:dyDescent="0.2">
      <c r="B70" s="9">
        <f>C59-$B$67*F59</f>
        <v>1.625</v>
      </c>
      <c r="C70" s="9" t="s">
        <v>98</v>
      </c>
    </row>
    <row r="71" spans="1:3" ht="15" customHeight="1" x14ac:dyDescent="0.2">
      <c r="B71" s="9">
        <f>C60-$B$67*F60</f>
        <v>3.2749999999999773</v>
      </c>
      <c r="C71" s="9" t="s">
        <v>110</v>
      </c>
    </row>
    <row r="73" spans="1:3" ht="15" customHeight="1" x14ac:dyDescent="0.2">
      <c r="A73" s="8" t="s">
        <v>3377</v>
      </c>
    </row>
    <row r="74" spans="1:3" ht="15" customHeight="1" x14ac:dyDescent="0.2">
      <c r="A74" s="9" t="s">
        <v>3920</v>
      </c>
    </row>
    <row r="75" spans="1:3" ht="15" customHeight="1" x14ac:dyDescent="0.2">
      <c r="A75" s="9" t="s">
        <v>3921</v>
      </c>
    </row>
    <row r="76" spans="1:3" ht="15" customHeight="1" x14ac:dyDescent="0.2">
      <c r="A76" s="9" t="s">
        <v>69</v>
      </c>
    </row>
    <row r="77" spans="1:3" ht="15" customHeight="1" x14ac:dyDescent="0.2">
      <c r="A77" s="9" t="s">
        <v>70</v>
      </c>
    </row>
    <row r="79" spans="1:3" ht="15" customHeight="1" x14ac:dyDescent="0.2">
      <c r="A79" s="9" t="s">
        <v>110</v>
      </c>
    </row>
    <row r="81" spans="1:3" ht="15" customHeight="1" x14ac:dyDescent="0.2">
      <c r="A81" s="9" t="s">
        <v>746</v>
      </c>
    </row>
    <row r="83" spans="1:3" ht="15" customHeight="1" x14ac:dyDescent="0.2">
      <c r="A83" s="8" t="s">
        <v>3378</v>
      </c>
    </row>
    <row r="84" spans="1:3" ht="15" customHeight="1" x14ac:dyDescent="0.2">
      <c r="A84" s="9" t="s">
        <v>747</v>
      </c>
    </row>
    <row r="85" spans="1:3" ht="15" customHeight="1" x14ac:dyDescent="0.2">
      <c r="A85" s="9" t="s">
        <v>748</v>
      </c>
    </row>
    <row r="86" spans="1:3" ht="15" customHeight="1" x14ac:dyDescent="0.2">
      <c r="A86" s="9" t="s">
        <v>749</v>
      </c>
    </row>
    <row r="87" spans="1:3" ht="15" customHeight="1" x14ac:dyDescent="0.2">
      <c r="A87" s="9" t="s">
        <v>260</v>
      </c>
    </row>
    <row r="89" spans="1:3" ht="15" customHeight="1" x14ac:dyDescent="0.2">
      <c r="A89" s="9" t="s">
        <v>88</v>
      </c>
    </row>
    <row r="91" spans="1:3" ht="15" customHeight="1" x14ac:dyDescent="0.2">
      <c r="A91" s="9" t="s">
        <v>750</v>
      </c>
    </row>
    <row r="92" spans="1:3" ht="15" customHeight="1" x14ac:dyDescent="0.2">
      <c r="A92" s="8"/>
    </row>
    <row r="93" spans="1:3" ht="15" customHeight="1" x14ac:dyDescent="0.2">
      <c r="A93" s="9" t="s">
        <v>81</v>
      </c>
      <c r="B93" s="9">
        <v>1</v>
      </c>
    </row>
    <row r="94" spans="1:3" ht="15" customHeight="1" x14ac:dyDescent="0.2">
      <c r="A94" s="25" t="s">
        <v>121</v>
      </c>
      <c r="B94" s="12">
        <v>25</v>
      </c>
    </row>
    <row r="95" spans="1:3" ht="15" customHeight="1" x14ac:dyDescent="0.2">
      <c r="A95" s="9" t="s">
        <v>71</v>
      </c>
      <c r="B95" s="9">
        <v>6</v>
      </c>
      <c r="C95" s="9" t="s">
        <v>122</v>
      </c>
    </row>
    <row r="97" spans="1:2" ht="15" customHeight="1" x14ac:dyDescent="0.2">
      <c r="A97" s="9" t="s">
        <v>84</v>
      </c>
      <c r="B97" s="12">
        <f>B93*B94*B95</f>
        <v>150</v>
      </c>
    </row>
    <row r="99" spans="1:2" ht="15" customHeight="1" x14ac:dyDescent="0.2">
      <c r="A99" s="8" t="s">
        <v>751</v>
      </c>
    </row>
    <row r="100" spans="1:2" ht="15" customHeight="1" x14ac:dyDescent="0.2">
      <c r="A100" s="9" t="s">
        <v>752</v>
      </c>
    </row>
    <row r="101" spans="1:2" ht="15" customHeight="1" x14ac:dyDescent="0.2">
      <c r="A101" s="9" t="s">
        <v>753</v>
      </c>
    </row>
    <row r="102" spans="1:2" ht="15" customHeight="1" x14ac:dyDescent="0.2">
      <c r="A102" s="9" t="s">
        <v>754</v>
      </c>
    </row>
    <row r="103" spans="1:2" ht="15" customHeight="1" x14ac:dyDescent="0.2">
      <c r="A103" s="9" t="s">
        <v>5</v>
      </c>
    </row>
    <row r="105" spans="1:2" ht="15" customHeight="1" x14ac:dyDescent="0.2">
      <c r="A105" s="9" t="s">
        <v>88</v>
      </c>
    </row>
    <row r="107" spans="1:2" ht="15" customHeight="1" x14ac:dyDescent="0.2">
      <c r="A107" s="9" t="s">
        <v>755</v>
      </c>
    </row>
    <row r="109" spans="1:2" ht="15" customHeight="1" x14ac:dyDescent="0.2">
      <c r="A109" s="8" t="s">
        <v>756</v>
      </c>
    </row>
    <row r="110" spans="1:2" ht="15" customHeight="1" x14ac:dyDescent="0.2">
      <c r="A110" s="9" t="s">
        <v>757</v>
      </c>
    </row>
    <row r="111" spans="1:2" ht="15" customHeight="1" x14ac:dyDescent="0.2">
      <c r="A111" s="9" t="s">
        <v>758</v>
      </c>
    </row>
    <row r="112" spans="1:2" ht="15" customHeight="1" x14ac:dyDescent="0.2">
      <c r="A112" s="9" t="s">
        <v>759</v>
      </c>
    </row>
    <row r="113" spans="1:1" ht="15" customHeight="1" x14ac:dyDescent="0.2">
      <c r="A113" s="9" t="s">
        <v>760</v>
      </c>
    </row>
    <row r="115" spans="1:1" ht="15" customHeight="1" x14ac:dyDescent="0.2">
      <c r="A115" s="9" t="s">
        <v>110</v>
      </c>
    </row>
    <row r="117" spans="1:1" ht="15" customHeight="1" x14ac:dyDescent="0.2">
      <c r="A117" s="9" t="s">
        <v>761</v>
      </c>
    </row>
    <row r="119" spans="1:1" ht="15" customHeight="1" x14ac:dyDescent="0.2">
      <c r="A119" s="8" t="s">
        <v>41</v>
      </c>
    </row>
    <row r="120" spans="1:1" ht="15" customHeight="1" x14ac:dyDescent="0.25">
      <c r="A120" s="8" t="s">
        <v>3922</v>
      </c>
    </row>
    <row r="121" spans="1:1" ht="15" customHeight="1" x14ac:dyDescent="0.2">
      <c r="A121" s="9" t="s">
        <v>762</v>
      </c>
    </row>
    <row r="122" spans="1:1" ht="15" customHeight="1" x14ac:dyDescent="0.2">
      <c r="A122" s="9" t="s">
        <v>763</v>
      </c>
    </row>
    <row r="123" spans="1:1" ht="15" customHeight="1" x14ac:dyDescent="0.2">
      <c r="A123" s="9" t="s">
        <v>764</v>
      </c>
    </row>
    <row r="124" spans="1:1" ht="15" customHeight="1" x14ac:dyDescent="0.2">
      <c r="A124" s="9" t="s">
        <v>765</v>
      </c>
    </row>
    <row r="126" spans="1:1" ht="15" customHeight="1" x14ac:dyDescent="0.2">
      <c r="A126" s="9" t="s">
        <v>88</v>
      </c>
    </row>
    <row r="128" spans="1:1" ht="15" customHeight="1" x14ac:dyDescent="0.2">
      <c r="A128" s="9" t="s">
        <v>766</v>
      </c>
    </row>
    <row r="130" spans="1:2" ht="15" customHeight="1" x14ac:dyDescent="0.25">
      <c r="A130" s="25" t="s">
        <v>3693</v>
      </c>
      <c r="B130" s="12">
        <v>24000000</v>
      </c>
    </row>
    <row r="131" spans="1:2" ht="15" customHeight="1" x14ac:dyDescent="0.25">
      <c r="A131" s="25" t="s">
        <v>3923</v>
      </c>
      <c r="B131" s="9">
        <v>5.5</v>
      </c>
    </row>
    <row r="132" spans="1:2" ht="15" customHeight="1" x14ac:dyDescent="0.25">
      <c r="A132" s="25" t="s">
        <v>3656</v>
      </c>
      <c r="B132" s="12">
        <v>110</v>
      </c>
    </row>
    <row r="133" spans="1:2" ht="15" customHeight="1" x14ac:dyDescent="0.2">
      <c r="A133" s="25" t="s">
        <v>6</v>
      </c>
      <c r="B133" s="23">
        <v>100000</v>
      </c>
    </row>
    <row r="134" spans="1:2" ht="15" customHeight="1" x14ac:dyDescent="0.25">
      <c r="A134" s="25" t="s">
        <v>3924</v>
      </c>
      <c r="B134" s="12">
        <f>B132*B133/100</f>
        <v>110000</v>
      </c>
    </row>
    <row r="135" spans="1:2" ht="15" customHeight="1" x14ac:dyDescent="0.25">
      <c r="A135" s="25" t="s">
        <v>3925</v>
      </c>
      <c r="B135" s="9">
        <v>6</v>
      </c>
    </row>
    <row r="137" spans="1:2" ht="15" customHeight="1" x14ac:dyDescent="0.2">
      <c r="A137" s="25" t="s">
        <v>3926</v>
      </c>
      <c r="B137" s="9">
        <f>B130*B131/(B134*B135)</f>
        <v>200</v>
      </c>
    </row>
    <row r="139" spans="1:2" ht="15" customHeight="1" x14ac:dyDescent="0.2">
      <c r="A139" s="8" t="s">
        <v>3333</v>
      </c>
    </row>
    <row r="140" spans="1:2" ht="15" customHeight="1" x14ac:dyDescent="0.2">
      <c r="A140" s="9" t="s">
        <v>3328</v>
      </c>
    </row>
    <row r="141" spans="1:2" ht="15" customHeight="1" x14ac:dyDescent="0.2">
      <c r="A141" s="9" t="s">
        <v>3329</v>
      </c>
    </row>
    <row r="142" spans="1:2" ht="15" customHeight="1" x14ac:dyDescent="0.2">
      <c r="A142" s="9" t="s">
        <v>3330</v>
      </c>
    </row>
    <row r="143" spans="1:2" ht="15" customHeight="1" x14ac:dyDescent="0.2">
      <c r="A143" s="9" t="s">
        <v>3331</v>
      </c>
    </row>
    <row r="145" spans="1:1" ht="15" customHeight="1" x14ac:dyDescent="0.2">
      <c r="A145" s="9" t="s">
        <v>88</v>
      </c>
    </row>
    <row r="147" spans="1:1" ht="15" customHeight="1" x14ac:dyDescent="0.2">
      <c r="A147" s="9" t="s">
        <v>3332</v>
      </c>
    </row>
    <row r="149" spans="1:1" ht="15" customHeight="1" x14ac:dyDescent="0.2">
      <c r="A149" s="8" t="s">
        <v>767</v>
      </c>
    </row>
    <row r="150" spans="1:1" ht="15" customHeight="1" x14ac:dyDescent="0.2">
      <c r="A150" s="9" t="s">
        <v>768</v>
      </c>
    </row>
    <row r="151" spans="1:1" ht="15" customHeight="1" x14ac:dyDescent="0.2">
      <c r="A151" s="9" t="s">
        <v>769</v>
      </c>
    </row>
    <row r="152" spans="1:1" ht="15" customHeight="1" x14ac:dyDescent="0.2">
      <c r="A152" s="9" t="s">
        <v>770</v>
      </c>
    </row>
    <row r="153" spans="1:1" ht="15" customHeight="1" x14ac:dyDescent="0.2">
      <c r="A153" s="9" t="s">
        <v>771</v>
      </c>
    </row>
    <row r="155" spans="1:1" ht="15" customHeight="1" x14ac:dyDescent="0.2">
      <c r="A155" s="9" t="s">
        <v>98</v>
      </c>
    </row>
    <row r="157" spans="1:1" ht="15" customHeight="1" x14ac:dyDescent="0.2">
      <c r="A157" s="9" t="s">
        <v>772</v>
      </c>
    </row>
    <row r="159" spans="1:1" ht="15" customHeight="1" x14ac:dyDescent="0.2">
      <c r="A159" s="8" t="s">
        <v>774</v>
      </c>
    </row>
    <row r="160" spans="1:1" ht="15" customHeight="1" x14ac:dyDescent="0.2">
      <c r="A160" s="9" t="s">
        <v>64</v>
      </c>
    </row>
    <row r="161" spans="1:1" ht="15" customHeight="1" x14ac:dyDescent="0.2">
      <c r="A161" s="9" t="s">
        <v>65</v>
      </c>
    </row>
    <row r="162" spans="1:1" ht="15" customHeight="1" x14ac:dyDescent="0.2">
      <c r="A162" s="9" t="s">
        <v>66</v>
      </c>
    </row>
    <row r="163" spans="1:1" ht="15" customHeight="1" x14ac:dyDescent="0.2">
      <c r="A163" s="9" t="s">
        <v>67</v>
      </c>
    </row>
    <row r="165" spans="1:1" ht="15" customHeight="1" x14ac:dyDescent="0.2">
      <c r="A165" s="9" t="s">
        <v>88</v>
      </c>
    </row>
    <row r="167" spans="1:1" ht="15" customHeight="1" x14ac:dyDescent="0.2">
      <c r="A167" s="9" t="s">
        <v>776</v>
      </c>
    </row>
    <row r="168" spans="1:1" ht="15" customHeight="1" x14ac:dyDescent="0.2">
      <c r="A168" s="9" t="s">
        <v>775</v>
      </c>
    </row>
    <row r="170" spans="1:1" ht="15" customHeight="1" x14ac:dyDescent="0.2">
      <c r="A170" s="8" t="s">
        <v>777</v>
      </c>
    </row>
    <row r="171" spans="1:1" ht="15" customHeight="1" x14ac:dyDescent="0.2">
      <c r="A171" s="9" t="s">
        <v>778</v>
      </c>
    </row>
    <row r="172" spans="1:1" ht="15" customHeight="1" x14ac:dyDescent="0.2">
      <c r="A172" s="9" t="s">
        <v>779</v>
      </c>
    </row>
    <row r="173" spans="1:1" ht="15" customHeight="1" x14ac:dyDescent="0.2">
      <c r="A173" s="9" t="s">
        <v>780</v>
      </c>
    </row>
    <row r="174" spans="1:1" ht="15" customHeight="1" x14ac:dyDescent="0.2">
      <c r="A174" s="9" t="s">
        <v>781</v>
      </c>
    </row>
    <row r="176" spans="1:1" ht="15" customHeight="1" x14ac:dyDescent="0.2">
      <c r="A176" s="9" t="s">
        <v>80</v>
      </c>
    </row>
    <row r="178" spans="1:2" ht="15" customHeight="1" x14ac:dyDescent="0.2">
      <c r="A178" s="9" t="s">
        <v>782</v>
      </c>
    </row>
    <row r="180" spans="1:2" ht="15" customHeight="1" x14ac:dyDescent="0.2">
      <c r="A180" s="8" t="s">
        <v>783</v>
      </c>
    </row>
    <row r="181" spans="1:2" ht="15" customHeight="1" x14ac:dyDescent="0.2">
      <c r="A181" s="9" t="s">
        <v>784</v>
      </c>
    </row>
    <row r="182" spans="1:2" ht="15" customHeight="1" x14ac:dyDescent="0.2">
      <c r="A182" s="9" t="s">
        <v>785</v>
      </c>
    </row>
    <row r="183" spans="1:2" ht="15" customHeight="1" x14ac:dyDescent="0.2">
      <c r="A183" s="9" t="s">
        <v>786</v>
      </c>
    </row>
    <row r="184" spans="1:2" ht="15" customHeight="1" x14ac:dyDescent="0.2">
      <c r="A184" s="9" t="s">
        <v>787</v>
      </c>
    </row>
    <row r="186" spans="1:2" ht="15" customHeight="1" x14ac:dyDescent="0.2">
      <c r="A186" s="9" t="s">
        <v>98</v>
      </c>
    </row>
    <row r="188" spans="1:2" ht="15" customHeight="1" x14ac:dyDescent="0.2">
      <c r="A188" s="9" t="s">
        <v>794</v>
      </c>
    </row>
    <row r="190" spans="1:2" ht="15" customHeight="1" x14ac:dyDescent="0.2">
      <c r="A190" s="25" t="s">
        <v>86</v>
      </c>
      <c r="B190" s="21">
        <v>0.08</v>
      </c>
    </row>
    <row r="191" spans="1:2" ht="15" customHeight="1" x14ac:dyDescent="0.2">
      <c r="A191" s="25" t="s">
        <v>101</v>
      </c>
      <c r="B191" s="9">
        <v>2</v>
      </c>
    </row>
    <row r="192" spans="1:2" ht="15" customHeight="1" x14ac:dyDescent="0.2">
      <c r="A192" s="25" t="s">
        <v>109</v>
      </c>
      <c r="B192" s="21">
        <v>0.1</v>
      </c>
    </row>
    <row r="193" spans="1:6" ht="15" customHeight="1" x14ac:dyDescent="0.25">
      <c r="B193" s="65" t="s">
        <v>3917</v>
      </c>
      <c r="C193" s="65" t="s">
        <v>3918</v>
      </c>
      <c r="D193" s="65" t="s">
        <v>3927</v>
      </c>
      <c r="E193" s="65" t="s">
        <v>3928</v>
      </c>
    </row>
    <row r="194" spans="1:6" ht="15" customHeight="1" x14ac:dyDescent="0.2">
      <c r="A194" s="9" t="s">
        <v>789</v>
      </c>
      <c r="B194" s="9">
        <f>1/$B$191</f>
        <v>0.5</v>
      </c>
      <c r="C194" s="9">
        <f>2/$B$191</f>
        <v>1</v>
      </c>
      <c r="D194" s="9">
        <f>3/$B$191</f>
        <v>1.5</v>
      </c>
      <c r="E194" s="9">
        <f>4/$B$191</f>
        <v>2</v>
      </c>
    </row>
    <row r="195" spans="1:6" ht="15" customHeight="1" x14ac:dyDescent="0.2">
      <c r="A195" s="9" t="s">
        <v>790</v>
      </c>
      <c r="B195" s="2">
        <f>$B$190/$B$191</f>
        <v>0.04</v>
      </c>
      <c r="C195" s="2">
        <f t="shared" ref="C195:D195" si="0">$B$190/$B$191</f>
        <v>0.04</v>
      </c>
      <c r="D195" s="2">
        <f t="shared" si="0"/>
        <v>0.04</v>
      </c>
      <c r="E195" s="2">
        <f>1+$B$190/$B$191</f>
        <v>1.04</v>
      </c>
    </row>
    <row r="196" spans="1:6" ht="15" customHeight="1" x14ac:dyDescent="0.2">
      <c r="A196" s="9" t="s">
        <v>791</v>
      </c>
      <c r="B196" s="1">
        <f>B195*EXP(-$B$192*B194)</f>
        <v>3.8049176980028562E-2</v>
      </c>
      <c r="C196" s="1">
        <f t="shared" ref="C196:E196" si="1">C195*EXP(-$B$192*C194)</f>
        <v>3.619349672143838E-2</v>
      </c>
      <c r="D196" s="1">
        <f t="shared" si="1"/>
        <v>3.4428319057002311E-2</v>
      </c>
      <c r="E196" s="1">
        <f t="shared" si="1"/>
        <v>0.85147998320110108</v>
      </c>
      <c r="F196" s="14">
        <f>SUM(B196:E196)</f>
        <v>0.96015097595957033</v>
      </c>
    </row>
    <row r="197" spans="1:6" ht="15" customHeight="1" x14ac:dyDescent="0.2">
      <c r="A197" s="9" t="s">
        <v>792</v>
      </c>
      <c r="B197" s="3">
        <f>B194*B196</f>
        <v>1.9024588490014281E-2</v>
      </c>
      <c r="C197" s="3">
        <f t="shared" ref="C197:E197" si="2">C194*C196</f>
        <v>3.619349672143838E-2</v>
      </c>
      <c r="D197" s="3">
        <f t="shared" si="2"/>
        <v>5.1642478585503471E-2</v>
      </c>
      <c r="E197" s="3">
        <f t="shared" si="2"/>
        <v>1.7029599664022022</v>
      </c>
      <c r="F197" s="69">
        <f>SUM(B197:E197)</f>
        <v>1.8098205301991583</v>
      </c>
    </row>
    <row r="198" spans="1:6" ht="15" customHeight="1" x14ac:dyDescent="0.2">
      <c r="A198" s="9" t="s">
        <v>793</v>
      </c>
      <c r="B198" s="69">
        <f>F197/F196</f>
        <v>1.8849332818627116</v>
      </c>
    </row>
    <row r="200" spans="1:6" ht="15" customHeight="1" x14ac:dyDescent="0.2">
      <c r="A200" s="8" t="s">
        <v>795</v>
      </c>
    </row>
    <row r="201" spans="1:6" ht="15" customHeight="1" x14ac:dyDescent="0.2">
      <c r="A201" s="9" t="s">
        <v>796</v>
      </c>
    </row>
    <row r="202" spans="1:6" ht="15" customHeight="1" x14ac:dyDescent="0.2">
      <c r="A202" s="9" t="s">
        <v>797</v>
      </c>
    </row>
    <row r="203" spans="1:6" ht="15" customHeight="1" x14ac:dyDescent="0.2">
      <c r="A203" s="9" t="s">
        <v>798</v>
      </c>
    </row>
    <row r="204" spans="1:6" ht="15" customHeight="1" x14ac:dyDescent="0.2">
      <c r="A204" s="9" t="s">
        <v>799</v>
      </c>
    </row>
    <row r="206" spans="1:6" ht="15" customHeight="1" x14ac:dyDescent="0.2">
      <c r="A206" s="9" t="s">
        <v>110</v>
      </c>
    </row>
    <row r="208" spans="1:6" ht="15" customHeight="1" x14ac:dyDescent="0.2">
      <c r="A208" s="9" t="s">
        <v>800</v>
      </c>
    </row>
    <row r="210" spans="1:1" ht="15" customHeight="1" x14ac:dyDescent="0.2">
      <c r="A210" s="8" t="s">
        <v>801</v>
      </c>
    </row>
    <row r="211" spans="1:1" ht="15" customHeight="1" x14ac:dyDescent="0.2">
      <c r="A211" s="9" t="s">
        <v>802</v>
      </c>
    </row>
    <row r="212" spans="1:1" ht="15" customHeight="1" x14ac:dyDescent="0.2">
      <c r="A212" s="9" t="s">
        <v>803</v>
      </c>
    </row>
    <row r="213" spans="1:1" ht="15" customHeight="1" x14ac:dyDescent="0.2">
      <c r="A213" s="9" t="s">
        <v>804</v>
      </c>
    </row>
    <row r="214" spans="1:1" ht="15" customHeight="1" x14ac:dyDescent="0.2">
      <c r="A214" s="9" t="s">
        <v>805</v>
      </c>
    </row>
    <row r="216" spans="1:1" ht="15" customHeight="1" x14ac:dyDescent="0.2">
      <c r="A216" s="9" t="s">
        <v>80</v>
      </c>
    </row>
    <row r="218" spans="1:1" ht="15" customHeight="1" x14ac:dyDescent="0.2">
      <c r="A218" s="9" t="s">
        <v>806</v>
      </c>
    </row>
    <row r="220" spans="1:1" ht="15" customHeight="1" x14ac:dyDescent="0.2">
      <c r="A220" s="8" t="s">
        <v>3273</v>
      </c>
    </row>
    <row r="221" spans="1:1" ht="15" customHeight="1" x14ac:dyDescent="0.2">
      <c r="A221" s="9" t="s">
        <v>807</v>
      </c>
    </row>
    <row r="222" spans="1:1" ht="15" customHeight="1" x14ac:dyDescent="0.2">
      <c r="A222" s="9" t="s">
        <v>808</v>
      </c>
    </row>
    <row r="223" spans="1:1" ht="15" customHeight="1" x14ac:dyDescent="0.2">
      <c r="A223" s="9" t="s">
        <v>809</v>
      </c>
    </row>
    <row r="224" spans="1:1" ht="15" customHeight="1" x14ac:dyDescent="0.2">
      <c r="A224" s="9" t="s">
        <v>810</v>
      </c>
    </row>
    <row r="226" spans="1:2" ht="15" customHeight="1" x14ac:dyDescent="0.2">
      <c r="A226" s="9" t="s">
        <v>88</v>
      </c>
    </row>
    <row r="228" spans="1:2" ht="15" customHeight="1" x14ac:dyDescent="0.2">
      <c r="A228" s="9" t="s">
        <v>3929</v>
      </c>
    </row>
    <row r="230" spans="1:2" ht="15" customHeight="1" x14ac:dyDescent="0.25">
      <c r="A230" s="25" t="s">
        <v>3930</v>
      </c>
      <c r="B230" s="70">
        <v>100</v>
      </c>
    </row>
    <row r="231" spans="1:2" ht="15" customHeight="1" x14ac:dyDescent="0.25">
      <c r="A231" s="9" t="s">
        <v>3672</v>
      </c>
      <c r="B231" s="70">
        <v>96.5</v>
      </c>
    </row>
    <row r="232" spans="1:2" ht="15" customHeight="1" x14ac:dyDescent="0.25">
      <c r="A232" s="25" t="s">
        <v>3931</v>
      </c>
      <c r="B232" s="67">
        <v>3.397E-2</v>
      </c>
    </row>
    <row r="234" spans="1:2" ht="15" customHeight="1" x14ac:dyDescent="0.25">
      <c r="A234" s="25" t="s">
        <v>3932</v>
      </c>
      <c r="B234" s="1">
        <f>(B230-B231)/B230</f>
        <v>3.5000000000000003E-2</v>
      </c>
    </row>
    <row r="235" spans="1:2" ht="15" customHeight="1" x14ac:dyDescent="0.2">
      <c r="A235" s="25" t="s">
        <v>86</v>
      </c>
      <c r="B235" s="7">
        <f>B234-B232</f>
        <v>1.0300000000000031E-3</v>
      </c>
    </row>
    <row r="237" spans="1:2" ht="15" customHeight="1" x14ac:dyDescent="0.2">
      <c r="A237" s="8" t="s">
        <v>3379</v>
      </c>
    </row>
    <row r="238" spans="1:2" ht="15" customHeight="1" x14ac:dyDescent="0.2">
      <c r="A238" s="9" t="s">
        <v>811</v>
      </c>
    </row>
    <row r="239" spans="1:2" ht="15" customHeight="1" x14ac:dyDescent="0.2">
      <c r="A239" s="9" t="s">
        <v>812</v>
      </c>
    </row>
    <row r="240" spans="1:2" ht="15" customHeight="1" x14ac:dyDescent="0.2">
      <c r="A240" s="9" t="s">
        <v>813</v>
      </c>
    </row>
    <row r="241" spans="1:1" ht="15" customHeight="1" x14ac:dyDescent="0.2">
      <c r="A241" s="9" t="s">
        <v>814</v>
      </c>
    </row>
    <row r="243" spans="1:1" ht="15" customHeight="1" x14ac:dyDescent="0.2">
      <c r="A243" s="9" t="s">
        <v>88</v>
      </c>
    </row>
    <row r="245" spans="1:1" ht="15" customHeight="1" x14ac:dyDescent="0.2">
      <c r="A245" s="9" t="s">
        <v>3380</v>
      </c>
    </row>
    <row r="246" spans="1:1" ht="15" customHeight="1" x14ac:dyDescent="0.2">
      <c r="A246" s="9" t="s">
        <v>3381</v>
      </c>
    </row>
    <row r="248" spans="1:1" ht="15" customHeight="1" x14ac:dyDescent="0.2">
      <c r="A248" s="8" t="s">
        <v>3382</v>
      </c>
    </row>
    <row r="249" spans="1:1" ht="15" customHeight="1" x14ac:dyDescent="0.2">
      <c r="A249" s="9" t="s">
        <v>815</v>
      </c>
    </row>
    <row r="250" spans="1:1" ht="15" customHeight="1" x14ac:dyDescent="0.2">
      <c r="A250" s="9" t="s">
        <v>816</v>
      </c>
    </row>
    <row r="251" spans="1:1" ht="15" customHeight="1" x14ac:dyDescent="0.2">
      <c r="A251" s="9" t="s">
        <v>817</v>
      </c>
    </row>
    <row r="252" spans="1:1" ht="15" customHeight="1" x14ac:dyDescent="0.2">
      <c r="A252" s="9" t="s">
        <v>818</v>
      </c>
    </row>
    <row r="254" spans="1:1" ht="15" customHeight="1" x14ac:dyDescent="0.2">
      <c r="A254" s="9" t="s">
        <v>98</v>
      </c>
    </row>
    <row r="256" spans="1:1" ht="15" customHeight="1" x14ac:dyDescent="0.2">
      <c r="A256" s="9" t="s">
        <v>3383</v>
      </c>
    </row>
    <row r="258" spans="1:1" ht="15" customHeight="1" x14ac:dyDescent="0.2">
      <c r="A258" s="8" t="s">
        <v>819</v>
      </c>
    </row>
    <row r="259" spans="1:1" ht="15" customHeight="1" x14ac:dyDescent="0.2">
      <c r="A259" s="9" t="s">
        <v>820</v>
      </c>
    </row>
    <row r="260" spans="1:1" ht="15" customHeight="1" x14ac:dyDescent="0.2">
      <c r="A260" s="9" t="s">
        <v>821</v>
      </c>
    </row>
    <row r="261" spans="1:1" ht="15" customHeight="1" x14ac:dyDescent="0.2">
      <c r="A261" s="9" t="s">
        <v>822</v>
      </c>
    </row>
    <row r="262" spans="1:1" ht="15" customHeight="1" x14ac:dyDescent="0.2">
      <c r="A262" s="9" t="s">
        <v>823</v>
      </c>
    </row>
    <row r="264" spans="1:1" ht="15" customHeight="1" x14ac:dyDescent="0.2">
      <c r="A264" s="9" t="s">
        <v>110</v>
      </c>
    </row>
    <row r="266" spans="1:1" ht="15" customHeight="1" x14ac:dyDescent="0.2">
      <c r="A266" s="9" t="s">
        <v>824</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7">
    <tabColor rgb="FF536878"/>
    <pageSetUpPr fitToPage="1"/>
  </sheetPr>
  <dimension ref="A1:P255"/>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4" style="9" customWidth="1"/>
    <col min="2" max="2" width="14.28515625" style="9" customWidth="1"/>
    <col min="3" max="3" width="13.28515625" style="9" customWidth="1"/>
    <col min="4" max="16384" width="9.140625" style="9"/>
  </cols>
  <sheetData>
    <row r="1" spans="1:16" ht="15" customHeight="1" x14ac:dyDescent="0.2">
      <c r="A1" s="75" t="s">
        <v>12</v>
      </c>
      <c r="B1" s="76"/>
      <c r="C1" s="76"/>
      <c r="D1" s="76"/>
      <c r="E1" s="76"/>
      <c r="F1" s="76"/>
      <c r="G1" s="76"/>
      <c r="H1" s="76"/>
      <c r="I1" s="76"/>
      <c r="J1" s="76"/>
      <c r="K1" s="76"/>
      <c r="L1" s="76"/>
      <c r="M1" s="76"/>
      <c r="N1" s="76"/>
      <c r="O1" s="76"/>
      <c r="P1" s="76"/>
    </row>
    <row r="3" spans="1:16" ht="15" customHeight="1" x14ac:dyDescent="0.2">
      <c r="A3" s="8" t="s">
        <v>3384</v>
      </c>
    </row>
    <row r="4" spans="1:16" ht="15" customHeight="1" x14ac:dyDescent="0.2">
      <c r="A4" s="9" t="s">
        <v>825</v>
      </c>
    </row>
    <row r="5" spans="1:16" ht="15" customHeight="1" x14ac:dyDescent="0.2">
      <c r="A5" s="9" t="s">
        <v>826</v>
      </c>
    </row>
    <row r="6" spans="1:16" ht="15" customHeight="1" x14ac:dyDescent="0.2">
      <c r="A6" s="9" t="s">
        <v>827</v>
      </c>
    </row>
    <row r="7" spans="1:16" ht="15" customHeight="1" x14ac:dyDescent="0.2">
      <c r="A7" s="9" t="s">
        <v>828</v>
      </c>
    </row>
    <row r="9" spans="1:16" ht="15" customHeight="1" x14ac:dyDescent="0.2">
      <c r="A9" s="9" t="s">
        <v>88</v>
      </c>
    </row>
    <row r="11" spans="1:16" ht="15" customHeight="1" x14ac:dyDescent="0.2">
      <c r="A11" s="9" t="s">
        <v>3385</v>
      </c>
    </row>
    <row r="12" spans="1:16" ht="15" customHeight="1" x14ac:dyDescent="0.2">
      <c r="A12" s="8"/>
    </row>
    <row r="13" spans="1:16" ht="15" customHeight="1" x14ac:dyDescent="0.25">
      <c r="A13" s="25" t="s">
        <v>3905</v>
      </c>
      <c r="B13" s="46" t="s">
        <v>3386</v>
      </c>
      <c r="C13" s="16">
        <f>-30/10000</f>
        <v>-3.0000000000000001E-3</v>
      </c>
    </row>
    <row r="14" spans="1:16" ht="15" customHeight="1" x14ac:dyDescent="0.2">
      <c r="A14" s="25" t="s">
        <v>83</v>
      </c>
      <c r="B14" s="9">
        <v>5</v>
      </c>
    </row>
    <row r="15" spans="1:16" ht="15" customHeight="1" x14ac:dyDescent="0.25">
      <c r="A15" s="25" t="s">
        <v>3906</v>
      </c>
      <c r="B15" s="21">
        <v>0.03</v>
      </c>
    </row>
    <row r="17" spans="1:2" ht="15" customHeight="1" x14ac:dyDescent="0.25">
      <c r="A17" s="25" t="s">
        <v>3907</v>
      </c>
      <c r="B17" s="20">
        <f>C13+B15</f>
        <v>2.7E-2</v>
      </c>
    </row>
    <row r="19" spans="1:2" ht="15" customHeight="1" x14ac:dyDescent="0.2">
      <c r="A19" s="8" t="s">
        <v>829</v>
      </c>
    </row>
    <row r="20" spans="1:2" ht="15" customHeight="1" x14ac:dyDescent="0.2">
      <c r="A20" s="9" t="s">
        <v>3908</v>
      </c>
    </row>
    <row r="21" spans="1:2" ht="15" customHeight="1" x14ac:dyDescent="0.2">
      <c r="A21" s="9" t="s">
        <v>3909</v>
      </c>
    </row>
    <row r="22" spans="1:2" ht="15" customHeight="1" x14ac:dyDescent="0.2">
      <c r="A22" s="9" t="s">
        <v>3910</v>
      </c>
    </row>
    <row r="23" spans="1:2" ht="15" customHeight="1" x14ac:dyDescent="0.2">
      <c r="A23" s="9" t="s">
        <v>3911</v>
      </c>
    </row>
    <row r="25" spans="1:2" ht="15" customHeight="1" x14ac:dyDescent="0.2">
      <c r="A25" s="9" t="s">
        <v>88</v>
      </c>
    </row>
    <row r="27" spans="1:2" ht="15" customHeight="1" x14ac:dyDescent="0.2">
      <c r="A27" s="9" t="s">
        <v>830</v>
      </c>
    </row>
    <row r="29" spans="1:2" ht="15" customHeight="1" x14ac:dyDescent="0.2">
      <c r="A29" s="8" t="s">
        <v>3334</v>
      </c>
    </row>
    <row r="30" spans="1:2" ht="15" customHeight="1" x14ac:dyDescent="0.2">
      <c r="A30" s="9" t="s">
        <v>3335</v>
      </c>
    </row>
    <row r="31" spans="1:2" ht="15" customHeight="1" x14ac:dyDescent="0.2">
      <c r="A31" s="9" t="s">
        <v>3336</v>
      </c>
    </row>
    <row r="32" spans="1:2" ht="15" customHeight="1" x14ac:dyDescent="0.2">
      <c r="A32" s="9" t="s">
        <v>3337</v>
      </c>
    </row>
    <row r="33" spans="1:1" ht="15" customHeight="1" x14ac:dyDescent="0.2">
      <c r="A33" s="9" t="s">
        <v>3338</v>
      </c>
    </row>
    <row r="35" spans="1:1" ht="15" customHeight="1" x14ac:dyDescent="0.2">
      <c r="A35" s="9" t="s">
        <v>80</v>
      </c>
    </row>
    <row r="37" spans="1:1" ht="15" customHeight="1" x14ac:dyDescent="0.2">
      <c r="A37" s="9" t="s">
        <v>3339</v>
      </c>
    </row>
    <row r="38" spans="1:1" ht="15" customHeight="1" x14ac:dyDescent="0.2">
      <c r="A38" s="9" t="s">
        <v>3340</v>
      </c>
    </row>
    <row r="40" spans="1:1" ht="15" customHeight="1" x14ac:dyDescent="0.2">
      <c r="A40" s="8" t="s">
        <v>831</v>
      </c>
    </row>
    <row r="41" spans="1:1" ht="15" customHeight="1" x14ac:dyDescent="0.2">
      <c r="A41" s="9" t="s">
        <v>3387</v>
      </c>
    </row>
    <row r="42" spans="1:1" ht="15" customHeight="1" x14ac:dyDescent="0.2">
      <c r="A42" s="9" t="s">
        <v>3388</v>
      </c>
    </row>
    <row r="43" spans="1:1" ht="15" customHeight="1" x14ac:dyDescent="0.2">
      <c r="A43" s="9" t="s">
        <v>832</v>
      </c>
    </row>
    <row r="44" spans="1:1" ht="15" customHeight="1" x14ac:dyDescent="0.2">
      <c r="A44" s="9" t="s">
        <v>833</v>
      </c>
    </row>
    <row r="46" spans="1:1" ht="15" customHeight="1" x14ac:dyDescent="0.2">
      <c r="A46" s="9" t="s">
        <v>98</v>
      </c>
    </row>
    <row r="48" spans="1:1" ht="15" customHeight="1" x14ac:dyDescent="0.2">
      <c r="A48" s="9" t="s">
        <v>834</v>
      </c>
    </row>
    <row r="50" spans="1:1" ht="15" customHeight="1" x14ac:dyDescent="0.2">
      <c r="A50" s="8" t="s">
        <v>835</v>
      </c>
    </row>
    <row r="51" spans="1:1" ht="15" customHeight="1" x14ac:dyDescent="0.2">
      <c r="A51" s="9" t="s">
        <v>836</v>
      </c>
    </row>
    <row r="52" spans="1:1" ht="15" customHeight="1" x14ac:dyDescent="0.2">
      <c r="A52" s="9" t="s">
        <v>837</v>
      </c>
    </row>
    <row r="53" spans="1:1" ht="15" customHeight="1" x14ac:dyDescent="0.2">
      <c r="A53" s="9" t="s">
        <v>838</v>
      </c>
    </row>
    <row r="54" spans="1:1" ht="15" customHeight="1" x14ac:dyDescent="0.2">
      <c r="A54" s="9" t="s">
        <v>839</v>
      </c>
    </row>
    <row r="56" spans="1:1" ht="15" customHeight="1" x14ac:dyDescent="0.2">
      <c r="A56" s="9" t="s">
        <v>110</v>
      </c>
    </row>
    <row r="58" spans="1:1" ht="15" customHeight="1" x14ac:dyDescent="0.2">
      <c r="A58" s="9" t="s">
        <v>840</v>
      </c>
    </row>
    <row r="60" spans="1:1" ht="15" customHeight="1" x14ac:dyDescent="0.2">
      <c r="A60" s="8" t="s">
        <v>3389</v>
      </c>
    </row>
    <row r="61" spans="1:1" ht="15" customHeight="1" x14ac:dyDescent="0.2">
      <c r="A61" s="9" t="s">
        <v>3390</v>
      </c>
    </row>
    <row r="62" spans="1:1" ht="15" customHeight="1" x14ac:dyDescent="0.2">
      <c r="A62" s="9" t="s">
        <v>3391</v>
      </c>
    </row>
    <row r="63" spans="1:1" ht="15" customHeight="1" x14ac:dyDescent="0.2">
      <c r="A63" s="9" t="s">
        <v>3392</v>
      </c>
    </row>
    <row r="64" spans="1:1" ht="15" customHeight="1" x14ac:dyDescent="0.2">
      <c r="A64" s="9" t="s">
        <v>3393</v>
      </c>
    </row>
    <row r="66" spans="1:1" ht="15" customHeight="1" x14ac:dyDescent="0.2">
      <c r="A66" s="9" t="s">
        <v>80</v>
      </c>
    </row>
    <row r="68" spans="1:1" ht="15" customHeight="1" x14ac:dyDescent="0.2">
      <c r="A68" s="9" t="s">
        <v>3394</v>
      </c>
    </row>
    <row r="70" spans="1:1" ht="15" customHeight="1" x14ac:dyDescent="0.2">
      <c r="A70" s="8" t="s">
        <v>3106</v>
      </c>
    </row>
    <row r="71" spans="1:1" ht="15" customHeight="1" x14ac:dyDescent="0.2">
      <c r="A71" s="9" t="s">
        <v>3159</v>
      </c>
    </row>
    <row r="72" spans="1:1" ht="15" customHeight="1" x14ac:dyDescent="0.2">
      <c r="A72" s="9" t="s">
        <v>842</v>
      </c>
    </row>
    <row r="73" spans="1:1" ht="15" customHeight="1" x14ac:dyDescent="0.2">
      <c r="A73" s="9" t="s">
        <v>843</v>
      </c>
    </row>
    <row r="74" spans="1:1" ht="15" customHeight="1" x14ac:dyDescent="0.2">
      <c r="A74" s="9" t="s">
        <v>354</v>
      </c>
    </row>
    <row r="76" spans="1:1" ht="15" customHeight="1" x14ac:dyDescent="0.2">
      <c r="A76" s="9" t="s">
        <v>110</v>
      </c>
    </row>
    <row r="78" spans="1:1" ht="15" customHeight="1" x14ac:dyDescent="0.2">
      <c r="A78" s="9" t="s">
        <v>841</v>
      </c>
    </row>
    <row r="80" spans="1:1" ht="15" customHeight="1" x14ac:dyDescent="0.2">
      <c r="A80" s="8" t="s">
        <v>844</v>
      </c>
    </row>
    <row r="81" spans="1:1" ht="15" customHeight="1" x14ac:dyDescent="0.2">
      <c r="A81" s="9" t="s">
        <v>845</v>
      </c>
    </row>
    <row r="82" spans="1:1" ht="15" customHeight="1" x14ac:dyDescent="0.2">
      <c r="A82" s="9" t="s">
        <v>846</v>
      </c>
    </row>
    <row r="83" spans="1:1" ht="15" customHeight="1" x14ac:dyDescent="0.2">
      <c r="A83" s="9" t="s">
        <v>847</v>
      </c>
    </row>
    <row r="84" spans="1:1" ht="15" customHeight="1" x14ac:dyDescent="0.2">
      <c r="A84" s="9" t="s">
        <v>404</v>
      </c>
    </row>
    <row r="86" spans="1:1" ht="15" customHeight="1" x14ac:dyDescent="0.2">
      <c r="A86" s="9" t="s">
        <v>80</v>
      </c>
    </row>
    <row r="88" spans="1:1" ht="15" customHeight="1" x14ac:dyDescent="0.2">
      <c r="A88" s="9" t="s">
        <v>848</v>
      </c>
    </row>
    <row r="89" spans="1:1" ht="15" customHeight="1" x14ac:dyDescent="0.2">
      <c r="A89" s="9" t="s">
        <v>849</v>
      </c>
    </row>
    <row r="90" spans="1:1" ht="15" customHeight="1" x14ac:dyDescent="0.2">
      <c r="A90" s="9" t="s">
        <v>850</v>
      </c>
    </row>
    <row r="91" spans="1:1" ht="15" customHeight="1" x14ac:dyDescent="0.2">
      <c r="A91" s="9" t="s">
        <v>3160</v>
      </c>
    </row>
    <row r="93" spans="1:1" ht="15" customHeight="1" x14ac:dyDescent="0.2">
      <c r="A93" s="8" t="s">
        <v>3161</v>
      </c>
    </row>
    <row r="94" spans="1:1" ht="15" customHeight="1" x14ac:dyDescent="0.2">
      <c r="A94" s="9" t="s">
        <v>3162</v>
      </c>
    </row>
    <row r="95" spans="1:1" ht="15" customHeight="1" x14ac:dyDescent="0.2">
      <c r="A95" s="9" t="s">
        <v>3163</v>
      </c>
    </row>
    <row r="96" spans="1:1" ht="15" customHeight="1" x14ac:dyDescent="0.2">
      <c r="A96" s="9" t="s">
        <v>3164</v>
      </c>
    </row>
    <row r="97" spans="1:1" ht="15" customHeight="1" x14ac:dyDescent="0.2">
      <c r="A97" s="9" t="s">
        <v>3165</v>
      </c>
    </row>
    <row r="99" spans="1:1" ht="15" customHeight="1" x14ac:dyDescent="0.2">
      <c r="A99" s="9" t="s">
        <v>80</v>
      </c>
    </row>
    <row r="101" spans="1:1" ht="15" customHeight="1" x14ac:dyDescent="0.2">
      <c r="A101" s="9" t="s">
        <v>851</v>
      </c>
    </row>
    <row r="102" spans="1:1" ht="15" customHeight="1" x14ac:dyDescent="0.2">
      <c r="A102" s="9" t="s">
        <v>852</v>
      </c>
    </row>
    <row r="103" spans="1:1" ht="15" customHeight="1" x14ac:dyDescent="0.2">
      <c r="A103" s="9" t="s">
        <v>853</v>
      </c>
    </row>
    <row r="104" spans="1:1" ht="15" customHeight="1" x14ac:dyDescent="0.2">
      <c r="A104" s="9" t="s">
        <v>3166</v>
      </c>
    </row>
    <row r="106" spans="1:1" ht="15" customHeight="1" x14ac:dyDescent="0.2">
      <c r="A106" s="8" t="s">
        <v>3167</v>
      </c>
    </row>
    <row r="107" spans="1:1" ht="15" customHeight="1" x14ac:dyDescent="0.2">
      <c r="A107" s="9" t="s">
        <v>3168</v>
      </c>
    </row>
    <row r="108" spans="1:1" ht="15" customHeight="1" x14ac:dyDescent="0.2">
      <c r="A108" s="9" t="s">
        <v>3169</v>
      </c>
    </row>
    <row r="109" spans="1:1" ht="15" customHeight="1" x14ac:dyDescent="0.2">
      <c r="A109" s="9" t="s">
        <v>3170</v>
      </c>
    </row>
    <row r="110" spans="1:1" ht="15" customHeight="1" x14ac:dyDescent="0.2">
      <c r="A110" s="9" t="s">
        <v>3171</v>
      </c>
    </row>
    <row r="112" spans="1:1" ht="15" customHeight="1" x14ac:dyDescent="0.2">
      <c r="A112" s="9" t="s">
        <v>110</v>
      </c>
    </row>
    <row r="114" spans="1:1" ht="15" customHeight="1" x14ac:dyDescent="0.2">
      <c r="A114" s="9" t="s">
        <v>3172</v>
      </c>
    </row>
    <row r="116" spans="1:1" ht="15" customHeight="1" x14ac:dyDescent="0.2">
      <c r="A116" s="8" t="s">
        <v>3173</v>
      </c>
    </row>
    <row r="117" spans="1:1" ht="15" customHeight="1" x14ac:dyDescent="0.2">
      <c r="A117" s="9" t="s">
        <v>3174</v>
      </c>
    </row>
    <row r="118" spans="1:1" ht="15" customHeight="1" x14ac:dyDescent="0.2">
      <c r="A118" s="9" t="s">
        <v>3175</v>
      </c>
    </row>
    <row r="119" spans="1:1" ht="15" customHeight="1" x14ac:dyDescent="0.2">
      <c r="A119" s="9" t="s">
        <v>3176</v>
      </c>
    </row>
    <row r="120" spans="1:1" ht="15" customHeight="1" x14ac:dyDescent="0.2">
      <c r="A120" s="9" t="s">
        <v>3177</v>
      </c>
    </row>
    <row r="122" spans="1:1" ht="15" customHeight="1" x14ac:dyDescent="0.2">
      <c r="A122" s="9" t="s">
        <v>88</v>
      </c>
    </row>
    <row r="124" spans="1:1" ht="15" customHeight="1" x14ac:dyDescent="0.2">
      <c r="A124" s="9" t="s">
        <v>3178</v>
      </c>
    </row>
    <row r="126" spans="1:1" ht="15" customHeight="1" x14ac:dyDescent="0.2">
      <c r="A126" s="8" t="s">
        <v>3395</v>
      </c>
    </row>
    <row r="127" spans="1:1" ht="15" customHeight="1" x14ac:dyDescent="0.2">
      <c r="A127" s="9" t="s">
        <v>854</v>
      </c>
    </row>
    <row r="128" spans="1:1" ht="15" customHeight="1" x14ac:dyDescent="0.2">
      <c r="A128" s="9" t="s">
        <v>855</v>
      </c>
    </row>
    <row r="129" spans="1:1" ht="15" customHeight="1" x14ac:dyDescent="0.2">
      <c r="A129" s="9" t="s">
        <v>856</v>
      </c>
    </row>
    <row r="130" spans="1:1" ht="15" customHeight="1" x14ac:dyDescent="0.2">
      <c r="A130" s="9" t="s">
        <v>857</v>
      </c>
    </row>
    <row r="132" spans="1:1" ht="15" customHeight="1" x14ac:dyDescent="0.2">
      <c r="A132" s="9" t="s">
        <v>80</v>
      </c>
    </row>
    <row r="134" spans="1:1" ht="15" customHeight="1" x14ac:dyDescent="0.2">
      <c r="A134" s="9" t="s">
        <v>3396</v>
      </c>
    </row>
    <row r="136" spans="1:1" ht="15" customHeight="1" x14ac:dyDescent="0.2">
      <c r="A136" s="8" t="s">
        <v>864</v>
      </c>
    </row>
    <row r="137" spans="1:1" ht="15" customHeight="1" x14ac:dyDescent="0.2">
      <c r="A137" s="9" t="s">
        <v>858</v>
      </c>
    </row>
    <row r="138" spans="1:1" ht="15" customHeight="1" x14ac:dyDescent="0.2">
      <c r="A138" s="9" t="s">
        <v>859</v>
      </c>
    </row>
    <row r="139" spans="1:1" ht="15" customHeight="1" x14ac:dyDescent="0.2">
      <c r="A139" s="9" t="s">
        <v>860</v>
      </c>
    </row>
    <row r="140" spans="1:1" ht="15" customHeight="1" x14ac:dyDescent="0.2">
      <c r="A140" s="9" t="s">
        <v>5</v>
      </c>
    </row>
    <row r="142" spans="1:1" ht="15" customHeight="1" x14ac:dyDescent="0.2">
      <c r="A142" s="9" t="s">
        <v>98</v>
      </c>
    </row>
    <row r="144" spans="1:1" ht="15" customHeight="1" x14ac:dyDescent="0.2">
      <c r="A144" s="9" t="s">
        <v>865</v>
      </c>
    </row>
    <row r="145" spans="1:1" ht="15" customHeight="1" x14ac:dyDescent="0.2">
      <c r="A145" s="9" t="s">
        <v>861</v>
      </c>
    </row>
    <row r="146" spans="1:1" ht="15" customHeight="1" x14ac:dyDescent="0.2">
      <c r="A146" s="9" t="s">
        <v>862</v>
      </c>
    </row>
    <row r="147" spans="1:1" ht="15" customHeight="1" x14ac:dyDescent="0.2">
      <c r="A147" s="9" t="s">
        <v>863</v>
      </c>
    </row>
    <row r="149" spans="1:1" ht="15" customHeight="1" x14ac:dyDescent="0.2">
      <c r="A149" s="8" t="s">
        <v>866</v>
      </c>
    </row>
    <row r="150" spans="1:1" ht="15" customHeight="1" x14ac:dyDescent="0.2">
      <c r="A150" s="9" t="s">
        <v>858</v>
      </c>
    </row>
    <row r="151" spans="1:1" ht="15" customHeight="1" x14ac:dyDescent="0.2">
      <c r="A151" s="9" t="s">
        <v>859</v>
      </c>
    </row>
    <row r="152" spans="1:1" ht="15" customHeight="1" x14ac:dyDescent="0.2">
      <c r="A152" s="9" t="s">
        <v>860</v>
      </c>
    </row>
    <row r="153" spans="1:1" ht="15" customHeight="1" x14ac:dyDescent="0.2">
      <c r="A153" s="9" t="s">
        <v>5</v>
      </c>
    </row>
    <row r="155" spans="1:1" ht="15" customHeight="1" x14ac:dyDescent="0.2">
      <c r="A155" s="9" t="s">
        <v>88</v>
      </c>
    </row>
    <row r="157" spans="1:1" ht="15" customHeight="1" x14ac:dyDescent="0.2">
      <c r="A157" s="9" t="s">
        <v>867</v>
      </c>
    </row>
    <row r="158" spans="1:1" ht="15" customHeight="1" x14ac:dyDescent="0.2">
      <c r="A158" s="9" t="s">
        <v>868</v>
      </c>
    </row>
    <row r="159" spans="1:1" ht="15" customHeight="1" x14ac:dyDescent="0.2">
      <c r="A159" s="9" t="s">
        <v>869</v>
      </c>
    </row>
    <row r="161" spans="1:2" ht="15" customHeight="1" x14ac:dyDescent="0.2">
      <c r="A161" s="8" t="s">
        <v>3341</v>
      </c>
    </row>
    <row r="162" spans="1:2" ht="15" customHeight="1" x14ac:dyDescent="0.2">
      <c r="A162" s="8" t="s">
        <v>3342</v>
      </c>
    </row>
    <row r="163" spans="1:2" ht="15" customHeight="1" x14ac:dyDescent="0.2">
      <c r="A163" s="8" t="s">
        <v>3343</v>
      </c>
    </row>
    <row r="164" spans="1:2" ht="15" customHeight="1" x14ac:dyDescent="0.2">
      <c r="A164" s="9" t="s">
        <v>870</v>
      </c>
    </row>
    <row r="165" spans="1:2" ht="15" customHeight="1" x14ac:dyDescent="0.2">
      <c r="A165" s="9" t="s">
        <v>871</v>
      </c>
    </row>
    <row r="166" spans="1:2" ht="15" customHeight="1" x14ac:dyDescent="0.2">
      <c r="A166" s="9" t="s">
        <v>872</v>
      </c>
    </row>
    <row r="167" spans="1:2" ht="15" customHeight="1" x14ac:dyDescent="0.2">
      <c r="A167" s="9" t="s">
        <v>873</v>
      </c>
    </row>
    <row r="169" spans="1:2" ht="15" customHeight="1" x14ac:dyDescent="0.2">
      <c r="A169" s="9" t="s">
        <v>88</v>
      </c>
    </row>
    <row r="171" spans="1:2" ht="15" customHeight="1" x14ac:dyDescent="0.2">
      <c r="A171" s="9" t="s">
        <v>874</v>
      </c>
    </row>
    <row r="172" spans="1:2" ht="15" customHeight="1" x14ac:dyDescent="0.2">
      <c r="A172" s="9" t="s">
        <v>875</v>
      </c>
    </row>
    <row r="174" spans="1:2" ht="15" customHeight="1" x14ac:dyDescent="0.25">
      <c r="A174" s="25" t="s">
        <v>3906</v>
      </c>
      <c r="B174" s="21">
        <v>0.03</v>
      </c>
    </row>
    <row r="175" spans="1:2" ht="15" customHeight="1" x14ac:dyDescent="0.2">
      <c r="A175" s="25" t="s">
        <v>108</v>
      </c>
      <c r="B175" s="12">
        <v>100</v>
      </c>
    </row>
    <row r="176" spans="1:2" ht="15" customHeight="1" x14ac:dyDescent="0.2">
      <c r="A176" s="25" t="s">
        <v>101</v>
      </c>
      <c r="B176" s="9">
        <v>1</v>
      </c>
    </row>
    <row r="177" spans="1:5" ht="15" customHeight="1" x14ac:dyDescent="0.25">
      <c r="B177" s="59" t="s">
        <v>3912</v>
      </c>
      <c r="C177" s="59" t="s">
        <v>3913</v>
      </c>
      <c r="D177" s="59" t="s">
        <v>3914</v>
      </c>
    </row>
    <row r="178" spans="1:5" ht="15" customHeight="1" x14ac:dyDescent="0.2">
      <c r="A178" s="9" t="s">
        <v>876</v>
      </c>
      <c r="B178" s="9">
        <v>1</v>
      </c>
      <c r="C178" s="9">
        <v>2</v>
      </c>
      <c r="D178" s="9">
        <v>3</v>
      </c>
    </row>
    <row r="179" spans="1:5" ht="15" customHeight="1" x14ac:dyDescent="0.2">
      <c r="A179" s="9" t="s">
        <v>788</v>
      </c>
      <c r="B179" s="12">
        <f>B174*B175</f>
        <v>3</v>
      </c>
      <c r="C179" s="12">
        <f>B174*B175</f>
        <v>3</v>
      </c>
      <c r="D179" s="12">
        <f>B175+B174*B175</f>
        <v>103</v>
      </c>
    </row>
    <row r="180" spans="1:5" ht="15" customHeight="1" x14ac:dyDescent="0.2">
      <c r="A180" s="9" t="s">
        <v>877</v>
      </c>
      <c r="B180" s="21">
        <v>0.02</v>
      </c>
      <c r="C180" s="21">
        <v>0.03</v>
      </c>
      <c r="D180" s="21">
        <v>0.04</v>
      </c>
    </row>
    <row r="181" spans="1:5" ht="15" customHeight="1" x14ac:dyDescent="0.2">
      <c r="B181" s="21"/>
      <c r="C181" s="21"/>
      <c r="D181" s="21"/>
    </row>
    <row r="182" spans="1:5" ht="15" customHeight="1" x14ac:dyDescent="0.2">
      <c r="A182" s="9" t="s">
        <v>878</v>
      </c>
      <c r="B182" s="15">
        <f>B179/(1+B180)^B178*B176</f>
        <v>2.9411764705882351</v>
      </c>
      <c r="C182" s="15">
        <f>C179/(1+C180)^C178*B176</f>
        <v>2.8277877274012631</v>
      </c>
      <c r="D182" s="15">
        <f>D179/(1+D180)^D178*B176</f>
        <v>91.56662494310423</v>
      </c>
      <c r="E182" s="15">
        <f>SUM(B182:D182)</f>
        <v>97.335589141093735</v>
      </c>
    </row>
    <row r="183" spans="1:5" ht="15" customHeight="1" x14ac:dyDescent="0.25">
      <c r="A183" s="25" t="s">
        <v>3915</v>
      </c>
      <c r="B183" s="15">
        <f>B175-E182</f>
        <v>2.6644108589062654</v>
      </c>
    </row>
    <row r="185" spans="1:5" ht="15" customHeight="1" x14ac:dyDescent="0.2">
      <c r="A185" s="8" t="s">
        <v>3274</v>
      </c>
    </row>
    <row r="186" spans="1:5" ht="15" customHeight="1" x14ac:dyDescent="0.2">
      <c r="A186" s="8" t="s">
        <v>3362</v>
      </c>
    </row>
    <row r="187" spans="1:5" ht="15" customHeight="1" x14ac:dyDescent="0.2">
      <c r="A187" s="8" t="s">
        <v>3275</v>
      </c>
    </row>
    <row r="188" spans="1:5" ht="15" customHeight="1" x14ac:dyDescent="0.2">
      <c r="A188" s="8" t="s">
        <v>3276</v>
      </c>
    </row>
    <row r="189" spans="1:5" ht="15" customHeight="1" x14ac:dyDescent="0.2">
      <c r="A189" s="8" t="s">
        <v>3277</v>
      </c>
    </row>
    <row r="190" spans="1:5" ht="15" customHeight="1" x14ac:dyDescent="0.2">
      <c r="A190" s="9" t="s">
        <v>879</v>
      </c>
    </row>
    <row r="191" spans="1:5" ht="15" customHeight="1" x14ac:dyDescent="0.2">
      <c r="A191" s="9" t="s">
        <v>3278</v>
      </c>
    </row>
    <row r="192" spans="1:5" ht="15" customHeight="1" x14ac:dyDescent="0.2">
      <c r="A192" s="9" t="s">
        <v>880</v>
      </c>
    </row>
    <row r="193" spans="1:7" ht="15" customHeight="1" x14ac:dyDescent="0.2">
      <c r="A193" s="9" t="s">
        <v>881</v>
      </c>
    </row>
    <row r="195" spans="1:7" ht="15" customHeight="1" x14ac:dyDescent="0.2">
      <c r="A195" s="9" t="s">
        <v>88</v>
      </c>
    </row>
    <row r="197" spans="1:7" ht="15" customHeight="1" x14ac:dyDescent="0.2">
      <c r="A197" s="9" t="s">
        <v>3279</v>
      </c>
    </row>
    <row r="198" spans="1:7" ht="15" customHeight="1" x14ac:dyDescent="0.2">
      <c r="A198" s="9" t="s">
        <v>3280</v>
      </c>
    </row>
    <row r="199" spans="1:7" ht="15" customHeight="1" x14ac:dyDescent="0.2">
      <c r="A199" s="9" t="s">
        <v>3281</v>
      </c>
    </row>
    <row r="200" spans="1:7" ht="15" customHeight="1" x14ac:dyDescent="0.2">
      <c r="A200" s="9" t="s">
        <v>3282</v>
      </c>
    </row>
    <row r="201" spans="1:7" ht="15" customHeight="1" x14ac:dyDescent="0.2">
      <c r="A201" s="9" t="s">
        <v>3285</v>
      </c>
    </row>
    <row r="203" spans="1:7" ht="15" customHeight="1" x14ac:dyDescent="0.2">
      <c r="A203" s="25" t="s">
        <v>108</v>
      </c>
      <c r="B203" s="12">
        <v>15000000</v>
      </c>
    </row>
    <row r="204" spans="1:7" ht="15" customHeight="1" x14ac:dyDescent="0.25">
      <c r="A204" s="25" t="s">
        <v>3906</v>
      </c>
      <c r="B204" s="21">
        <v>0.05</v>
      </c>
    </row>
    <row r="205" spans="1:7" ht="15" customHeight="1" x14ac:dyDescent="0.25">
      <c r="A205" s="25" t="s">
        <v>3916</v>
      </c>
      <c r="B205" s="14">
        <v>4.8500000000000001E-2</v>
      </c>
    </row>
    <row r="206" spans="1:7" ht="15" customHeight="1" x14ac:dyDescent="0.2">
      <c r="A206" s="25" t="s">
        <v>101</v>
      </c>
      <c r="B206" s="9">
        <v>2</v>
      </c>
    </row>
    <row r="207" spans="1:7" ht="15" customHeight="1" x14ac:dyDescent="0.25">
      <c r="B207" s="65" t="s">
        <v>3917</v>
      </c>
      <c r="C207" s="65" t="s">
        <v>3918</v>
      </c>
      <c r="G207" s="66"/>
    </row>
    <row r="208" spans="1:7" ht="15" customHeight="1" x14ac:dyDescent="0.2">
      <c r="A208" s="9" t="s">
        <v>876</v>
      </c>
      <c r="B208" s="9">
        <f>3/12</f>
        <v>0.25</v>
      </c>
      <c r="C208" s="9">
        <f>9/12</f>
        <v>0.75</v>
      </c>
    </row>
    <row r="209" spans="1:4" ht="15" customHeight="1" x14ac:dyDescent="0.2">
      <c r="A209" s="9" t="s">
        <v>877</v>
      </c>
      <c r="B209" s="14">
        <v>5.2999999999999999E-2</v>
      </c>
      <c r="C209" s="14">
        <v>5.8000000000000003E-2</v>
      </c>
    </row>
    <row r="210" spans="1:4" ht="15" customHeight="1" x14ac:dyDescent="0.2">
      <c r="A210" s="9" t="s">
        <v>882</v>
      </c>
      <c r="B210" s="67">
        <f>(B205*B208+B209*B208)*B206</f>
        <v>5.0750000000000003E-2</v>
      </c>
      <c r="C210" s="1">
        <f>(C209*C208-B209*B208)/(C208-B208)</f>
        <v>6.0500000000000012E-2</v>
      </c>
    </row>
    <row r="211" spans="1:4" ht="15" customHeight="1" x14ac:dyDescent="0.2">
      <c r="A211" s="9" t="s">
        <v>3283</v>
      </c>
      <c r="B211" s="12">
        <f>B203*B204/B206</f>
        <v>375000</v>
      </c>
      <c r="C211" s="12">
        <f>B203*B204/B206</f>
        <v>375000</v>
      </c>
    </row>
    <row r="212" spans="1:4" ht="15" customHeight="1" x14ac:dyDescent="0.2">
      <c r="A212" s="9" t="s">
        <v>3284</v>
      </c>
      <c r="B212" s="15">
        <f>B203*(EXP(B210/B206)-1)</f>
        <v>385495.28694161063</v>
      </c>
      <c r="C212" s="15">
        <f>B203*(EXP(C210/B206)-1)</f>
        <v>460682.69687089766</v>
      </c>
    </row>
    <row r="213" spans="1:4" ht="15" customHeight="1" x14ac:dyDescent="0.25">
      <c r="A213" s="25" t="s">
        <v>3915</v>
      </c>
      <c r="B213" s="12">
        <f>(B211-B212)*EXP(-B209*B208)</f>
        <v>-10357.141623455931</v>
      </c>
      <c r="C213" s="12">
        <f>(C211-C212)*EXP(-C209*C208)</f>
        <v>-82035.403306505657</v>
      </c>
      <c r="D213" s="12">
        <f>SUM(B213:C213)</f>
        <v>-92392.544929961587</v>
      </c>
    </row>
    <row r="215" spans="1:4" ht="15" customHeight="1" x14ac:dyDescent="0.2">
      <c r="A215" s="8" t="s">
        <v>3344</v>
      </c>
    </row>
    <row r="216" spans="1:4" ht="15" customHeight="1" x14ac:dyDescent="0.2">
      <c r="A216" s="9" t="s">
        <v>3345</v>
      </c>
    </row>
    <row r="217" spans="1:4" ht="15" customHeight="1" x14ac:dyDescent="0.2">
      <c r="A217" s="9" t="s">
        <v>3346</v>
      </c>
    </row>
    <row r="218" spans="1:4" ht="15" customHeight="1" x14ac:dyDescent="0.2">
      <c r="A218" s="9" t="s">
        <v>3347</v>
      </c>
    </row>
    <row r="219" spans="1:4" ht="15" customHeight="1" x14ac:dyDescent="0.2">
      <c r="A219" s="9" t="s">
        <v>3348</v>
      </c>
    </row>
    <row r="221" spans="1:4" ht="15" customHeight="1" x14ac:dyDescent="0.2">
      <c r="A221" s="9" t="s">
        <v>80</v>
      </c>
    </row>
    <row r="223" spans="1:4" ht="15" customHeight="1" x14ac:dyDescent="0.2">
      <c r="A223" s="9" t="s">
        <v>3349</v>
      </c>
    </row>
    <row r="224" spans="1:4" ht="15" customHeight="1" x14ac:dyDescent="0.2">
      <c r="A224" s="9" t="s">
        <v>3350</v>
      </c>
    </row>
    <row r="226" spans="1:1" ht="15" customHeight="1" x14ac:dyDescent="0.2">
      <c r="A226" s="8" t="s">
        <v>3179</v>
      </c>
    </row>
    <row r="227" spans="1:1" ht="15" customHeight="1" x14ac:dyDescent="0.2">
      <c r="A227" s="9" t="s">
        <v>3180</v>
      </c>
    </row>
    <row r="228" spans="1:1" ht="15" customHeight="1" x14ac:dyDescent="0.2">
      <c r="A228" s="9" t="s">
        <v>3181</v>
      </c>
    </row>
    <row r="229" spans="1:1" ht="15" customHeight="1" x14ac:dyDescent="0.2">
      <c r="A229" s="9" t="s">
        <v>3182</v>
      </c>
    </row>
    <row r="230" spans="1:1" ht="15" customHeight="1" x14ac:dyDescent="0.2">
      <c r="A230" s="9" t="s">
        <v>3397</v>
      </c>
    </row>
    <row r="232" spans="1:1" ht="15" customHeight="1" x14ac:dyDescent="0.2">
      <c r="A232" s="9" t="s">
        <v>110</v>
      </c>
    </row>
    <row r="234" spans="1:1" ht="15" customHeight="1" x14ac:dyDescent="0.2">
      <c r="A234" s="9" t="s">
        <v>3398</v>
      </c>
    </row>
    <row r="236" spans="1:1" ht="15" customHeight="1" x14ac:dyDescent="0.2">
      <c r="A236" s="8" t="s">
        <v>3183</v>
      </c>
    </row>
    <row r="237" spans="1:1" ht="15" customHeight="1" x14ac:dyDescent="0.2">
      <c r="A237" s="9" t="s">
        <v>883</v>
      </c>
    </row>
    <row r="238" spans="1:1" ht="15" customHeight="1" x14ac:dyDescent="0.2">
      <c r="A238" s="9" t="s">
        <v>884</v>
      </c>
    </row>
    <row r="239" spans="1:1" ht="15" customHeight="1" x14ac:dyDescent="0.2">
      <c r="A239" s="9" t="s">
        <v>885</v>
      </c>
    </row>
    <row r="240" spans="1:1" ht="15" customHeight="1" x14ac:dyDescent="0.2">
      <c r="A240" s="9" t="s">
        <v>886</v>
      </c>
    </row>
    <row r="242" spans="1:1" ht="15" customHeight="1" x14ac:dyDescent="0.2">
      <c r="A242" s="9" t="s">
        <v>80</v>
      </c>
    </row>
    <row r="244" spans="1:1" ht="15" customHeight="1" x14ac:dyDescent="0.2">
      <c r="A244" s="9" t="s">
        <v>3184</v>
      </c>
    </row>
    <row r="246" spans="1:1" ht="15" customHeight="1" x14ac:dyDescent="0.2">
      <c r="A246" s="8" t="s">
        <v>3351</v>
      </c>
    </row>
    <row r="247" spans="1:1" ht="15" customHeight="1" x14ac:dyDescent="0.2">
      <c r="A247" s="9" t="s">
        <v>887</v>
      </c>
    </row>
    <row r="248" spans="1:1" ht="15" customHeight="1" x14ac:dyDescent="0.2">
      <c r="A248" s="9" t="s">
        <v>888</v>
      </c>
    </row>
    <row r="249" spans="1:1" ht="15" customHeight="1" x14ac:dyDescent="0.2">
      <c r="A249" s="9" t="s">
        <v>889</v>
      </c>
    </row>
    <row r="250" spans="1:1" ht="15" customHeight="1" x14ac:dyDescent="0.2">
      <c r="A250" s="9" t="s">
        <v>890</v>
      </c>
    </row>
    <row r="252" spans="1:1" ht="15" customHeight="1" x14ac:dyDescent="0.2">
      <c r="A252" s="9" t="s">
        <v>98</v>
      </c>
    </row>
    <row r="254" spans="1:1" ht="15" customHeight="1" x14ac:dyDescent="0.2">
      <c r="A254" s="9" t="s">
        <v>3352</v>
      </c>
    </row>
    <row r="255" spans="1:1" ht="15" customHeight="1" x14ac:dyDescent="0.2">
      <c r="A255" s="9" t="s">
        <v>3353</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8">
    <tabColor rgb="FF536878"/>
    <pageSetUpPr fitToPage="1"/>
  </sheetPr>
  <dimension ref="A1:P301"/>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0" style="9" customWidth="1"/>
    <col min="2" max="4" width="9.140625" style="9" customWidth="1"/>
    <col min="5" max="16384" width="9.140625" style="9"/>
  </cols>
  <sheetData>
    <row r="1" spans="1:16" ht="15" customHeight="1" x14ac:dyDescent="0.2">
      <c r="A1" s="75" t="s">
        <v>4023</v>
      </c>
      <c r="B1" s="76"/>
      <c r="C1" s="76"/>
      <c r="D1" s="76"/>
      <c r="E1" s="76"/>
      <c r="F1" s="76"/>
      <c r="G1" s="76"/>
      <c r="H1" s="76"/>
      <c r="I1" s="76"/>
      <c r="J1" s="76"/>
      <c r="K1" s="76"/>
      <c r="L1" s="76"/>
      <c r="M1" s="76"/>
      <c r="N1" s="76"/>
      <c r="O1" s="76"/>
      <c r="P1" s="76"/>
    </row>
    <row r="3" spans="1:16" ht="15" customHeight="1" x14ac:dyDescent="0.2">
      <c r="A3" s="8" t="s">
        <v>892</v>
      </c>
    </row>
    <row r="4" spans="1:16" ht="15" customHeight="1" x14ac:dyDescent="0.2">
      <c r="A4" s="9" t="s">
        <v>893</v>
      </c>
    </row>
    <row r="5" spans="1:16" ht="15" customHeight="1" x14ac:dyDescent="0.2">
      <c r="A5" s="9" t="s">
        <v>3884</v>
      </c>
    </row>
    <row r="6" spans="1:16" ht="15" customHeight="1" x14ac:dyDescent="0.2">
      <c r="A6" s="9" t="s">
        <v>3885</v>
      </c>
    </row>
    <row r="7" spans="1:16" ht="15" customHeight="1" x14ac:dyDescent="0.2">
      <c r="A7" s="9" t="s">
        <v>176</v>
      </c>
    </row>
    <row r="9" spans="1:16" ht="15" customHeight="1" x14ac:dyDescent="0.2">
      <c r="A9" s="9" t="s">
        <v>98</v>
      </c>
    </row>
    <row r="11" spans="1:16" ht="15" customHeight="1" x14ac:dyDescent="0.2">
      <c r="A11" s="9" t="s">
        <v>894</v>
      </c>
    </row>
    <row r="12" spans="1:16" ht="15" customHeight="1" x14ac:dyDescent="0.2">
      <c r="A12" s="9" t="s">
        <v>895</v>
      </c>
    </row>
    <row r="13" spans="1:16" ht="15" customHeight="1" x14ac:dyDescent="0.2">
      <c r="A13" s="9" t="s">
        <v>896</v>
      </c>
    </row>
    <row r="14" spans="1:16" ht="15" customHeight="1" x14ac:dyDescent="0.2">
      <c r="A14" s="9" t="s">
        <v>897</v>
      </c>
    </row>
    <row r="16" spans="1:16" ht="15" customHeight="1" x14ac:dyDescent="0.25">
      <c r="A16" s="8" t="s">
        <v>3886</v>
      </c>
    </row>
    <row r="17" spans="1:1" ht="15" customHeight="1" x14ac:dyDescent="0.2">
      <c r="A17" s="9" t="s">
        <v>177</v>
      </c>
    </row>
    <row r="18" spans="1:1" ht="15" customHeight="1" x14ac:dyDescent="0.2">
      <c r="A18" s="9" t="s">
        <v>192</v>
      </c>
    </row>
    <row r="19" spans="1:1" ht="15" customHeight="1" x14ac:dyDescent="0.2">
      <c r="A19" s="9" t="s">
        <v>193</v>
      </c>
    </row>
    <row r="20" spans="1:1" ht="15" customHeight="1" x14ac:dyDescent="0.2">
      <c r="A20" s="9" t="s">
        <v>15</v>
      </c>
    </row>
    <row r="22" spans="1:1" ht="15" customHeight="1" x14ac:dyDescent="0.2">
      <c r="A22" s="9" t="s">
        <v>88</v>
      </c>
    </row>
    <row r="24" spans="1:1" ht="15" customHeight="1" x14ac:dyDescent="0.2">
      <c r="A24" s="9" t="s">
        <v>898</v>
      </c>
    </row>
    <row r="25" spans="1:1" ht="15" customHeight="1" x14ac:dyDescent="0.2">
      <c r="A25" s="9" t="s">
        <v>899</v>
      </c>
    </row>
    <row r="26" spans="1:1" ht="15" customHeight="1" x14ac:dyDescent="0.2">
      <c r="A26" s="9" t="s">
        <v>900</v>
      </c>
    </row>
    <row r="28" spans="1:1" ht="15" customHeight="1" x14ac:dyDescent="0.2">
      <c r="A28" s="8" t="s">
        <v>3887</v>
      </c>
    </row>
    <row r="29" spans="1:1" ht="15" customHeight="1" x14ac:dyDescent="0.2">
      <c r="A29" s="9" t="s">
        <v>3888</v>
      </c>
    </row>
    <row r="30" spans="1:1" ht="15" customHeight="1" x14ac:dyDescent="0.2">
      <c r="A30" s="9" t="s">
        <v>901</v>
      </c>
    </row>
    <row r="31" spans="1:1" ht="15" customHeight="1" x14ac:dyDescent="0.2">
      <c r="A31" s="9" t="s">
        <v>902</v>
      </c>
    </row>
    <row r="32" spans="1:1" ht="15" customHeight="1" x14ac:dyDescent="0.2">
      <c r="A32" s="9" t="s">
        <v>903</v>
      </c>
    </row>
    <row r="34" spans="1:1" ht="15" customHeight="1" x14ac:dyDescent="0.2">
      <c r="A34" s="9" t="s">
        <v>110</v>
      </c>
    </row>
    <row r="36" spans="1:1" ht="15" customHeight="1" x14ac:dyDescent="0.2">
      <c r="A36" s="9" t="s">
        <v>904</v>
      </c>
    </row>
    <row r="38" spans="1:1" ht="15" customHeight="1" x14ac:dyDescent="0.2">
      <c r="A38" s="8" t="s">
        <v>891</v>
      </c>
    </row>
    <row r="39" spans="1:1" s="8" customFormat="1" ht="15" customHeight="1" x14ac:dyDescent="0.2">
      <c r="A39" s="8" t="s">
        <v>905</v>
      </c>
    </row>
    <row r="40" spans="1:1" s="8" customFormat="1" ht="15" customHeight="1" x14ac:dyDescent="0.25">
      <c r="A40" s="8" t="s">
        <v>3889</v>
      </c>
    </row>
    <row r="41" spans="1:1" s="8" customFormat="1" ht="15" customHeight="1" x14ac:dyDescent="0.2">
      <c r="A41" s="8" t="s">
        <v>906</v>
      </c>
    </row>
    <row r="42" spans="1:1" ht="15" customHeight="1" x14ac:dyDescent="0.2">
      <c r="A42" s="9" t="s">
        <v>907</v>
      </c>
    </row>
    <row r="43" spans="1:1" ht="15" customHeight="1" x14ac:dyDescent="0.2">
      <c r="A43" s="9" t="s">
        <v>908</v>
      </c>
    </row>
    <row r="44" spans="1:1" ht="15" customHeight="1" x14ac:dyDescent="0.2">
      <c r="A44" s="9" t="s">
        <v>909</v>
      </c>
    </row>
    <row r="45" spans="1:1" ht="15" customHeight="1" x14ac:dyDescent="0.2">
      <c r="A45" s="9" t="s">
        <v>910</v>
      </c>
    </row>
    <row r="47" spans="1:1" ht="15" customHeight="1" x14ac:dyDescent="0.2">
      <c r="A47" s="9" t="s">
        <v>88</v>
      </c>
    </row>
    <row r="49" spans="1:8" ht="15" customHeight="1" x14ac:dyDescent="0.2">
      <c r="A49" s="9" t="s">
        <v>911</v>
      </c>
    </row>
    <row r="51" spans="1:8" ht="15" customHeight="1" x14ac:dyDescent="0.25">
      <c r="A51" s="25" t="s">
        <v>3890</v>
      </c>
      <c r="B51" s="21">
        <v>0.8</v>
      </c>
    </row>
    <row r="52" spans="1:8" ht="15" customHeight="1" x14ac:dyDescent="0.25">
      <c r="A52" s="25" t="s">
        <v>3891</v>
      </c>
      <c r="B52" s="21">
        <v>0.1</v>
      </c>
    </row>
    <row r="53" spans="1:8" ht="15" customHeight="1" x14ac:dyDescent="0.25">
      <c r="A53" s="25" t="s">
        <v>3892</v>
      </c>
      <c r="B53" s="21">
        <v>0.1</v>
      </c>
    </row>
    <row r="54" spans="1:8" ht="22.5" customHeight="1" x14ac:dyDescent="0.2">
      <c r="A54" s="78" t="s">
        <v>168</v>
      </c>
      <c r="B54" s="78"/>
      <c r="C54" s="78" t="s">
        <v>174</v>
      </c>
      <c r="D54" s="78"/>
      <c r="E54" s="78" t="s">
        <v>912</v>
      </c>
      <c r="F54" s="78"/>
      <c r="G54" s="78" t="s">
        <v>175</v>
      </c>
      <c r="H54" s="78"/>
    </row>
    <row r="55" spans="1:8" ht="22.5" customHeight="1" x14ac:dyDescent="0.2">
      <c r="A55" s="80"/>
      <c r="B55" s="80"/>
      <c r="C55" s="80"/>
      <c r="D55" s="80"/>
      <c r="E55" s="80"/>
      <c r="F55" s="80"/>
      <c r="G55" s="80"/>
      <c r="H55" s="80"/>
    </row>
    <row r="56" spans="1:8" ht="15" customHeight="1" x14ac:dyDescent="0.2">
      <c r="A56" s="81">
        <v>0.16</v>
      </c>
      <c r="B56" s="81"/>
      <c r="C56" s="81">
        <f>MIN(A56,B53)/B53</f>
        <v>1</v>
      </c>
      <c r="D56" s="81"/>
      <c r="E56" s="82">
        <f>MAX(MIN(A56-B53,B52),0)/B52</f>
        <v>0.6</v>
      </c>
      <c r="F56" s="82"/>
      <c r="G56" s="82">
        <f>MAX(MIN(A56-B53-B52,B51),0)/B51</f>
        <v>0</v>
      </c>
      <c r="H56" s="82"/>
    </row>
    <row r="58" spans="1:8" ht="15" customHeight="1" x14ac:dyDescent="0.2">
      <c r="A58" s="8" t="s">
        <v>960</v>
      </c>
    </row>
    <row r="59" spans="1:8" s="8" customFormat="1" ht="15" customHeight="1" x14ac:dyDescent="0.2">
      <c r="A59" s="8" t="s">
        <v>961</v>
      </c>
    </row>
    <row r="60" spans="1:8" s="8" customFormat="1" ht="15" customHeight="1" x14ac:dyDescent="0.25">
      <c r="A60" s="8" t="s">
        <v>3893</v>
      </c>
    </row>
    <row r="61" spans="1:8" s="8" customFormat="1" ht="15" customHeight="1" x14ac:dyDescent="0.25">
      <c r="A61" s="8" t="s">
        <v>3894</v>
      </c>
    </row>
    <row r="62" spans="1:8" s="8" customFormat="1" ht="15" customHeight="1" x14ac:dyDescent="0.2">
      <c r="A62" s="8" t="s">
        <v>962</v>
      </c>
    </row>
    <row r="63" spans="1:8" s="8" customFormat="1" ht="15" customHeight="1" x14ac:dyDescent="0.25">
      <c r="A63" s="8" t="s">
        <v>3895</v>
      </c>
    </row>
    <row r="64" spans="1:8" ht="15" customHeight="1" x14ac:dyDescent="0.2">
      <c r="A64" s="9" t="s">
        <v>907</v>
      </c>
    </row>
    <row r="65" spans="1:3" ht="15" customHeight="1" x14ac:dyDescent="0.2">
      <c r="A65" s="9" t="s">
        <v>908</v>
      </c>
    </row>
    <row r="66" spans="1:3" ht="15" customHeight="1" x14ac:dyDescent="0.2">
      <c r="A66" s="9" t="s">
        <v>909</v>
      </c>
    </row>
    <row r="67" spans="1:3" ht="15" customHeight="1" x14ac:dyDescent="0.2">
      <c r="A67" s="9" t="s">
        <v>910</v>
      </c>
    </row>
    <row r="69" spans="1:3" ht="15" customHeight="1" x14ac:dyDescent="0.2">
      <c r="A69" s="9" t="s">
        <v>110</v>
      </c>
    </row>
    <row r="71" spans="1:3" ht="15" customHeight="1" x14ac:dyDescent="0.2">
      <c r="A71" s="9" t="s">
        <v>913</v>
      </c>
    </row>
    <row r="72" spans="1:3" ht="15" customHeight="1" x14ac:dyDescent="0.2">
      <c r="A72" s="9" t="s">
        <v>914</v>
      </c>
    </row>
    <row r="74" spans="1:3" ht="15" customHeight="1" x14ac:dyDescent="0.25">
      <c r="A74" s="25" t="s">
        <v>3890</v>
      </c>
      <c r="C74" s="21">
        <v>0.8</v>
      </c>
    </row>
    <row r="75" spans="1:3" ht="15" customHeight="1" x14ac:dyDescent="0.25">
      <c r="A75" s="25" t="s">
        <v>3891</v>
      </c>
      <c r="C75" s="21">
        <v>0.1</v>
      </c>
    </row>
    <row r="76" spans="1:3" ht="15" customHeight="1" x14ac:dyDescent="0.25">
      <c r="A76" s="25" t="s">
        <v>3892</v>
      </c>
      <c r="C76" s="21">
        <v>0.1</v>
      </c>
    </row>
    <row r="77" spans="1:3" ht="15" customHeight="1" x14ac:dyDescent="0.25">
      <c r="A77" s="25" t="s">
        <v>3896</v>
      </c>
      <c r="C77" s="21">
        <v>0.8</v>
      </c>
    </row>
    <row r="78" spans="1:3" ht="15" customHeight="1" x14ac:dyDescent="0.25">
      <c r="A78" s="25" t="s">
        <v>3897</v>
      </c>
      <c r="C78" s="21">
        <v>0.1</v>
      </c>
    </row>
    <row r="79" spans="1:3" ht="15" customHeight="1" x14ac:dyDescent="0.25">
      <c r="A79" s="25" t="s">
        <v>3898</v>
      </c>
      <c r="C79" s="21">
        <v>0.1</v>
      </c>
    </row>
    <row r="80" spans="1:3" ht="15" customHeight="1" x14ac:dyDescent="0.25">
      <c r="A80" s="25" t="s">
        <v>3899</v>
      </c>
      <c r="C80" s="14">
        <f>C77*C75</f>
        <v>8.0000000000000016E-2</v>
      </c>
    </row>
    <row r="81" spans="1:7" ht="15" customHeight="1" x14ac:dyDescent="0.25">
      <c r="A81" s="25" t="s">
        <v>3900</v>
      </c>
      <c r="C81" s="14">
        <f>C78*C75</f>
        <v>1.0000000000000002E-2</v>
      </c>
    </row>
    <row r="82" spans="1:7" ht="15" customHeight="1" x14ac:dyDescent="0.25">
      <c r="A82" s="25" t="s">
        <v>3901</v>
      </c>
      <c r="C82" s="14">
        <f>C79*C75</f>
        <v>1.0000000000000002E-2</v>
      </c>
    </row>
    <row r="83" spans="1:7" ht="15" customHeight="1" x14ac:dyDescent="0.25">
      <c r="A83" s="25" t="s">
        <v>3902</v>
      </c>
      <c r="C83" s="14">
        <f>C74+C80</f>
        <v>0.88000000000000012</v>
      </c>
    </row>
    <row r="84" spans="1:7" ht="37.5" customHeight="1" x14ac:dyDescent="0.2">
      <c r="A84" s="78" t="s">
        <v>168</v>
      </c>
      <c r="B84" s="78" t="s">
        <v>174</v>
      </c>
      <c r="C84" s="78" t="s">
        <v>169</v>
      </c>
      <c r="D84" s="78" t="s">
        <v>175</v>
      </c>
      <c r="E84" s="80" t="s">
        <v>170</v>
      </c>
      <c r="F84" s="80"/>
      <c r="G84" s="80"/>
    </row>
    <row r="85" spans="1:7" ht="37.5" customHeight="1" x14ac:dyDescent="0.2">
      <c r="A85" s="79"/>
      <c r="B85" s="79"/>
      <c r="C85" s="79"/>
      <c r="D85" s="79"/>
      <c r="E85" s="61" t="s">
        <v>171</v>
      </c>
      <c r="F85" s="61" t="s">
        <v>172</v>
      </c>
      <c r="G85" s="61" t="s">
        <v>173</v>
      </c>
    </row>
    <row r="86" spans="1:7" ht="15" customHeight="1" x14ac:dyDescent="0.2">
      <c r="A86" s="62">
        <v>0.16</v>
      </c>
      <c r="B86" s="62">
        <f>MIN(A86,C76)/C76</f>
        <v>1</v>
      </c>
      <c r="C86" s="63">
        <f>MAX(MIN(A86-C76,C75)/C75,0)</f>
        <v>0.6</v>
      </c>
      <c r="D86" s="63">
        <f>MAX(MIN(A86-C76-C75,C74)/C74,0)</f>
        <v>0</v>
      </c>
      <c r="E86" s="64">
        <f>MIN(C86,C79)/C79</f>
        <v>1</v>
      </c>
      <c r="F86" s="64">
        <f>MAX(MIN(C86-C79,C78)/C78,0)</f>
        <v>1</v>
      </c>
      <c r="G86" s="63">
        <f>MAX(MIN(C86-C79-C78,C77)/C77,0)</f>
        <v>0.5</v>
      </c>
    </row>
    <row r="88" spans="1:7" ht="15" customHeight="1" x14ac:dyDescent="0.2">
      <c r="A88" s="8" t="s">
        <v>963</v>
      </c>
    </row>
    <row r="89" spans="1:7" s="8" customFormat="1" ht="15" customHeight="1" x14ac:dyDescent="0.2">
      <c r="A89" s="8" t="s">
        <v>961</v>
      </c>
    </row>
    <row r="90" spans="1:7" s="8" customFormat="1" ht="15" customHeight="1" x14ac:dyDescent="0.25">
      <c r="A90" s="8" t="s">
        <v>3903</v>
      </c>
    </row>
    <row r="91" spans="1:7" s="8" customFormat="1" ht="15" customHeight="1" x14ac:dyDescent="0.25">
      <c r="A91" s="8" t="s">
        <v>3894</v>
      </c>
    </row>
    <row r="92" spans="1:7" s="8" customFormat="1" ht="15" customHeight="1" x14ac:dyDescent="0.2">
      <c r="A92" s="8" t="s">
        <v>962</v>
      </c>
    </row>
    <row r="93" spans="1:7" s="8" customFormat="1" ht="15" customHeight="1" x14ac:dyDescent="0.25">
      <c r="A93" s="8" t="s">
        <v>3904</v>
      </c>
    </row>
    <row r="94" spans="1:7" ht="15" customHeight="1" x14ac:dyDescent="0.2">
      <c r="A94" s="9" t="s">
        <v>907</v>
      </c>
    </row>
    <row r="95" spans="1:7" ht="15" customHeight="1" x14ac:dyDescent="0.2">
      <c r="A95" s="9" t="s">
        <v>908</v>
      </c>
    </row>
    <row r="96" spans="1:7" ht="15" customHeight="1" x14ac:dyDescent="0.2">
      <c r="A96" s="9" t="s">
        <v>909</v>
      </c>
    </row>
    <row r="97" spans="1:3" ht="15" customHeight="1" x14ac:dyDescent="0.2">
      <c r="A97" s="9" t="s">
        <v>910</v>
      </c>
    </row>
    <row r="99" spans="1:3" ht="15" customHeight="1" x14ac:dyDescent="0.2">
      <c r="A99" s="9" t="s">
        <v>80</v>
      </c>
    </row>
    <row r="101" spans="1:3" ht="15" customHeight="1" x14ac:dyDescent="0.2">
      <c r="A101" s="9" t="s">
        <v>915</v>
      </c>
    </row>
    <row r="103" spans="1:3" ht="15" customHeight="1" x14ac:dyDescent="0.25">
      <c r="A103" s="25" t="s">
        <v>3890</v>
      </c>
      <c r="C103" s="21">
        <v>0.8</v>
      </c>
    </row>
    <row r="104" spans="1:3" ht="15" customHeight="1" x14ac:dyDescent="0.25">
      <c r="A104" s="25" t="s">
        <v>3891</v>
      </c>
      <c r="C104" s="21">
        <v>0.1</v>
      </c>
    </row>
    <row r="105" spans="1:3" ht="15" customHeight="1" x14ac:dyDescent="0.25">
      <c r="A105" s="25" t="s">
        <v>3892</v>
      </c>
      <c r="C105" s="21">
        <v>0.1</v>
      </c>
    </row>
    <row r="106" spans="1:3" ht="15" customHeight="1" x14ac:dyDescent="0.25">
      <c r="A106" s="25" t="s">
        <v>3896</v>
      </c>
      <c r="C106" s="21">
        <v>0.8</v>
      </c>
    </row>
    <row r="107" spans="1:3" ht="15" customHeight="1" x14ac:dyDescent="0.25">
      <c r="A107" s="25" t="s">
        <v>3897</v>
      </c>
      <c r="C107" s="21">
        <v>0.1</v>
      </c>
    </row>
    <row r="108" spans="1:3" ht="15" customHeight="1" x14ac:dyDescent="0.25">
      <c r="A108" s="25" t="s">
        <v>3898</v>
      </c>
      <c r="C108" s="21">
        <v>0.1</v>
      </c>
    </row>
    <row r="109" spans="1:3" ht="15" customHeight="1" x14ac:dyDescent="0.25">
      <c r="A109" s="25" t="s">
        <v>3899</v>
      </c>
      <c r="C109" s="14">
        <f>C106*C104</f>
        <v>8.0000000000000016E-2</v>
      </c>
    </row>
    <row r="110" spans="1:3" ht="15" customHeight="1" x14ac:dyDescent="0.25">
      <c r="A110" s="25" t="s">
        <v>3900</v>
      </c>
      <c r="C110" s="14">
        <f>C107*C104</f>
        <v>1.0000000000000002E-2</v>
      </c>
    </row>
    <row r="111" spans="1:3" ht="15" customHeight="1" x14ac:dyDescent="0.25">
      <c r="A111" s="25" t="s">
        <v>3901</v>
      </c>
      <c r="C111" s="14">
        <f>C108*C104</f>
        <v>1.0000000000000002E-2</v>
      </c>
    </row>
    <row r="112" spans="1:3" ht="15" customHeight="1" x14ac:dyDescent="0.25">
      <c r="A112" s="25" t="s">
        <v>3902</v>
      </c>
      <c r="C112" s="14">
        <f>C103+C109</f>
        <v>0.88000000000000012</v>
      </c>
    </row>
    <row r="113" spans="1:7" ht="37.5" customHeight="1" x14ac:dyDescent="0.2">
      <c r="A113" s="78" t="s">
        <v>168</v>
      </c>
      <c r="B113" s="78" t="s">
        <v>174</v>
      </c>
      <c r="C113" s="78" t="s">
        <v>169</v>
      </c>
      <c r="D113" s="78" t="s">
        <v>175</v>
      </c>
      <c r="E113" s="80" t="s">
        <v>170</v>
      </c>
      <c r="F113" s="80"/>
      <c r="G113" s="80"/>
    </row>
    <row r="114" spans="1:7" ht="37.5" customHeight="1" x14ac:dyDescent="0.2">
      <c r="A114" s="79"/>
      <c r="B114" s="79"/>
      <c r="C114" s="79"/>
      <c r="D114" s="79"/>
      <c r="E114" s="61" t="s">
        <v>171</v>
      </c>
      <c r="F114" s="61" t="s">
        <v>172</v>
      </c>
      <c r="G114" s="61" t="s">
        <v>173</v>
      </c>
    </row>
    <row r="115" spans="1:7" ht="15" customHeight="1" x14ac:dyDescent="0.2">
      <c r="A115" s="62">
        <v>0.16</v>
      </c>
      <c r="B115" s="62">
        <f>MIN(A115,C105)/C105</f>
        <v>1</v>
      </c>
      <c r="C115" s="63">
        <f>MAX(MIN(A115-C105,C104)/C104,0)</f>
        <v>0.6</v>
      </c>
      <c r="D115" s="63">
        <f>MAX(MIN(A115-C105-C104,C103)/C103,0)</f>
        <v>0</v>
      </c>
      <c r="E115" s="64">
        <f>MIN(C115,C108)/C108</f>
        <v>1</v>
      </c>
      <c r="F115" s="64">
        <f>MAX(MIN(C115-C108,C107)/C107,0)</f>
        <v>1</v>
      </c>
      <c r="G115" s="63">
        <f>MAX(MIN(C115-C108-C107,C106)/C106,0)</f>
        <v>0.5</v>
      </c>
    </row>
    <row r="117" spans="1:7" ht="15" customHeight="1" x14ac:dyDescent="0.2">
      <c r="A117" s="8" t="s">
        <v>916</v>
      </c>
    </row>
    <row r="118" spans="1:7" ht="15" customHeight="1" x14ac:dyDescent="0.2">
      <c r="A118" s="9" t="s">
        <v>917</v>
      </c>
    </row>
    <row r="119" spans="1:7" ht="15" customHeight="1" x14ac:dyDescent="0.2">
      <c r="A119" s="9" t="s">
        <v>918</v>
      </c>
    </row>
    <row r="120" spans="1:7" ht="15" customHeight="1" x14ac:dyDescent="0.2">
      <c r="A120" s="9" t="s">
        <v>919</v>
      </c>
    </row>
    <row r="121" spans="1:7" ht="15" customHeight="1" x14ac:dyDescent="0.2">
      <c r="A121" s="9" t="s">
        <v>920</v>
      </c>
    </row>
    <row r="123" spans="1:7" ht="15" customHeight="1" x14ac:dyDescent="0.2">
      <c r="A123" s="9" t="s">
        <v>110</v>
      </c>
    </row>
    <row r="125" spans="1:7" ht="15" customHeight="1" x14ac:dyDescent="0.2">
      <c r="A125" s="9" t="s">
        <v>921</v>
      </c>
    </row>
    <row r="127" spans="1:7" ht="15" customHeight="1" x14ac:dyDescent="0.2">
      <c r="A127" s="8" t="s">
        <v>922</v>
      </c>
    </row>
    <row r="128" spans="1:7" ht="15" customHeight="1" x14ac:dyDescent="0.2">
      <c r="A128" s="9" t="s">
        <v>923</v>
      </c>
    </row>
    <row r="129" spans="1:1" ht="15" customHeight="1" x14ac:dyDescent="0.2">
      <c r="A129" s="9" t="s">
        <v>924</v>
      </c>
    </row>
    <row r="130" spans="1:1" ht="15" customHeight="1" x14ac:dyDescent="0.2">
      <c r="A130" s="9" t="s">
        <v>925</v>
      </c>
    </row>
    <row r="131" spans="1:1" ht="15" customHeight="1" x14ac:dyDescent="0.2">
      <c r="A131" s="9" t="s">
        <v>926</v>
      </c>
    </row>
    <row r="133" spans="1:1" ht="15" customHeight="1" x14ac:dyDescent="0.2">
      <c r="A133" s="9" t="s">
        <v>88</v>
      </c>
    </row>
    <row r="135" spans="1:1" ht="15" customHeight="1" x14ac:dyDescent="0.2">
      <c r="A135" s="9" t="s">
        <v>927</v>
      </c>
    </row>
    <row r="137" spans="1:1" ht="15" customHeight="1" x14ac:dyDescent="0.2">
      <c r="A137" s="8" t="s">
        <v>928</v>
      </c>
    </row>
    <row r="138" spans="1:1" ht="15" customHeight="1" x14ac:dyDescent="0.2">
      <c r="A138" s="9" t="s">
        <v>929</v>
      </c>
    </row>
    <row r="139" spans="1:1" ht="15" customHeight="1" x14ac:dyDescent="0.2">
      <c r="A139" s="9" t="s">
        <v>930</v>
      </c>
    </row>
    <row r="140" spans="1:1" ht="15" customHeight="1" x14ac:dyDescent="0.2">
      <c r="A140" s="9" t="s">
        <v>931</v>
      </c>
    </row>
    <row r="141" spans="1:1" ht="15" customHeight="1" x14ac:dyDescent="0.2">
      <c r="A141" s="9" t="s">
        <v>932</v>
      </c>
    </row>
    <row r="143" spans="1:1" ht="15" customHeight="1" x14ac:dyDescent="0.2">
      <c r="A143" s="9" t="s">
        <v>110</v>
      </c>
    </row>
    <row r="145" spans="1:1" ht="15" customHeight="1" x14ac:dyDescent="0.2">
      <c r="A145" s="9" t="s">
        <v>933</v>
      </c>
    </row>
    <row r="146" spans="1:1" ht="15" customHeight="1" x14ac:dyDescent="0.2">
      <c r="A146" s="9" t="s">
        <v>934</v>
      </c>
    </row>
    <row r="148" spans="1:1" ht="15" customHeight="1" x14ac:dyDescent="0.2">
      <c r="A148" s="8" t="s">
        <v>935</v>
      </c>
    </row>
    <row r="149" spans="1:1" ht="15" customHeight="1" x14ac:dyDescent="0.2">
      <c r="A149" s="9" t="s">
        <v>936</v>
      </c>
    </row>
    <row r="150" spans="1:1" ht="15" customHeight="1" x14ac:dyDescent="0.2">
      <c r="A150" s="9" t="s">
        <v>937</v>
      </c>
    </row>
    <row r="151" spans="1:1" ht="15" customHeight="1" x14ac:dyDescent="0.2">
      <c r="A151" s="9" t="s">
        <v>938</v>
      </c>
    </row>
    <row r="152" spans="1:1" ht="15" customHeight="1" x14ac:dyDescent="0.2">
      <c r="A152" s="9" t="s">
        <v>5</v>
      </c>
    </row>
    <row r="154" spans="1:1" ht="15" customHeight="1" x14ac:dyDescent="0.2">
      <c r="A154" s="9" t="s">
        <v>80</v>
      </c>
    </row>
    <row r="156" spans="1:1" ht="15" customHeight="1" x14ac:dyDescent="0.2">
      <c r="A156" s="9" t="s">
        <v>939</v>
      </c>
    </row>
    <row r="158" spans="1:1" ht="15" customHeight="1" x14ac:dyDescent="0.2">
      <c r="A158" s="8" t="s">
        <v>3109</v>
      </c>
    </row>
    <row r="159" spans="1:1" ht="15" customHeight="1" x14ac:dyDescent="0.2">
      <c r="A159" s="9" t="s">
        <v>3110</v>
      </c>
    </row>
    <row r="160" spans="1:1" ht="15" customHeight="1" x14ac:dyDescent="0.2">
      <c r="A160" s="9" t="s">
        <v>3111</v>
      </c>
    </row>
    <row r="161" spans="1:1" ht="15" customHeight="1" x14ac:dyDescent="0.2">
      <c r="A161" s="9" t="s">
        <v>3112</v>
      </c>
    </row>
    <row r="162" spans="1:1" ht="15" customHeight="1" x14ac:dyDescent="0.2">
      <c r="A162" s="9" t="s">
        <v>3113</v>
      </c>
    </row>
    <row r="164" spans="1:1" ht="15" customHeight="1" x14ac:dyDescent="0.2">
      <c r="A164" s="9" t="s">
        <v>98</v>
      </c>
    </row>
    <row r="166" spans="1:1" ht="15" customHeight="1" x14ac:dyDescent="0.2">
      <c r="A166" s="9" t="s">
        <v>3114</v>
      </c>
    </row>
    <row r="168" spans="1:1" ht="15" customHeight="1" x14ac:dyDescent="0.2">
      <c r="A168" s="8" t="s">
        <v>940</v>
      </c>
    </row>
    <row r="169" spans="1:1" ht="15" customHeight="1" x14ac:dyDescent="0.2">
      <c r="A169" s="9" t="s">
        <v>941</v>
      </c>
    </row>
    <row r="170" spans="1:1" ht="15" customHeight="1" x14ac:dyDescent="0.2">
      <c r="A170" s="9" t="s">
        <v>942</v>
      </c>
    </row>
    <row r="171" spans="1:1" ht="15" customHeight="1" x14ac:dyDescent="0.2">
      <c r="A171" s="9" t="s">
        <v>943</v>
      </c>
    </row>
    <row r="172" spans="1:1" ht="15" customHeight="1" x14ac:dyDescent="0.2">
      <c r="A172" s="9" t="s">
        <v>944</v>
      </c>
    </row>
    <row r="174" spans="1:1" ht="15" customHeight="1" x14ac:dyDescent="0.2">
      <c r="A174" s="9" t="s">
        <v>80</v>
      </c>
    </row>
    <row r="176" spans="1:1" ht="15" customHeight="1" x14ac:dyDescent="0.2">
      <c r="A176" s="9" t="s">
        <v>945</v>
      </c>
    </row>
    <row r="178" spans="1:1" ht="15" customHeight="1" x14ac:dyDescent="0.2">
      <c r="A178" s="8" t="s">
        <v>946</v>
      </c>
    </row>
    <row r="179" spans="1:1" ht="15" customHeight="1" x14ac:dyDescent="0.2">
      <c r="A179" s="9" t="s">
        <v>947</v>
      </c>
    </row>
    <row r="180" spans="1:1" ht="15" customHeight="1" x14ac:dyDescent="0.2">
      <c r="A180" s="9" t="s">
        <v>948</v>
      </c>
    </row>
    <row r="181" spans="1:1" ht="15" customHeight="1" x14ac:dyDescent="0.2">
      <c r="A181" s="9" t="s">
        <v>949</v>
      </c>
    </row>
    <row r="182" spans="1:1" ht="15" customHeight="1" x14ac:dyDescent="0.2">
      <c r="A182" s="9" t="s">
        <v>950</v>
      </c>
    </row>
    <row r="184" spans="1:1" ht="15" customHeight="1" x14ac:dyDescent="0.2">
      <c r="A184" s="9" t="s">
        <v>88</v>
      </c>
    </row>
    <row r="186" spans="1:1" ht="15" customHeight="1" x14ac:dyDescent="0.2">
      <c r="A186" s="9" t="s">
        <v>951</v>
      </c>
    </row>
    <row r="187" spans="1:1" ht="15" customHeight="1" x14ac:dyDescent="0.2">
      <c r="A187" s="9" t="s">
        <v>952</v>
      </c>
    </row>
    <row r="188" spans="1:1" ht="15" customHeight="1" x14ac:dyDescent="0.2">
      <c r="A188" s="9" t="s">
        <v>953</v>
      </c>
    </row>
    <row r="190" spans="1:1" ht="15" customHeight="1" x14ac:dyDescent="0.2">
      <c r="A190" s="8" t="s">
        <v>954</v>
      </c>
    </row>
    <row r="191" spans="1:1" ht="15" customHeight="1" x14ac:dyDescent="0.2">
      <c r="A191" s="9" t="s">
        <v>955</v>
      </c>
    </row>
    <row r="192" spans="1:1" ht="15" customHeight="1" x14ac:dyDescent="0.2">
      <c r="A192" s="9" t="s">
        <v>956</v>
      </c>
    </row>
    <row r="193" spans="1:1" ht="15" customHeight="1" x14ac:dyDescent="0.2">
      <c r="A193" s="9" t="s">
        <v>957</v>
      </c>
    </row>
    <row r="194" spans="1:1" ht="15" customHeight="1" x14ac:dyDescent="0.2">
      <c r="A194" s="9" t="s">
        <v>958</v>
      </c>
    </row>
    <row r="196" spans="1:1" ht="15" customHeight="1" x14ac:dyDescent="0.2">
      <c r="A196" s="9" t="s">
        <v>98</v>
      </c>
    </row>
    <row r="198" spans="1:1" ht="15" customHeight="1" x14ac:dyDescent="0.2">
      <c r="A198" s="9" t="s">
        <v>959</v>
      </c>
    </row>
    <row r="200" spans="1:1" ht="15" customHeight="1" x14ac:dyDescent="0.2">
      <c r="A200" s="8" t="s">
        <v>964</v>
      </c>
    </row>
    <row r="201" spans="1:1" s="8" customFormat="1" ht="15" customHeight="1" x14ac:dyDescent="0.2">
      <c r="A201" s="8" t="s">
        <v>3269</v>
      </c>
    </row>
    <row r="202" spans="1:1" s="8" customFormat="1" ht="15" customHeight="1" x14ac:dyDescent="0.25">
      <c r="A202" s="8" t="s">
        <v>3903</v>
      </c>
    </row>
    <row r="203" spans="1:1" s="8" customFormat="1" ht="15" customHeight="1" x14ac:dyDescent="0.25">
      <c r="A203" s="8" t="s">
        <v>3894</v>
      </c>
    </row>
    <row r="204" spans="1:1" s="8" customFormat="1" ht="15" customHeight="1" x14ac:dyDescent="0.2">
      <c r="A204" s="8" t="s">
        <v>965</v>
      </c>
    </row>
    <row r="205" spans="1:1" ht="15" customHeight="1" x14ac:dyDescent="0.2">
      <c r="A205" s="9" t="s">
        <v>966</v>
      </c>
    </row>
    <row r="206" spans="1:1" ht="15" customHeight="1" x14ac:dyDescent="0.2">
      <c r="A206" s="9" t="s">
        <v>967</v>
      </c>
    </row>
    <row r="207" spans="1:1" ht="15" customHeight="1" x14ac:dyDescent="0.2">
      <c r="A207" s="9" t="s">
        <v>968</v>
      </c>
    </row>
    <row r="208" spans="1:1" ht="15" customHeight="1" x14ac:dyDescent="0.2">
      <c r="A208" s="9" t="s">
        <v>969</v>
      </c>
    </row>
    <row r="210" spans="1:3" ht="15" customHeight="1" x14ac:dyDescent="0.2">
      <c r="A210" s="9" t="s">
        <v>88</v>
      </c>
    </row>
    <row r="212" spans="1:3" ht="15" customHeight="1" x14ac:dyDescent="0.2">
      <c r="A212" s="9" t="s">
        <v>979</v>
      </c>
    </row>
    <row r="213" spans="1:3" ht="15" customHeight="1" x14ac:dyDescent="0.2">
      <c r="A213" s="9" t="s">
        <v>970</v>
      </c>
    </row>
    <row r="214" spans="1:3" ht="15" customHeight="1" x14ac:dyDescent="0.2">
      <c r="A214" s="9" t="s">
        <v>971</v>
      </c>
    </row>
    <row r="216" spans="1:3" ht="15" customHeight="1" x14ac:dyDescent="0.25">
      <c r="A216" s="25" t="s">
        <v>3890</v>
      </c>
      <c r="C216" s="21">
        <v>0.85</v>
      </c>
    </row>
    <row r="217" spans="1:3" ht="15" customHeight="1" x14ac:dyDescent="0.25">
      <c r="A217" s="25" t="s">
        <v>3891</v>
      </c>
      <c r="C217" s="21">
        <v>0.1</v>
      </c>
    </row>
    <row r="218" spans="1:3" ht="15" customHeight="1" x14ac:dyDescent="0.25">
      <c r="A218" s="25" t="s">
        <v>3892</v>
      </c>
      <c r="C218" s="21">
        <v>0.05</v>
      </c>
    </row>
    <row r="219" spans="1:3" ht="15" customHeight="1" x14ac:dyDescent="0.25">
      <c r="A219" s="25" t="s">
        <v>3896</v>
      </c>
      <c r="C219" s="21">
        <v>0.85</v>
      </c>
    </row>
    <row r="220" spans="1:3" ht="15" customHeight="1" x14ac:dyDescent="0.25">
      <c r="A220" s="25" t="s">
        <v>3897</v>
      </c>
      <c r="C220" s="21">
        <v>0.1</v>
      </c>
    </row>
    <row r="221" spans="1:3" ht="15" customHeight="1" x14ac:dyDescent="0.25">
      <c r="A221" s="25" t="s">
        <v>3898</v>
      </c>
      <c r="C221" s="21">
        <v>0.05</v>
      </c>
    </row>
    <row r="222" spans="1:3" ht="15" customHeight="1" x14ac:dyDescent="0.25">
      <c r="A222" s="25" t="s">
        <v>3899</v>
      </c>
      <c r="C222" s="14">
        <f>C219*C217</f>
        <v>8.5000000000000006E-2</v>
      </c>
    </row>
    <row r="223" spans="1:3" ht="15" customHeight="1" x14ac:dyDescent="0.25">
      <c r="A223" s="25" t="s">
        <v>3900</v>
      </c>
      <c r="C223" s="14">
        <f>C220*C217</f>
        <v>1.0000000000000002E-2</v>
      </c>
    </row>
    <row r="224" spans="1:3" ht="15" customHeight="1" x14ac:dyDescent="0.25">
      <c r="A224" s="25" t="s">
        <v>3901</v>
      </c>
      <c r="C224" s="14">
        <f>C221*C217</f>
        <v>5.000000000000001E-3</v>
      </c>
    </row>
    <row r="225" spans="1:9" ht="15" customHeight="1" x14ac:dyDescent="0.25">
      <c r="A225" s="25" t="s">
        <v>3902</v>
      </c>
      <c r="C225" s="14">
        <f>C216+C222</f>
        <v>0.93499999999999994</v>
      </c>
    </row>
    <row r="226" spans="1:9" ht="37.5" customHeight="1" x14ac:dyDescent="0.2">
      <c r="A226" s="78" t="s">
        <v>168</v>
      </c>
      <c r="B226" s="78" t="s">
        <v>174</v>
      </c>
      <c r="C226" s="78" t="s">
        <v>169</v>
      </c>
      <c r="D226" s="78" t="s">
        <v>175</v>
      </c>
      <c r="E226" s="80" t="s">
        <v>170</v>
      </c>
      <c r="F226" s="80"/>
      <c r="G226" s="80"/>
    </row>
    <row r="227" spans="1:9" ht="37.5" customHeight="1" x14ac:dyDescent="0.2">
      <c r="A227" s="79"/>
      <c r="B227" s="79"/>
      <c r="C227" s="79"/>
      <c r="D227" s="79"/>
      <c r="E227" s="61" t="s">
        <v>171</v>
      </c>
      <c r="F227" s="61" t="s">
        <v>172</v>
      </c>
      <c r="G227" s="61" t="s">
        <v>173</v>
      </c>
    </row>
    <row r="228" spans="1:9" ht="15" customHeight="1" x14ac:dyDescent="0.2">
      <c r="A228" s="64">
        <v>5.5E-2</v>
      </c>
      <c r="B228" s="62">
        <f>MIN(A228,C218)/C218</f>
        <v>1</v>
      </c>
      <c r="C228" s="63">
        <f>MAX(MIN(A228-C218,C217)/C217,0)</f>
        <v>4.9999999999999975E-2</v>
      </c>
      <c r="D228" s="63">
        <f>MAX(MIN(A228-C218-C217,C216)/C216,0)</f>
        <v>0</v>
      </c>
      <c r="E228" s="64">
        <f>MIN(C228,C221)/C221</f>
        <v>0.99999999999999944</v>
      </c>
      <c r="F228" s="64">
        <f>MAX(MIN(C228-C221,C220)/C220,0)</f>
        <v>0</v>
      </c>
      <c r="G228" s="63">
        <f>MAX(MIN(C228-C221-C220,C219)/C219,0)</f>
        <v>0</v>
      </c>
      <c r="I228" s="14"/>
    </row>
    <row r="230" spans="1:9" ht="15" customHeight="1" x14ac:dyDescent="0.2">
      <c r="A230" s="8" t="s">
        <v>972</v>
      </c>
    </row>
    <row r="231" spans="1:9" s="8" customFormat="1" ht="15" customHeight="1" x14ac:dyDescent="0.2">
      <c r="A231" s="8" t="s">
        <v>3269</v>
      </c>
    </row>
    <row r="232" spans="1:9" s="8" customFormat="1" ht="15" customHeight="1" x14ac:dyDescent="0.25">
      <c r="A232" s="8" t="s">
        <v>3903</v>
      </c>
    </row>
    <row r="233" spans="1:9" s="8" customFormat="1" ht="15" customHeight="1" x14ac:dyDescent="0.25">
      <c r="A233" s="8" t="s">
        <v>3894</v>
      </c>
    </row>
    <row r="234" spans="1:9" s="8" customFormat="1" ht="15" customHeight="1" x14ac:dyDescent="0.2">
      <c r="A234" s="8" t="s">
        <v>973</v>
      </c>
    </row>
    <row r="235" spans="1:9" ht="15" customHeight="1" x14ac:dyDescent="0.2">
      <c r="A235" s="9" t="s">
        <v>974</v>
      </c>
    </row>
    <row r="236" spans="1:9" ht="15" customHeight="1" x14ac:dyDescent="0.2">
      <c r="A236" s="9" t="s">
        <v>975</v>
      </c>
    </row>
    <row r="237" spans="1:9" ht="15" customHeight="1" x14ac:dyDescent="0.2">
      <c r="A237" s="9" t="s">
        <v>976</v>
      </c>
    </row>
    <row r="238" spans="1:9" ht="15" customHeight="1" x14ac:dyDescent="0.2">
      <c r="A238" s="9" t="s">
        <v>977</v>
      </c>
    </row>
    <row r="240" spans="1:9" ht="15" customHeight="1" x14ac:dyDescent="0.2">
      <c r="A240" s="9" t="s">
        <v>98</v>
      </c>
    </row>
    <row r="242" spans="1:7" ht="15" customHeight="1" x14ac:dyDescent="0.2">
      <c r="A242" s="9" t="s">
        <v>978</v>
      </c>
    </row>
    <row r="243" spans="1:7" ht="15" customHeight="1" x14ac:dyDescent="0.2">
      <c r="A243" s="9" t="s">
        <v>980</v>
      </c>
    </row>
    <row r="244" spans="1:7" ht="15" customHeight="1" x14ac:dyDescent="0.2">
      <c r="A244" s="9" t="s">
        <v>981</v>
      </c>
    </row>
    <row r="246" spans="1:7" ht="15" customHeight="1" x14ac:dyDescent="0.25">
      <c r="A246" s="25" t="s">
        <v>3890</v>
      </c>
      <c r="C246" s="21">
        <v>0.85</v>
      </c>
    </row>
    <row r="247" spans="1:7" ht="15" customHeight="1" x14ac:dyDescent="0.25">
      <c r="A247" s="25" t="s">
        <v>3891</v>
      </c>
      <c r="C247" s="21">
        <v>0.1</v>
      </c>
    </row>
    <row r="248" spans="1:7" ht="15" customHeight="1" x14ac:dyDescent="0.25">
      <c r="A248" s="25" t="s">
        <v>3892</v>
      </c>
      <c r="C248" s="21">
        <v>0.05</v>
      </c>
    </row>
    <row r="249" spans="1:7" ht="15" customHeight="1" x14ac:dyDescent="0.25">
      <c r="A249" s="25" t="s">
        <v>3896</v>
      </c>
      <c r="C249" s="21">
        <v>0.85</v>
      </c>
    </row>
    <row r="250" spans="1:7" ht="15" customHeight="1" x14ac:dyDescent="0.25">
      <c r="A250" s="25" t="s">
        <v>3897</v>
      </c>
      <c r="C250" s="21">
        <v>0.1</v>
      </c>
    </row>
    <row r="251" spans="1:7" ht="15" customHeight="1" x14ac:dyDescent="0.25">
      <c r="A251" s="25" t="s">
        <v>3898</v>
      </c>
      <c r="C251" s="21">
        <v>0.05</v>
      </c>
    </row>
    <row r="252" spans="1:7" ht="15" customHeight="1" x14ac:dyDescent="0.25">
      <c r="A252" s="25" t="s">
        <v>3899</v>
      </c>
      <c r="C252" s="14">
        <f>C249*C247</f>
        <v>8.5000000000000006E-2</v>
      </c>
    </row>
    <row r="253" spans="1:7" ht="15" customHeight="1" x14ac:dyDescent="0.25">
      <c r="A253" s="25" t="s">
        <v>3900</v>
      </c>
      <c r="C253" s="14">
        <f>C250*C247</f>
        <v>1.0000000000000002E-2</v>
      </c>
    </row>
    <row r="254" spans="1:7" ht="15" customHeight="1" x14ac:dyDescent="0.25">
      <c r="A254" s="25" t="s">
        <v>3901</v>
      </c>
      <c r="C254" s="14">
        <f>C251*C247</f>
        <v>5.000000000000001E-3</v>
      </c>
    </row>
    <row r="255" spans="1:7" ht="15" customHeight="1" x14ac:dyDescent="0.25">
      <c r="A255" s="25" t="s">
        <v>3902</v>
      </c>
      <c r="C255" s="14">
        <f>C246+C252</f>
        <v>0.93499999999999994</v>
      </c>
    </row>
    <row r="256" spans="1:7" ht="37.5" customHeight="1" x14ac:dyDescent="0.2">
      <c r="A256" s="78" t="s">
        <v>168</v>
      </c>
      <c r="B256" s="78" t="s">
        <v>174</v>
      </c>
      <c r="C256" s="78" t="s">
        <v>169</v>
      </c>
      <c r="D256" s="78" t="s">
        <v>175</v>
      </c>
      <c r="E256" s="80" t="s">
        <v>170</v>
      </c>
      <c r="F256" s="80"/>
      <c r="G256" s="80"/>
    </row>
    <row r="257" spans="1:9" ht="37.5" customHeight="1" x14ac:dyDescent="0.2">
      <c r="A257" s="79"/>
      <c r="B257" s="79"/>
      <c r="C257" s="79"/>
      <c r="D257" s="79"/>
      <c r="E257" s="61" t="s">
        <v>171</v>
      </c>
      <c r="F257" s="61" t="s">
        <v>172</v>
      </c>
      <c r="G257" s="61" t="s">
        <v>173</v>
      </c>
    </row>
    <row r="258" spans="1:9" ht="15" customHeight="1" x14ac:dyDescent="0.2">
      <c r="A258" s="64">
        <v>6.5000000000000002E-2</v>
      </c>
      <c r="B258" s="62">
        <f>MIN(A258,C248)/C248</f>
        <v>1</v>
      </c>
      <c r="C258" s="63">
        <f>MAX(MIN(A258-C248,C247)/C247,0)</f>
        <v>0.15</v>
      </c>
      <c r="D258" s="63">
        <f>MAX(MIN(A258-C248-C247,C246)/C246,0)</f>
        <v>0</v>
      </c>
      <c r="E258" s="64">
        <f>MIN(C258,C251)/C251</f>
        <v>1</v>
      </c>
      <c r="F258" s="64">
        <f>MAX(MIN(C258-C251,C250)/C250,0)</f>
        <v>0.99999999999999989</v>
      </c>
      <c r="G258" s="63">
        <f>MAX(MIN(C258-C251-C250,C249)/C249,0)</f>
        <v>0</v>
      </c>
      <c r="I258" s="14"/>
    </row>
    <row r="260" spans="1:9" ht="15" customHeight="1" x14ac:dyDescent="0.2">
      <c r="A260" s="8" t="s">
        <v>982</v>
      </c>
    </row>
    <row r="261" spans="1:9" ht="15" customHeight="1" x14ac:dyDescent="0.2">
      <c r="A261" s="8" t="s">
        <v>3270</v>
      </c>
    </row>
    <row r="262" spans="1:9" ht="15" customHeight="1" x14ac:dyDescent="0.2">
      <c r="A262" s="8" t="s">
        <v>983</v>
      </c>
    </row>
    <row r="263" spans="1:9" ht="15" customHeight="1" x14ac:dyDescent="0.2">
      <c r="A263" s="9" t="s">
        <v>984</v>
      </c>
    </row>
    <row r="264" spans="1:9" ht="15" customHeight="1" x14ac:dyDescent="0.2">
      <c r="A264" s="9" t="s">
        <v>985</v>
      </c>
    </row>
    <row r="265" spans="1:9" ht="15" customHeight="1" x14ac:dyDescent="0.2">
      <c r="A265" s="9" t="s">
        <v>986</v>
      </c>
    </row>
    <row r="266" spans="1:9" ht="15" customHeight="1" x14ac:dyDescent="0.2">
      <c r="A266" s="9" t="s">
        <v>987</v>
      </c>
    </row>
    <row r="268" spans="1:9" ht="15" customHeight="1" x14ac:dyDescent="0.2">
      <c r="A268" s="9" t="s">
        <v>88</v>
      </c>
    </row>
    <row r="270" spans="1:9" ht="15" customHeight="1" x14ac:dyDescent="0.2">
      <c r="A270" s="9" t="s">
        <v>988</v>
      </c>
    </row>
    <row r="271" spans="1:9" ht="15" customHeight="1" x14ac:dyDescent="0.2">
      <c r="A271" s="9" t="s">
        <v>989</v>
      </c>
    </row>
    <row r="273" spans="1:1" ht="15" customHeight="1" x14ac:dyDescent="0.2">
      <c r="A273" s="8" t="s">
        <v>990</v>
      </c>
    </row>
    <row r="274" spans="1:1" ht="15" customHeight="1" x14ac:dyDescent="0.2">
      <c r="A274" s="9" t="s">
        <v>991</v>
      </c>
    </row>
    <row r="275" spans="1:1" ht="15" customHeight="1" x14ac:dyDescent="0.2">
      <c r="A275" s="9" t="s">
        <v>992</v>
      </c>
    </row>
    <row r="276" spans="1:1" ht="15" customHeight="1" x14ac:dyDescent="0.2">
      <c r="A276" s="9" t="s">
        <v>993</v>
      </c>
    </row>
    <row r="277" spans="1:1" ht="15" customHeight="1" x14ac:dyDescent="0.2">
      <c r="A277" s="9" t="s">
        <v>994</v>
      </c>
    </row>
    <row r="279" spans="1:1" ht="15" customHeight="1" x14ac:dyDescent="0.2">
      <c r="A279" s="9" t="s">
        <v>80</v>
      </c>
    </row>
    <row r="281" spans="1:1" ht="15" customHeight="1" x14ac:dyDescent="0.2">
      <c r="A281" s="9" t="s">
        <v>995</v>
      </c>
    </row>
    <row r="283" spans="1:1" ht="15" customHeight="1" x14ac:dyDescent="0.2">
      <c r="A283" s="8" t="s">
        <v>996</v>
      </c>
    </row>
    <row r="284" spans="1:1" ht="15" customHeight="1" x14ac:dyDescent="0.2">
      <c r="A284" s="9" t="s">
        <v>997</v>
      </c>
    </row>
    <row r="285" spans="1:1" ht="15" customHeight="1" x14ac:dyDescent="0.2">
      <c r="A285" s="9" t="s">
        <v>998</v>
      </c>
    </row>
    <row r="286" spans="1:1" ht="15" customHeight="1" x14ac:dyDescent="0.2">
      <c r="A286" s="9" t="s">
        <v>999</v>
      </c>
    </row>
    <row r="287" spans="1:1" ht="15" customHeight="1" x14ac:dyDescent="0.2">
      <c r="A287" s="9" t="s">
        <v>1000</v>
      </c>
    </row>
    <row r="289" spans="1:1" ht="15" customHeight="1" x14ac:dyDescent="0.2">
      <c r="A289" s="9" t="s">
        <v>110</v>
      </c>
    </row>
    <row r="291" spans="1:1" ht="15" customHeight="1" x14ac:dyDescent="0.2">
      <c r="A291" s="9" t="s">
        <v>1001</v>
      </c>
    </row>
    <row r="293" spans="1:1" ht="15" customHeight="1" x14ac:dyDescent="0.2">
      <c r="A293" s="8" t="s">
        <v>1002</v>
      </c>
    </row>
    <row r="294" spans="1:1" ht="15" customHeight="1" x14ac:dyDescent="0.2">
      <c r="A294" s="9" t="s">
        <v>1003</v>
      </c>
    </row>
    <row r="295" spans="1:1" ht="15" customHeight="1" x14ac:dyDescent="0.2">
      <c r="A295" s="9" t="s">
        <v>1004</v>
      </c>
    </row>
    <row r="296" spans="1:1" ht="15" customHeight="1" x14ac:dyDescent="0.2">
      <c r="A296" s="9" t="s">
        <v>1005</v>
      </c>
    </row>
    <row r="297" spans="1:1" ht="15" customHeight="1" x14ac:dyDescent="0.2">
      <c r="A297" s="9" t="s">
        <v>5</v>
      </c>
    </row>
    <row r="299" spans="1:1" ht="15" customHeight="1" x14ac:dyDescent="0.2">
      <c r="A299" s="9" t="s">
        <v>98</v>
      </c>
    </row>
    <row r="301" spans="1:1" ht="15" customHeight="1" x14ac:dyDescent="0.2">
      <c r="A301" s="9" t="s">
        <v>1006</v>
      </c>
    </row>
  </sheetData>
  <mergeCells count="29">
    <mergeCell ref="A1:P1"/>
    <mergeCell ref="C54:D55"/>
    <mergeCell ref="C56:D56"/>
    <mergeCell ref="E54:F55"/>
    <mergeCell ref="E56:F56"/>
    <mergeCell ref="A84:A85"/>
    <mergeCell ref="B84:B85"/>
    <mergeCell ref="C84:C85"/>
    <mergeCell ref="D84:D85"/>
    <mergeCell ref="E84:G84"/>
    <mergeCell ref="A54:B55"/>
    <mergeCell ref="G54:H55"/>
    <mergeCell ref="G56:H56"/>
    <mergeCell ref="A56:B56"/>
    <mergeCell ref="A113:A114"/>
    <mergeCell ref="B113:B114"/>
    <mergeCell ref="C113:C114"/>
    <mergeCell ref="D113:D114"/>
    <mergeCell ref="E113:G113"/>
    <mergeCell ref="A226:A227"/>
    <mergeCell ref="B226:B227"/>
    <mergeCell ref="C226:C227"/>
    <mergeCell ref="D226:D227"/>
    <mergeCell ref="E226:G226"/>
    <mergeCell ref="A256:A257"/>
    <mergeCell ref="B256:B257"/>
    <mergeCell ref="C256:C257"/>
    <mergeCell ref="D256:D257"/>
    <mergeCell ref="E256:G256"/>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6878"/>
    <pageSetUpPr fitToPage="1"/>
  </sheetPr>
  <dimension ref="A1:P218"/>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10" style="9" customWidth="1"/>
    <col min="3" max="16384" width="9.140625" style="9"/>
  </cols>
  <sheetData>
    <row r="1" spans="1:16" ht="15" customHeight="1" x14ac:dyDescent="0.2">
      <c r="A1" s="75" t="s">
        <v>3254</v>
      </c>
      <c r="B1" s="76"/>
      <c r="C1" s="76"/>
      <c r="D1" s="76"/>
      <c r="E1" s="76"/>
      <c r="F1" s="76"/>
      <c r="G1" s="76"/>
      <c r="H1" s="76"/>
      <c r="I1" s="76"/>
      <c r="J1" s="76"/>
      <c r="K1" s="76"/>
      <c r="L1" s="76"/>
      <c r="M1" s="76"/>
      <c r="N1" s="76"/>
      <c r="O1" s="76"/>
      <c r="P1" s="76"/>
    </row>
    <row r="2" spans="1:16" ht="15" customHeight="1" x14ac:dyDescent="0.2">
      <c r="A2" s="8"/>
    </row>
    <row r="3" spans="1:16" ht="15" customHeight="1" x14ac:dyDescent="0.2">
      <c r="A3" s="8" t="s">
        <v>3185</v>
      </c>
    </row>
    <row r="4" spans="1:16" ht="15" customHeight="1" x14ac:dyDescent="0.2">
      <c r="A4" s="9" t="s">
        <v>3186</v>
      </c>
    </row>
    <row r="5" spans="1:16" ht="15" customHeight="1" x14ac:dyDescent="0.2">
      <c r="A5" s="9" t="s">
        <v>3187</v>
      </c>
    </row>
    <row r="6" spans="1:16" ht="15" customHeight="1" x14ac:dyDescent="0.2">
      <c r="A6" s="9" t="s">
        <v>3188</v>
      </c>
    </row>
    <row r="7" spans="1:16" ht="15" customHeight="1" x14ac:dyDescent="0.2">
      <c r="A7" s="9" t="s">
        <v>3189</v>
      </c>
    </row>
    <row r="9" spans="1:16" ht="15" customHeight="1" x14ac:dyDescent="0.2">
      <c r="A9" s="9" t="s">
        <v>98</v>
      </c>
    </row>
    <row r="11" spans="1:16" ht="15" customHeight="1" x14ac:dyDescent="0.2">
      <c r="A11" s="9" t="s">
        <v>3190</v>
      </c>
    </row>
    <row r="13" spans="1:16" ht="15" customHeight="1" x14ac:dyDescent="0.2">
      <c r="A13" s="8" t="s">
        <v>3191</v>
      </c>
    </row>
    <row r="14" spans="1:16" ht="15" customHeight="1" x14ac:dyDescent="0.2">
      <c r="A14" s="9" t="s">
        <v>3130</v>
      </c>
    </row>
    <row r="15" spans="1:16" ht="15" customHeight="1" x14ac:dyDescent="0.2">
      <c r="A15" s="9" t="s">
        <v>3131</v>
      </c>
    </row>
    <row r="16" spans="1:16" ht="15" customHeight="1" x14ac:dyDescent="0.2">
      <c r="A16" s="9" t="s">
        <v>3132</v>
      </c>
    </row>
    <row r="17" spans="1:1" ht="15" customHeight="1" x14ac:dyDescent="0.2">
      <c r="A17" s="9" t="s">
        <v>3133</v>
      </c>
    </row>
    <row r="19" spans="1:1" ht="15" customHeight="1" x14ac:dyDescent="0.2">
      <c r="A19" s="9" t="s">
        <v>88</v>
      </c>
    </row>
    <row r="21" spans="1:1" ht="15" customHeight="1" x14ac:dyDescent="0.2">
      <c r="A21" s="9" t="s">
        <v>3134</v>
      </c>
    </row>
    <row r="23" spans="1:1" ht="15" customHeight="1" x14ac:dyDescent="0.2">
      <c r="A23" s="8" t="s">
        <v>3192</v>
      </c>
    </row>
    <row r="24" spans="1:1" ht="15" customHeight="1" x14ac:dyDescent="0.2">
      <c r="A24" s="9" t="s">
        <v>3193</v>
      </c>
    </row>
    <row r="25" spans="1:1" ht="15" customHeight="1" x14ac:dyDescent="0.2">
      <c r="A25" s="9" t="s">
        <v>3194</v>
      </c>
    </row>
    <row r="26" spans="1:1" ht="15" customHeight="1" x14ac:dyDescent="0.2">
      <c r="A26" s="9" t="s">
        <v>3195</v>
      </c>
    </row>
    <row r="27" spans="1:1" ht="15" customHeight="1" x14ac:dyDescent="0.2">
      <c r="A27" s="9" t="s">
        <v>3196</v>
      </c>
    </row>
    <row r="29" spans="1:1" ht="15" customHeight="1" x14ac:dyDescent="0.2">
      <c r="A29" s="9" t="s">
        <v>80</v>
      </c>
    </row>
    <row r="31" spans="1:1" ht="15" customHeight="1" x14ac:dyDescent="0.2">
      <c r="A31" s="9" t="s">
        <v>3267</v>
      </c>
    </row>
    <row r="33" spans="1:1" ht="15" customHeight="1" x14ac:dyDescent="0.2">
      <c r="A33" s="8" t="s">
        <v>3197</v>
      </c>
    </row>
    <row r="34" spans="1:1" ht="15" customHeight="1" x14ac:dyDescent="0.2">
      <c r="A34" s="9" t="s">
        <v>3135</v>
      </c>
    </row>
    <row r="35" spans="1:1" ht="15" customHeight="1" x14ac:dyDescent="0.2">
      <c r="A35" s="9" t="s">
        <v>3136</v>
      </c>
    </row>
    <row r="36" spans="1:1" ht="15" customHeight="1" x14ac:dyDescent="0.2">
      <c r="A36" s="9" t="s">
        <v>3137</v>
      </c>
    </row>
    <row r="37" spans="1:1" ht="15" customHeight="1" x14ac:dyDescent="0.2">
      <c r="A37" s="9" t="s">
        <v>3138</v>
      </c>
    </row>
    <row r="39" spans="1:1" ht="15" customHeight="1" x14ac:dyDescent="0.2">
      <c r="A39" s="9" t="s">
        <v>88</v>
      </c>
    </row>
    <row r="41" spans="1:1" ht="15" customHeight="1" x14ac:dyDescent="0.2">
      <c r="A41" s="9" t="s">
        <v>3139</v>
      </c>
    </row>
    <row r="42" spans="1:1" ht="15" customHeight="1" x14ac:dyDescent="0.2">
      <c r="A42" s="9" t="s">
        <v>3198</v>
      </c>
    </row>
    <row r="44" spans="1:1" ht="15" customHeight="1" x14ac:dyDescent="0.2">
      <c r="A44" s="8" t="s">
        <v>3199</v>
      </c>
    </row>
    <row r="45" spans="1:1" ht="15" customHeight="1" x14ac:dyDescent="0.2">
      <c r="A45" s="9" t="s">
        <v>3200</v>
      </c>
    </row>
    <row r="46" spans="1:1" ht="15" customHeight="1" x14ac:dyDescent="0.2">
      <c r="A46" s="9" t="s">
        <v>3140</v>
      </c>
    </row>
    <row r="47" spans="1:1" ht="15" customHeight="1" x14ac:dyDescent="0.2">
      <c r="A47" s="9" t="s">
        <v>3201</v>
      </c>
    </row>
    <row r="48" spans="1:1" ht="15" customHeight="1" x14ac:dyDescent="0.2">
      <c r="A48" s="9" t="s">
        <v>3202</v>
      </c>
    </row>
    <row r="50" spans="1:1" ht="15" customHeight="1" x14ac:dyDescent="0.2">
      <c r="A50" s="9" t="s">
        <v>88</v>
      </c>
    </row>
    <row r="52" spans="1:1" ht="15" customHeight="1" x14ac:dyDescent="0.2">
      <c r="A52" s="9" t="s">
        <v>3141</v>
      </c>
    </row>
    <row r="53" spans="1:1" ht="15" customHeight="1" x14ac:dyDescent="0.2">
      <c r="A53" s="9" t="s">
        <v>3203</v>
      </c>
    </row>
    <row r="55" spans="1:1" ht="15" customHeight="1" x14ac:dyDescent="0.2">
      <c r="A55" s="8" t="s">
        <v>3204</v>
      </c>
    </row>
    <row r="56" spans="1:1" ht="15" customHeight="1" x14ac:dyDescent="0.2">
      <c r="A56" s="8" t="s">
        <v>3142</v>
      </c>
    </row>
    <row r="57" spans="1:1" ht="15" customHeight="1" x14ac:dyDescent="0.2">
      <c r="A57" s="9" t="s">
        <v>3143</v>
      </c>
    </row>
    <row r="58" spans="1:1" ht="15" customHeight="1" x14ac:dyDescent="0.2">
      <c r="A58" s="9" t="s">
        <v>3144</v>
      </c>
    </row>
    <row r="59" spans="1:1" ht="15" customHeight="1" x14ac:dyDescent="0.2">
      <c r="A59" s="9" t="s">
        <v>3148</v>
      </c>
    </row>
    <row r="60" spans="1:1" ht="15" customHeight="1" x14ac:dyDescent="0.2">
      <c r="A60" s="9" t="s">
        <v>3145</v>
      </c>
    </row>
    <row r="62" spans="1:1" ht="15" customHeight="1" x14ac:dyDescent="0.2">
      <c r="A62" s="9" t="s">
        <v>98</v>
      </c>
    </row>
    <row r="64" spans="1:1" ht="15" customHeight="1" x14ac:dyDescent="0.2">
      <c r="A64" s="9" t="s">
        <v>3146</v>
      </c>
    </row>
    <row r="66" spans="1:2" ht="15" customHeight="1" x14ac:dyDescent="0.25">
      <c r="A66" s="9" t="s">
        <v>3877</v>
      </c>
      <c r="B66" s="12">
        <v>1000000</v>
      </c>
    </row>
    <row r="67" spans="1:2" ht="15" customHeight="1" x14ac:dyDescent="0.25">
      <c r="A67" s="9" t="s">
        <v>3878</v>
      </c>
      <c r="B67" s="12">
        <v>2000000</v>
      </c>
    </row>
    <row r="68" spans="1:2" ht="15" customHeight="1" x14ac:dyDescent="0.25">
      <c r="A68" s="9" t="s">
        <v>3879</v>
      </c>
      <c r="B68" s="20">
        <v>1.4999999999999999E-2</v>
      </c>
    </row>
    <row r="69" spans="1:2" ht="15" customHeight="1" x14ac:dyDescent="0.25">
      <c r="A69" s="9" t="s">
        <v>3880</v>
      </c>
      <c r="B69" s="20">
        <v>1.4999999999999999E-2</v>
      </c>
    </row>
    <row r="71" spans="1:2" ht="15" customHeight="1" x14ac:dyDescent="0.2">
      <c r="A71" s="9" t="s">
        <v>3147</v>
      </c>
      <c r="B71" s="12">
        <f>B66*B68+B67*B69</f>
        <v>45000</v>
      </c>
    </row>
    <row r="73" spans="1:2" ht="15" customHeight="1" x14ac:dyDescent="0.2">
      <c r="A73" s="8" t="s">
        <v>3205</v>
      </c>
    </row>
    <row r="74" spans="1:2" ht="15" customHeight="1" x14ac:dyDescent="0.2">
      <c r="A74" s="8" t="s">
        <v>3206</v>
      </c>
    </row>
    <row r="75" spans="1:2" ht="15" customHeight="1" x14ac:dyDescent="0.2">
      <c r="A75" s="9" t="s">
        <v>3154</v>
      </c>
    </row>
    <row r="76" spans="1:2" ht="15" customHeight="1" x14ac:dyDescent="0.2">
      <c r="A76" s="9" t="s">
        <v>3155</v>
      </c>
    </row>
    <row r="77" spans="1:2" ht="15" customHeight="1" x14ac:dyDescent="0.2">
      <c r="A77" s="9" t="s">
        <v>3156</v>
      </c>
    </row>
    <row r="78" spans="1:2" ht="15" customHeight="1" x14ac:dyDescent="0.2">
      <c r="A78" s="9" t="s">
        <v>3207</v>
      </c>
    </row>
    <row r="80" spans="1:2" ht="15" customHeight="1" x14ac:dyDescent="0.2">
      <c r="A80" s="9" t="s">
        <v>80</v>
      </c>
    </row>
    <row r="82" spans="1:2" ht="15" customHeight="1" x14ac:dyDescent="0.2">
      <c r="A82" s="9" t="s">
        <v>3208</v>
      </c>
    </row>
    <row r="83" spans="1:2" ht="15" customHeight="1" x14ac:dyDescent="0.2">
      <c r="A83" s="9" t="s">
        <v>3210</v>
      </c>
    </row>
    <row r="84" spans="1:2" ht="15" customHeight="1" x14ac:dyDescent="0.25">
      <c r="A84" s="9" t="s">
        <v>3881</v>
      </c>
      <c r="B84" s="12">
        <v>10</v>
      </c>
    </row>
    <row r="85" spans="1:2" ht="15" customHeight="1" x14ac:dyDescent="0.25">
      <c r="A85" s="9" t="s">
        <v>3882</v>
      </c>
      <c r="B85" s="12">
        <v>-20</v>
      </c>
    </row>
    <row r="86" spans="1:2" ht="15" customHeight="1" x14ac:dyDescent="0.25">
      <c r="A86" s="9" t="s">
        <v>3883</v>
      </c>
      <c r="B86" s="60">
        <v>25</v>
      </c>
    </row>
    <row r="87" spans="1:2" ht="15" customHeight="1" x14ac:dyDescent="0.2">
      <c r="A87" s="25" t="s">
        <v>3157</v>
      </c>
      <c r="B87" s="12">
        <f>SUM(B84:B86)</f>
        <v>15</v>
      </c>
    </row>
    <row r="89" spans="1:2" ht="15" customHeight="1" x14ac:dyDescent="0.2">
      <c r="A89" s="8" t="s">
        <v>3209</v>
      </c>
    </row>
    <row r="90" spans="1:2" ht="15" customHeight="1" x14ac:dyDescent="0.2">
      <c r="A90" s="9" t="s">
        <v>3149</v>
      </c>
    </row>
    <row r="91" spans="1:2" ht="15" customHeight="1" x14ac:dyDescent="0.2">
      <c r="A91" s="9" t="s">
        <v>3150</v>
      </c>
    </row>
    <row r="92" spans="1:2" ht="15" customHeight="1" x14ac:dyDescent="0.2">
      <c r="A92" s="9" t="s">
        <v>3151</v>
      </c>
    </row>
    <row r="93" spans="1:2" ht="15" customHeight="1" x14ac:dyDescent="0.2">
      <c r="A93" s="9" t="s">
        <v>3152</v>
      </c>
    </row>
    <row r="95" spans="1:2" ht="15" customHeight="1" x14ac:dyDescent="0.2">
      <c r="A95" s="9" t="s">
        <v>110</v>
      </c>
    </row>
    <row r="97" spans="1:1" ht="15" customHeight="1" x14ac:dyDescent="0.2">
      <c r="A97" s="9" t="s">
        <v>3153</v>
      </c>
    </row>
    <row r="99" spans="1:1" ht="15" customHeight="1" x14ac:dyDescent="0.2">
      <c r="A99" s="8" t="s">
        <v>3268</v>
      </c>
    </row>
    <row r="100" spans="1:1" ht="15" customHeight="1" x14ac:dyDescent="0.2">
      <c r="A100" s="9" t="s">
        <v>3211</v>
      </c>
    </row>
    <row r="101" spans="1:1" ht="15" customHeight="1" x14ac:dyDescent="0.2">
      <c r="A101" s="9" t="s">
        <v>3212</v>
      </c>
    </row>
    <row r="102" spans="1:1" ht="15" customHeight="1" x14ac:dyDescent="0.2">
      <c r="A102" s="9" t="s">
        <v>3213</v>
      </c>
    </row>
    <row r="103" spans="1:1" ht="15" customHeight="1" x14ac:dyDescent="0.2">
      <c r="A103" s="9" t="s">
        <v>3214</v>
      </c>
    </row>
    <row r="105" spans="1:1" ht="15" customHeight="1" x14ac:dyDescent="0.2">
      <c r="A105" s="9" t="s">
        <v>88</v>
      </c>
    </row>
    <row r="107" spans="1:1" ht="15" customHeight="1" x14ac:dyDescent="0.2">
      <c r="A107" s="9" t="s">
        <v>3215</v>
      </c>
    </row>
    <row r="109" spans="1:1" ht="15" customHeight="1" x14ac:dyDescent="0.2">
      <c r="A109" s="8" t="s">
        <v>3216</v>
      </c>
    </row>
    <row r="110" spans="1:1" ht="15" customHeight="1" x14ac:dyDescent="0.2">
      <c r="A110" s="9" t="s">
        <v>3211</v>
      </c>
    </row>
    <row r="111" spans="1:1" ht="15" customHeight="1" x14ac:dyDescent="0.2">
      <c r="A111" s="9" t="s">
        <v>3212</v>
      </c>
    </row>
    <row r="112" spans="1:1" ht="15" customHeight="1" x14ac:dyDescent="0.2">
      <c r="A112" s="9" t="s">
        <v>3213</v>
      </c>
    </row>
    <row r="113" spans="1:1" ht="15" customHeight="1" x14ac:dyDescent="0.2">
      <c r="A113" s="9" t="s">
        <v>3214</v>
      </c>
    </row>
    <row r="115" spans="1:1" ht="15" customHeight="1" x14ac:dyDescent="0.2">
      <c r="A115" s="9" t="s">
        <v>80</v>
      </c>
    </row>
    <row r="117" spans="1:1" ht="15" customHeight="1" x14ac:dyDescent="0.2">
      <c r="A117" s="9" t="s">
        <v>3217</v>
      </c>
    </row>
    <row r="119" spans="1:1" ht="15" customHeight="1" x14ac:dyDescent="0.2">
      <c r="A119" s="8" t="s">
        <v>3218</v>
      </c>
    </row>
    <row r="120" spans="1:1" ht="15" customHeight="1" x14ac:dyDescent="0.2">
      <c r="A120" s="9" t="s">
        <v>3211</v>
      </c>
    </row>
    <row r="121" spans="1:1" ht="15" customHeight="1" x14ac:dyDescent="0.2">
      <c r="A121" s="9" t="s">
        <v>3212</v>
      </c>
    </row>
    <row r="122" spans="1:1" ht="15" customHeight="1" x14ac:dyDescent="0.2">
      <c r="A122" s="9" t="s">
        <v>3213</v>
      </c>
    </row>
    <row r="123" spans="1:1" ht="15" customHeight="1" x14ac:dyDescent="0.2">
      <c r="A123" s="9" t="s">
        <v>3214</v>
      </c>
    </row>
    <row r="125" spans="1:1" ht="15" customHeight="1" x14ac:dyDescent="0.2">
      <c r="A125" s="9" t="s">
        <v>98</v>
      </c>
    </row>
    <row r="127" spans="1:1" ht="15" customHeight="1" x14ac:dyDescent="0.2">
      <c r="A127" s="9" t="s">
        <v>3219</v>
      </c>
    </row>
    <row r="129" spans="1:1" ht="15" customHeight="1" x14ac:dyDescent="0.2">
      <c r="A129" s="8" t="s">
        <v>3220</v>
      </c>
    </row>
    <row r="130" spans="1:1" ht="15" customHeight="1" x14ac:dyDescent="0.2">
      <c r="A130" s="9" t="s">
        <v>3211</v>
      </c>
    </row>
    <row r="131" spans="1:1" ht="15" customHeight="1" x14ac:dyDescent="0.2">
      <c r="A131" s="9" t="s">
        <v>3212</v>
      </c>
    </row>
    <row r="132" spans="1:1" ht="15" customHeight="1" x14ac:dyDescent="0.2">
      <c r="A132" s="9" t="s">
        <v>3213</v>
      </c>
    </row>
    <row r="133" spans="1:1" ht="15" customHeight="1" x14ac:dyDescent="0.2">
      <c r="A133" s="9" t="s">
        <v>3214</v>
      </c>
    </row>
    <row r="135" spans="1:1" ht="15" customHeight="1" x14ac:dyDescent="0.2">
      <c r="A135" s="9" t="s">
        <v>110</v>
      </c>
    </row>
    <row r="137" spans="1:1" ht="15" customHeight="1" x14ac:dyDescent="0.2">
      <c r="A137" s="9" t="s">
        <v>3221</v>
      </c>
    </row>
    <row r="139" spans="1:1" ht="15" customHeight="1" x14ac:dyDescent="0.2">
      <c r="A139" s="8" t="s">
        <v>3222</v>
      </c>
    </row>
    <row r="140" spans="1:1" ht="15" customHeight="1" x14ac:dyDescent="0.2">
      <c r="A140" s="9" t="s">
        <v>3223</v>
      </c>
    </row>
    <row r="141" spans="1:1" ht="15" customHeight="1" x14ac:dyDescent="0.2">
      <c r="A141" s="9" t="s">
        <v>3224</v>
      </c>
    </row>
    <row r="142" spans="1:1" ht="15" customHeight="1" x14ac:dyDescent="0.2">
      <c r="A142" s="9" t="s">
        <v>3225</v>
      </c>
    </row>
    <row r="143" spans="1:1" ht="15" customHeight="1" x14ac:dyDescent="0.2">
      <c r="A143" s="9" t="s">
        <v>3226</v>
      </c>
    </row>
    <row r="145" spans="1:1" ht="15" customHeight="1" x14ac:dyDescent="0.2">
      <c r="A145" s="9" t="s">
        <v>98</v>
      </c>
    </row>
    <row r="147" spans="1:1" ht="15" customHeight="1" x14ac:dyDescent="0.2">
      <c r="A147" s="9" t="s">
        <v>3227</v>
      </c>
    </row>
    <row r="149" spans="1:1" ht="15" customHeight="1" x14ac:dyDescent="0.2">
      <c r="A149" s="8" t="s">
        <v>3228</v>
      </c>
    </row>
    <row r="150" spans="1:1" ht="15" customHeight="1" x14ac:dyDescent="0.2">
      <c r="A150" s="9" t="s">
        <v>3229</v>
      </c>
    </row>
    <row r="151" spans="1:1" ht="15" customHeight="1" x14ac:dyDescent="0.2">
      <c r="A151" s="9" t="s">
        <v>3230</v>
      </c>
    </row>
    <row r="152" spans="1:1" ht="15" customHeight="1" x14ac:dyDescent="0.2">
      <c r="A152" s="9" t="s">
        <v>3231</v>
      </c>
    </row>
    <row r="153" spans="1:1" ht="15" customHeight="1" x14ac:dyDescent="0.2">
      <c r="A153" s="9" t="s">
        <v>3232</v>
      </c>
    </row>
    <row r="155" spans="1:1" ht="15" customHeight="1" x14ac:dyDescent="0.2">
      <c r="A155" s="9" t="s">
        <v>80</v>
      </c>
    </row>
    <row r="157" spans="1:1" ht="15" customHeight="1" x14ac:dyDescent="0.2">
      <c r="A157" s="9" t="s">
        <v>3233</v>
      </c>
    </row>
    <row r="159" spans="1:1" ht="15" customHeight="1" x14ac:dyDescent="0.2">
      <c r="A159" s="8" t="s">
        <v>3234</v>
      </c>
    </row>
    <row r="160" spans="1:1" ht="15" customHeight="1" x14ac:dyDescent="0.2">
      <c r="A160" s="9" t="s">
        <v>3235</v>
      </c>
    </row>
    <row r="161" spans="1:1" ht="15" customHeight="1" x14ac:dyDescent="0.2">
      <c r="A161" s="9" t="s">
        <v>3236</v>
      </c>
    </row>
    <row r="162" spans="1:1" ht="15" customHeight="1" x14ac:dyDescent="0.2">
      <c r="A162" s="9" t="s">
        <v>3237</v>
      </c>
    </row>
    <row r="163" spans="1:1" ht="15" customHeight="1" x14ac:dyDescent="0.2">
      <c r="A163" s="9" t="s">
        <v>3238</v>
      </c>
    </row>
    <row r="165" spans="1:1" ht="15" customHeight="1" x14ac:dyDescent="0.2">
      <c r="A165" s="9" t="s">
        <v>80</v>
      </c>
    </row>
    <row r="167" spans="1:1" ht="15" customHeight="1" x14ac:dyDescent="0.2">
      <c r="A167" s="9" t="s">
        <v>3239</v>
      </c>
    </row>
    <row r="169" spans="1:1" ht="15" customHeight="1" x14ac:dyDescent="0.2">
      <c r="A169" s="8" t="s">
        <v>3240</v>
      </c>
    </row>
    <row r="170" spans="1:1" ht="15" customHeight="1" x14ac:dyDescent="0.2">
      <c r="A170" s="9" t="s">
        <v>3241</v>
      </c>
    </row>
    <row r="171" spans="1:1" ht="15" customHeight="1" x14ac:dyDescent="0.2">
      <c r="A171" s="9" t="s">
        <v>3242</v>
      </c>
    </row>
    <row r="172" spans="1:1" ht="15" customHeight="1" x14ac:dyDescent="0.2">
      <c r="A172" s="9" t="s">
        <v>3243</v>
      </c>
    </row>
    <row r="173" spans="1:1" ht="15" customHeight="1" x14ac:dyDescent="0.2">
      <c r="A173" s="9" t="s">
        <v>404</v>
      </c>
    </row>
    <row r="175" spans="1:1" ht="15" customHeight="1" x14ac:dyDescent="0.2">
      <c r="A175" s="9" t="s">
        <v>110</v>
      </c>
    </row>
    <row r="177" spans="1:1" ht="15" customHeight="1" x14ac:dyDescent="0.2">
      <c r="A177" s="9" t="s">
        <v>3244</v>
      </c>
    </row>
    <row r="178" spans="1:1" ht="15" customHeight="1" x14ac:dyDescent="0.2">
      <c r="A178" s="9" t="s">
        <v>3245</v>
      </c>
    </row>
    <row r="180" spans="1:1" ht="15" customHeight="1" x14ac:dyDescent="0.2">
      <c r="A180" s="8" t="s">
        <v>3246</v>
      </c>
    </row>
    <row r="181" spans="1:1" ht="15" customHeight="1" x14ac:dyDescent="0.2">
      <c r="A181" s="9" t="s">
        <v>3125</v>
      </c>
    </row>
    <row r="182" spans="1:1" ht="15" customHeight="1" x14ac:dyDescent="0.2">
      <c r="A182" s="9" t="s">
        <v>3126</v>
      </c>
    </row>
    <row r="183" spans="1:1" ht="15" customHeight="1" x14ac:dyDescent="0.2">
      <c r="A183" s="9" t="s">
        <v>3127</v>
      </c>
    </row>
    <row r="184" spans="1:1" ht="15" customHeight="1" x14ac:dyDescent="0.2">
      <c r="A184" s="9" t="s">
        <v>3128</v>
      </c>
    </row>
    <row r="186" spans="1:1" ht="15" customHeight="1" x14ac:dyDescent="0.2">
      <c r="A186" s="9" t="s">
        <v>88</v>
      </c>
    </row>
    <row r="188" spans="1:1" ht="15" customHeight="1" x14ac:dyDescent="0.2">
      <c r="A188" s="9" t="s">
        <v>3129</v>
      </c>
    </row>
    <row r="190" spans="1:1" ht="15" customHeight="1" x14ac:dyDescent="0.2">
      <c r="A190" s="8" t="s">
        <v>3247</v>
      </c>
    </row>
    <row r="191" spans="1:1" ht="15" customHeight="1" x14ac:dyDescent="0.2">
      <c r="A191" s="9" t="s">
        <v>3125</v>
      </c>
    </row>
    <row r="192" spans="1:1" ht="15" customHeight="1" x14ac:dyDescent="0.2">
      <c r="A192" s="9" t="s">
        <v>3126</v>
      </c>
    </row>
    <row r="193" spans="1:1" ht="15" customHeight="1" x14ac:dyDescent="0.2">
      <c r="A193" s="9" t="s">
        <v>3127</v>
      </c>
    </row>
    <row r="194" spans="1:1" ht="15" customHeight="1" x14ac:dyDescent="0.2">
      <c r="A194" s="9" t="s">
        <v>3128</v>
      </c>
    </row>
    <row r="196" spans="1:1" ht="15" customHeight="1" x14ac:dyDescent="0.2">
      <c r="A196" s="9" t="s">
        <v>110</v>
      </c>
    </row>
    <row r="198" spans="1:1" ht="15" customHeight="1" x14ac:dyDescent="0.2">
      <c r="A198" s="9" t="s">
        <v>3248</v>
      </c>
    </row>
    <row r="200" spans="1:1" ht="15" customHeight="1" x14ac:dyDescent="0.2">
      <c r="A200" s="8" t="s">
        <v>3399</v>
      </c>
    </row>
    <row r="201" spans="1:1" ht="15" customHeight="1" x14ac:dyDescent="0.2">
      <c r="A201" s="9" t="s">
        <v>3400</v>
      </c>
    </row>
    <row r="202" spans="1:1" ht="15" customHeight="1" x14ac:dyDescent="0.2">
      <c r="A202" s="9" t="s">
        <v>3401</v>
      </c>
    </row>
    <row r="203" spans="1:1" ht="15" customHeight="1" x14ac:dyDescent="0.2">
      <c r="A203" s="9" t="s">
        <v>3402</v>
      </c>
    </row>
    <row r="204" spans="1:1" ht="15" customHeight="1" x14ac:dyDescent="0.2">
      <c r="A204" s="9" t="s">
        <v>3393</v>
      </c>
    </row>
    <row r="206" spans="1:1" ht="15" customHeight="1" x14ac:dyDescent="0.2">
      <c r="A206" s="9" t="s">
        <v>80</v>
      </c>
    </row>
    <row r="208" spans="1:1" ht="15" customHeight="1" x14ac:dyDescent="0.2">
      <c r="A208" s="9" t="s">
        <v>3403</v>
      </c>
    </row>
    <row r="210" spans="1:1" ht="15" customHeight="1" x14ac:dyDescent="0.2">
      <c r="A210" s="8" t="s">
        <v>3249</v>
      </c>
    </row>
    <row r="211" spans="1:1" ht="15" customHeight="1" x14ac:dyDescent="0.2">
      <c r="A211" s="9" t="s">
        <v>3250</v>
      </c>
    </row>
    <row r="212" spans="1:1" ht="15" customHeight="1" x14ac:dyDescent="0.2">
      <c r="A212" s="9" t="s">
        <v>3251</v>
      </c>
    </row>
    <row r="213" spans="1:1" ht="15" customHeight="1" x14ac:dyDescent="0.2">
      <c r="A213" s="9" t="s">
        <v>3252</v>
      </c>
    </row>
    <row r="214" spans="1:1" ht="15" customHeight="1" x14ac:dyDescent="0.2">
      <c r="A214" s="9" t="s">
        <v>404</v>
      </c>
    </row>
    <row r="216" spans="1:1" ht="15" customHeight="1" x14ac:dyDescent="0.2">
      <c r="A216" s="9" t="s">
        <v>88</v>
      </c>
    </row>
    <row r="218" spans="1:1" ht="15" customHeight="1" x14ac:dyDescent="0.2">
      <c r="A218" s="9" t="s">
        <v>3253</v>
      </c>
    </row>
  </sheetData>
  <mergeCells count="1">
    <mergeCell ref="A1:P1"/>
  </mergeCells>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9">
    <tabColor rgb="FF536878"/>
    <pageSetUpPr fitToPage="1"/>
  </sheetPr>
  <dimension ref="A1:P240"/>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3.28515625" style="9" customWidth="1"/>
    <col min="2" max="16384" width="9.140625" style="9"/>
  </cols>
  <sheetData>
    <row r="1" spans="1:16" ht="15" customHeight="1" x14ac:dyDescent="0.2">
      <c r="A1" s="75" t="s">
        <v>1007</v>
      </c>
      <c r="B1" s="76"/>
      <c r="C1" s="76"/>
      <c r="D1" s="76"/>
      <c r="E1" s="76"/>
      <c r="F1" s="76"/>
      <c r="G1" s="76"/>
      <c r="H1" s="76"/>
      <c r="I1" s="76"/>
      <c r="J1" s="76"/>
      <c r="K1" s="76"/>
      <c r="L1" s="76"/>
      <c r="M1" s="76"/>
      <c r="N1" s="76"/>
      <c r="O1" s="76"/>
      <c r="P1" s="76"/>
    </row>
    <row r="3" spans="1:16" ht="15" customHeight="1" x14ac:dyDescent="0.2">
      <c r="A3" s="8" t="s">
        <v>1019</v>
      </c>
    </row>
    <row r="4" spans="1:16" ht="15" customHeight="1" x14ac:dyDescent="0.2">
      <c r="A4" s="9" t="s">
        <v>1020</v>
      </c>
    </row>
    <row r="5" spans="1:16" ht="15" customHeight="1" x14ac:dyDescent="0.2">
      <c r="A5" s="9" t="s">
        <v>1021</v>
      </c>
    </row>
    <row r="6" spans="1:16" ht="15" customHeight="1" x14ac:dyDescent="0.2">
      <c r="A6" s="9" t="s">
        <v>1022</v>
      </c>
    </row>
    <row r="7" spans="1:16" ht="15" customHeight="1" x14ac:dyDescent="0.2">
      <c r="A7" s="9" t="s">
        <v>1023</v>
      </c>
    </row>
    <row r="9" spans="1:16" ht="15" customHeight="1" x14ac:dyDescent="0.2">
      <c r="A9" s="9" t="s">
        <v>80</v>
      </c>
    </row>
    <row r="11" spans="1:16" ht="15" customHeight="1" x14ac:dyDescent="0.2">
      <c r="A11" s="9" t="s">
        <v>1024</v>
      </c>
    </row>
    <row r="13" spans="1:16" ht="15" customHeight="1" x14ac:dyDescent="0.2">
      <c r="A13" s="8" t="s">
        <v>1025</v>
      </c>
    </row>
    <row r="14" spans="1:16" ht="15" customHeight="1" x14ac:dyDescent="0.2">
      <c r="A14" s="9" t="s">
        <v>1026</v>
      </c>
    </row>
    <row r="15" spans="1:16" ht="15" customHeight="1" x14ac:dyDescent="0.2">
      <c r="A15" s="9" t="s">
        <v>1027</v>
      </c>
    </row>
    <row r="16" spans="1:16" ht="15" customHeight="1" x14ac:dyDescent="0.2">
      <c r="A16" s="9" t="s">
        <v>1028</v>
      </c>
    </row>
    <row r="17" spans="1:1" ht="15" customHeight="1" x14ac:dyDescent="0.2">
      <c r="A17" s="9" t="s">
        <v>404</v>
      </c>
    </row>
    <row r="19" spans="1:1" ht="15" customHeight="1" x14ac:dyDescent="0.2">
      <c r="A19" s="9" t="s">
        <v>110</v>
      </c>
    </row>
    <row r="21" spans="1:1" ht="15" customHeight="1" x14ac:dyDescent="0.2">
      <c r="A21" s="9" t="s">
        <v>1029</v>
      </c>
    </row>
    <row r="22" spans="1:1" ht="15" customHeight="1" x14ac:dyDescent="0.2">
      <c r="A22" s="9" t="s">
        <v>1030</v>
      </c>
    </row>
    <row r="24" spans="1:1" ht="15" customHeight="1" x14ac:dyDescent="0.2">
      <c r="A24" s="8" t="s">
        <v>1036</v>
      </c>
    </row>
    <row r="25" spans="1:1" ht="15" customHeight="1" x14ac:dyDescent="0.2">
      <c r="A25" s="9" t="s">
        <v>1031</v>
      </c>
    </row>
    <row r="26" spans="1:1" ht="15" customHeight="1" x14ac:dyDescent="0.2">
      <c r="A26" s="9" t="s">
        <v>1032</v>
      </c>
    </row>
    <row r="27" spans="1:1" ht="15" customHeight="1" x14ac:dyDescent="0.2">
      <c r="A27" s="9" t="s">
        <v>1033</v>
      </c>
    </row>
    <row r="28" spans="1:1" ht="15" customHeight="1" x14ac:dyDescent="0.2">
      <c r="A28" s="9" t="s">
        <v>1034</v>
      </c>
    </row>
    <row r="30" spans="1:1" ht="15" customHeight="1" x14ac:dyDescent="0.2">
      <c r="A30" s="9" t="s">
        <v>98</v>
      </c>
    </row>
    <row r="32" spans="1:1" ht="15" customHeight="1" x14ac:dyDescent="0.2">
      <c r="A32" s="9" t="s">
        <v>1035</v>
      </c>
    </row>
    <row r="34" spans="1:2" ht="15" customHeight="1" x14ac:dyDescent="0.25">
      <c r="A34" s="25" t="s">
        <v>3873</v>
      </c>
      <c r="B34" s="9">
        <v>100</v>
      </c>
    </row>
    <row r="35" spans="1:2" ht="15" customHeight="1" x14ac:dyDescent="0.2">
      <c r="A35" s="25" t="s">
        <v>82</v>
      </c>
      <c r="B35" s="12">
        <v>20</v>
      </c>
    </row>
    <row r="36" spans="1:2" ht="15" customHeight="1" x14ac:dyDescent="0.25">
      <c r="A36" s="25" t="s">
        <v>3874</v>
      </c>
      <c r="B36" s="9">
        <v>2</v>
      </c>
    </row>
    <row r="37" spans="1:2" ht="15" customHeight="1" x14ac:dyDescent="0.25">
      <c r="A37" s="25" t="s">
        <v>3875</v>
      </c>
      <c r="B37" s="9">
        <v>1</v>
      </c>
    </row>
    <row r="39" spans="1:2" ht="15" customHeight="1" x14ac:dyDescent="0.25">
      <c r="A39" s="59" t="s">
        <v>82</v>
      </c>
      <c r="B39" s="59" t="s">
        <v>3873</v>
      </c>
    </row>
    <row r="40" spans="1:2" ht="15" customHeight="1" x14ac:dyDescent="0.2">
      <c r="A40" s="12">
        <f>B35*B37/B36</f>
        <v>10</v>
      </c>
      <c r="B40" s="9">
        <f>B34*B36/B37</f>
        <v>200</v>
      </c>
    </row>
    <row r="42" spans="1:2" ht="15" customHeight="1" x14ac:dyDescent="0.2">
      <c r="A42" s="8" t="s">
        <v>1037</v>
      </c>
    </row>
    <row r="43" spans="1:2" ht="15" customHeight="1" x14ac:dyDescent="0.2">
      <c r="A43" s="9" t="s">
        <v>1031</v>
      </c>
    </row>
    <row r="44" spans="1:2" ht="15" customHeight="1" x14ac:dyDescent="0.2">
      <c r="A44" s="9" t="s">
        <v>1038</v>
      </c>
    </row>
    <row r="45" spans="1:2" ht="15" customHeight="1" x14ac:dyDescent="0.2">
      <c r="A45" s="9" t="s">
        <v>1039</v>
      </c>
    </row>
    <row r="46" spans="1:2" ht="15" customHeight="1" x14ac:dyDescent="0.2">
      <c r="A46" s="9" t="s">
        <v>1040</v>
      </c>
    </row>
    <row r="48" spans="1:2" ht="15" customHeight="1" x14ac:dyDescent="0.2">
      <c r="A48" s="9" t="s">
        <v>110</v>
      </c>
    </row>
    <row r="50" spans="1:2" ht="15" customHeight="1" x14ac:dyDescent="0.2">
      <c r="A50" s="9" t="s">
        <v>1041</v>
      </c>
    </row>
    <row r="51" spans="1:2" ht="15" customHeight="1" x14ac:dyDescent="0.2">
      <c r="A51" s="8"/>
    </row>
    <row r="52" spans="1:2" ht="15" customHeight="1" x14ac:dyDescent="0.25">
      <c r="A52" s="25" t="s">
        <v>3873</v>
      </c>
      <c r="B52" s="9">
        <v>100</v>
      </c>
    </row>
    <row r="53" spans="1:2" ht="15" customHeight="1" x14ac:dyDescent="0.2">
      <c r="A53" s="25" t="s">
        <v>82</v>
      </c>
      <c r="B53" s="12">
        <v>20</v>
      </c>
    </row>
    <row r="54" spans="1:2" ht="15" customHeight="1" x14ac:dyDescent="0.25">
      <c r="A54" s="25" t="s">
        <v>3874</v>
      </c>
      <c r="B54" s="9">
        <v>5</v>
      </c>
    </row>
    <row r="55" spans="1:2" ht="15" customHeight="1" x14ac:dyDescent="0.25">
      <c r="A55" s="25" t="s">
        <v>3875</v>
      </c>
      <c r="B55" s="9">
        <v>4</v>
      </c>
    </row>
    <row r="57" spans="1:2" ht="15" customHeight="1" x14ac:dyDescent="0.25">
      <c r="A57" s="59" t="s">
        <v>82</v>
      </c>
      <c r="B57" s="59" t="s">
        <v>3873</v>
      </c>
    </row>
    <row r="58" spans="1:2" ht="15" customHeight="1" x14ac:dyDescent="0.2">
      <c r="A58" s="12">
        <f>B53*B55/B54</f>
        <v>16</v>
      </c>
      <c r="B58" s="9">
        <f>B52*B54/B55</f>
        <v>125</v>
      </c>
    </row>
    <row r="59" spans="1:2" ht="15" customHeight="1" x14ac:dyDescent="0.2">
      <c r="A59" s="8"/>
    </row>
    <row r="60" spans="1:2" ht="15" customHeight="1" x14ac:dyDescent="0.2">
      <c r="A60" s="8" t="s">
        <v>1042</v>
      </c>
    </row>
    <row r="61" spans="1:2" ht="15" customHeight="1" x14ac:dyDescent="0.2">
      <c r="A61" s="9" t="s">
        <v>1031</v>
      </c>
    </row>
    <row r="62" spans="1:2" ht="15" customHeight="1" x14ac:dyDescent="0.2">
      <c r="A62" s="9" t="s">
        <v>1043</v>
      </c>
    </row>
    <row r="63" spans="1:2" ht="15" customHeight="1" x14ac:dyDescent="0.2">
      <c r="A63" s="9" t="s">
        <v>1044</v>
      </c>
    </row>
    <row r="64" spans="1:2" ht="15" customHeight="1" x14ac:dyDescent="0.2">
      <c r="A64" s="9" t="s">
        <v>1045</v>
      </c>
    </row>
    <row r="66" spans="1:1" ht="15" customHeight="1" x14ac:dyDescent="0.2">
      <c r="A66" s="9" t="s">
        <v>80</v>
      </c>
    </row>
    <row r="68" spans="1:1" ht="15" customHeight="1" x14ac:dyDescent="0.2">
      <c r="A68" s="9" t="s">
        <v>1046</v>
      </c>
    </row>
    <row r="69" spans="1:1" ht="15" customHeight="1" x14ac:dyDescent="0.2">
      <c r="A69" s="8"/>
    </row>
    <row r="70" spans="1:1" ht="15" customHeight="1" x14ac:dyDescent="0.2">
      <c r="A70" s="8" t="s">
        <v>1047</v>
      </c>
    </row>
    <row r="71" spans="1:1" ht="15" customHeight="1" x14ac:dyDescent="0.2">
      <c r="A71" s="9" t="s">
        <v>1076</v>
      </c>
    </row>
    <row r="72" spans="1:1" ht="15" customHeight="1" x14ac:dyDescent="0.2">
      <c r="A72" s="9" t="s">
        <v>1077</v>
      </c>
    </row>
    <row r="73" spans="1:1" ht="15" customHeight="1" x14ac:dyDescent="0.2">
      <c r="A73" s="9" t="s">
        <v>1078</v>
      </c>
    </row>
    <row r="74" spans="1:1" ht="15" customHeight="1" x14ac:dyDescent="0.2">
      <c r="A74" s="9" t="s">
        <v>1048</v>
      </c>
    </row>
    <row r="76" spans="1:1" ht="15" customHeight="1" x14ac:dyDescent="0.2">
      <c r="A76" s="9" t="s">
        <v>110</v>
      </c>
    </row>
    <row r="78" spans="1:1" ht="15" customHeight="1" x14ac:dyDescent="0.2">
      <c r="A78" s="9" t="s">
        <v>1049</v>
      </c>
    </row>
    <row r="80" spans="1:1" ht="15" customHeight="1" x14ac:dyDescent="0.2">
      <c r="A80" s="8" t="s">
        <v>1050</v>
      </c>
    </row>
    <row r="81" spans="1:1" ht="15" customHeight="1" x14ac:dyDescent="0.2">
      <c r="A81" s="9" t="s">
        <v>1051</v>
      </c>
    </row>
    <row r="82" spans="1:1" ht="15" customHeight="1" x14ac:dyDescent="0.2">
      <c r="A82" s="9" t="s">
        <v>1052</v>
      </c>
    </row>
    <row r="83" spans="1:1" ht="15" customHeight="1" x14ac:dyDescent="0.2">
      <c r="A83" s="9" t="s">
        <v>1053</v>
      </c>
    </row>
    <row r="84" spans="1:1" ht="15" customHeight="1" x14ac:dyDescent="0.2">
      <c r="A84" s="9" t="s">
        <v>1054</v>
      </c>
    </row>
    <row r="86" spans="1:1" ht="15" customHeight="1" x14ac:dyDescent="0.2">
      <c r="A86" s="9" t="s">
        <v>88</v>
      </c>
    </row>
    <row r="88" spans="1:1" ht="15" customHeight="1" x14ac:dyDescent="0.2">
      <c r="A88" s="9" t="s">
        <v>1055</v>
      </c>
    </row>
    <row r="90" spans="1:1" ht="15" customHeight="1" x14ac:dyDescent="0.2">
      <c r="A90" s="8" t="s">
        <v>1056</v>
      </c>
    </row>
    <row r="91" spans="1:1" ht="15" customHeight="1" x14ac:dyDescent="0.2">
      <c r="A91" s="9" t="s">
        <v>1057</v>
      </c>
    </row>
    <row r="92" spans="1:1" ht="15" customHeight="1" x14ac:dyDescent="0.2">
      <c r="A92" s="9" t="s">
        <v>1058</v>
      </c>
    </row>
    <row r="93" spans="1:1" ht="15" customHeight="1" x14ac:dyDescent="0.2">
      <c r="A93" s="9" t="s">
        <v>1059</v>
      </c>
    </row>
    <row r="94" spans="1:1" ht="15" customHeight="1" x14ac:dyDescent="0.2">
      <c r="A94" s="9" t="s">
        <v>1060</v>
      </c>
    </row>
    <row r="96" spans="1:1" ht="15" customHeight="1" x14ac:dyDescent="0.2">
      <c r="A96" s="9" t="s">
        <v>98</v>
      </c>
    </row>
    <row r="98" spans="1:1" ht="15" customHeight="1" x14ac:dyDescent="0.2">
      <c r="A98" s="9" t="s">
        <v>1061</v>
      </c>
    </row>
    <row r="100" spans="1:1" ht="15" customHeight="1" x14ac:dyDescent="0.2">
      <c r="A100" s="8" t="s">
        <v>1062</v>
      </c>
    </row>
    <row r="101" spans="1:1" ht="15" customHeight="1" x14ac:dyDescent="0.2">
      <c r="A101" s="9" t="s">
        <v>1063</v>
      </c>
    </row>
    <row r="102" spans="1:1" ht="15" customHeight="1" x14ac:dyDescent="0.2">
      <c r="A102" s="9" t="s">
        <v>1064</v>
      </c>
    </row>
    <row r="103" spans="1:1" ht="15" customHeight="1" x14ac:dyDescent="0.2">
      <c r="A103" s="9" t="s">
        <v>1065</v>
      </c>
    </row>
    <row r="104" spans="1:1" ht="15" customHeight="1" x14ac:dyDescent="0.2">
      <c r="A104" s="9" t="s">
        <v>1066</v>
      </c>
    </row>
    <row r="106" spans="1:1" ht="15" customHeight="1" x14ac:dyDescent="0.2">
      <c r="A106" s="9" t="s">
        <v>80</v>
      </c>
    </row>
    <row r="108" spans="1:1" ht="15" customHeight="1" x14ac:dyDescent="0.2">
      <c r="A108" s="9" t="s">
        <v>1067</v>
      </c>
    </row>
    <row r="110" spans="1:1" ht="15" customHeight="1" x14ac:dyDescent="0.2">
      <c r="A110" s="8" t="s">
        <v>1068</v>
      </c>
    </row>
    <row r="112" spans="1:1" ht="15" customHeight="1" x14ac:dyDescent="0.2">
      <c r="A112" s="9" t="s">
        <v>1063</v>
      </c>
    </row>
    <row r="113" spans="1:1" ht="15" customHeight="1" x14ac:dyDescent="0.2">
      <c r="A113" s="9" t="s">
        <v>1064</v>
      </c>
    </row>
    <row r="114" spans="1:1" ht="15" customHeight="1" x14ac:dyDescent="0.2">
      <c r="A114" s="9" t="s">
        <v>1065</v>
      </c>
    </row>
    <row r="115" spans="1:1" ht="15" customHeight="1" x14ac:dyDescent="0.2">
      <c r="A115" s="9" t="s">
        <v>1066</v>
      </c>
    </row>
    <row r="117" spans="1:1" ht="15" customHeight="1" x14ac:dyDescent="0.2">
      <c r="A117" s="9" t="s">
        <v>110</v>
      </c>
    </row>
    <row r="119" spans="1:1" ht="15" customHeight="1" x14ac:dyDescent="0.2">
      <c r="A119" s="9" t="s">
        <v>1069</v>
      </c>
    </row>
    <row r="121" spans="1:1" ht="15" customHeight="1" x14ac:dyDescent="0.2">
      <c r="A121" s="8" t="s">
        <v>1070</v>
      </c>
    </row>
    <row r="122" spans="1:1" ht="15" customHeight="1" x14ac:dyDescent="0.2">
      <c r="A122" s="9" t="s">
        <v>1071</v>
      </c>
    </row>
    <row r="123" spans="1:1" ht="15" customHeight="1" x14ac:dyDescent="0.2">
      <c r="A123" s="9" t="s">
        <v>1072</v>
      </c>
    </row>
    <row r="124" spans="1:1" ht="15" customHeight="1" x14ac:dyDescent="0.2">
      <c r="A124" s="9" t="s">
        <v>1073</v>
      </c>
    </row>
    <row r="125" spans="1:1" ht="15" customHeight="1" x14ac:dyDescent="0.2">
      <c r="A125" s="9" t="s">
        <v>1074</v>
      </c>
    </row>
    <row r="127" spans="1:1" ht="15" customHeight="1" x14ac:dyDescent="0.2">
      <c r="A127" s="9" t="s">
        <v>80</v>
      </c>
    </row>
    <row r="129" spans="1:1" ht="15" customHeight="1" x14ac:dyDescent="0.2">
      <c r="A129" s="9" t="s">
        <v>1075</v>
      </c>
    </row>
    <row r="131" spans="1:1" ht="15" customHeight="1" x14ac:dyDescent="0.2">
      <c r="A131" s="8" t="s">
        <v>1079</v>
      </c>
    </row>
    <row r="132" spans="1:1" ht="15" customHeight="1" x14ac:dyDescent="0.2">
      <c r="A132" s="9" t="s">
        <v>1080</v>
      </c>
    </row>
    <row r="133" spans="1:1" ht="15" customHeight="1" x14ac:dyDescent="0.2">
      <c r="A133" s="9" t="s">
        <v>1081</v>
      </c>
    </row>
    <row r="134" spans="1:1" ht="15" customHeight="1" x14ac:dyDescent="0.2">
      <c r="A134" s="9" t="s">
        <v>1082</v>
      </c>
    </row>
    <row r="135" spans="1:1" ht="15" customHeight="1" x14ac:dyDescent="0.2">
      <c r="A135" s="9" t="s">
        <v>1083</v>
      </c>
    </row>
    <row r="137" spans="1:1" ht="15" customHeight="1" x14ac:dyDescent="0.2">
      <c r="A137" s="9" t="s">
        <v>98</v>
      </c>
    </row>
    <row r="139" spans="1:1" ht="15" customHeight="1" x14ac:dyDescent="0.2">
      <c r="A139" s="9" t="s">
        <v>1084</v>
      </c>
    </row>
    <row r="141" spans="1:1" ht="15" customHeight="1" x14ac:dyDescent="0.2">
      <c r="A141" s="8" t="s">
        <v>3354</v>
      </c>
    </row>
    <row r="142" spans="1:1" ht="15" customHeight="1" x14ac:dyDescent="0.2">
      <c r="A142" s="9" t="s">
        <v>3355</v>
      </c>
    </row>
    <row r="143" spans="1:1" ht="15" customHeight="1" x14ac:dyDescent="0.2">
      <c r="A143" s="9" t="s">
        <v>3356</v>
      </c>
    </row>
    <row r="144" spans="1:1" ht="15" customHeight="1" x14ac:dyDescent="0.2">
      <c r="A144" s="9" t="s">
        <v>3357</v>
      </c>
    </row>
    <row r="145" spans="1:1" ht="15" customHeight="1" x14ac:dyDescent="0.2">
      <c r="A145" s="9" t="s">
        <v>3358</v>
      </c>
    </row>
    <row r="147" spans="1:1" ht="15" customHeight="1" x14ac:dyDescent="0.2">
      <c r="A147" s="9" t="s">
        <v>88</v>
      </c>
    </row>
    <row r="149" spans="1:1" ht="15" customHeight="1" x14ac:dyDescent="0.2">
      <c r="A149" s="9" t="s">
        <v>3359</v>
      </c>
    </row>
    <row r="151" spans="1:1" ht="15" customHeight="1" x14ac:dyDescent="0.2">
      <c r="A151" s="8" t="s">
        <v>1085</v>
      </c>
    </row>
    <row r="152" spans="1:1" ht="15" customHeight="1" x14ac:dyDescent="0.2">
      <c r="A152" s="9" t="s">
        <v>1086</v>
      </c>
    </row>
    <row r="153" spans="1:1" ht="15" customHeight="1" x14ac:dyDescent="0.2">
      <c r="A153" s="9" t="s">
        <v>1087</v>
      </c>
    </row>
    <row r="154" spans="1:1" ht="15" customHeight="1" x14ac:dyDescent="0.2">
      <c r="A154" s="9" t="s">
        <v>1088</v>
      </c>
    </row>
    <row r="155" spans="1:1" ht="15" customHeight="1" x14ac:dyDescent="0.2">
      <c r="A155" s="9" t="s">
        <v>1089</v>
      </c>
    </row>
    <row r="157" spans="1:1" ht="15" customHeight="1" x14ac:dyDescent="0.2">
      <c r="A157" s="9" t="s">
        <v>80</v>
      </c>
    </row>
    <row r="159" spans="1:1" ht="15" customHeight="1" x14ac:dyDescent="0.2">
      <c r="A159" s="9" t="s">
        <v>1090</v>
      </c>
    </row>
    <row r="161" spans="1:1" ht="15" customHeight="1" x14ac:dyDescent="0.2">
      <c r="A161" s="8" t="s">
        <v>1091</v>
      </c>
    </row>
    <row r="162" spans="1:1" ht="15" customHeight="1" x14ac:dyDescent="0.2">
      <c r="A162" s="9" t="s">
        <v>1092</v>
      </c>
    </row>
    <row r="163" spans="1:1" ht="15" customHeight="1" x14ac:dyDescent="0.2">
      <c r="A163" s="9" t="s">
        <v>1093</v>
      </c>
    </row>
    <row r="164" spans="1:1" ht="15" customHeight="1" x14ac:dyDescent="0.2">
      <c r="A164" s="9" t="s">
        <v>1094</v>
      </c>
    </row>
    <row r="165" spans="1:1" ht="15" customHeight="1" x14ac:dyDescent="0.2">
      <c r="A165" s="9" t="s">
        <v>1095</v>
      </c>
    </row>
    <row r="167" spans="1:1" ht="15" customHeight="1" x14ac:dyDescent="0.2">
      <c r="A167" s="9" t="s">
        <v>88</v>
      </c>
    </row>
    <row r="169" spans="1:1" ht="15" customHeight="1" x14ac:dyDescent="0.2">
      <c r="A169" s="9" t="s">
        <v>1096</v>
      </c>
    </row>
    <row r="171" spans="1:1" ht="15" customHeight="1" x14ac:dyDescent="0.2">
      <c r="A171" s="8" t="s">
        <v>1097</v>
      </c>
    </row>
    <row r="172" spans="1:1" ht="15" customHeight="1" x14ac:dyDescent="0.2">
      <c r="A172" s="8" t="s">
        <v>1098</v>
      </c>
    </row>
    <row r="173" spans="1:1" ht="15" customHeight="1" x14ac:dyDescent="0.2">
      <c r="A173" s="9" t="s">
        <v>1099</v>
      </c>
    </row>
    <row r="174" spans="1:1" ht="15" customHeight="1" x14ac:dyDescent="0.2">
      <c r="A174" s="9" t="s">
        <v>1100</v>
      </c>
    </row>
    <row r="175" spans="1:1" ht="15" customHeight="1" x14ac:dyDescent="0.2">
      <c r="A175" s="9" t="s">
        <v>1101</v>
      </c>
    </row>
    <row r="176" spans="1:1" ht="15" customHeight="1" x14ac:dyDescent="0.2">
      <c r="A176" s="9" t="s">
        <v>267</v>
      </c>
    </row>
    <row r="178" spans="1:2" ht="15" customHeight="1" x14ac:dyDescent="0.2">
      <c r="A178" s="9" t="s">
        <v>98</v>
      </c>
    </row>
    <row r="180" spans="1:2" ht="15" customHeight="1" x14ac:dyDescent="0.2">
      <c r="A180" s="9" t="s">
        <v>1102</v>
      </c>
    </row>
    <row r="182" spans="1:2" ht="15" customHeight="1" x14ac:dyDescent="0.25">
      <c r="A182" s="9" t="s">
        <v>3638</v>
      </c>
      <c r="B182" s="12">
        <v>67</v>
      </c>
    </row>
    <row r="183" spans="1:2" ht="15" customHeight="1" x14ac:dyDescent="0.2">
      <c r="A183" s="25" t="s">
        <v>178</v>
      </c>
      <c r="B183" s="9">
        <v>5</v>
      </c>
    </row>
    <row r="184" spans="1:2" ht="15" customHeight="1" x14ac:dyDescent="0.2">
      <c r="A184" s="25" t="s">
        <v>85</v>
      </c>
      <c r="B184" s="9">
        <v>100</v>
      </c>
    </row>
    <row r="185" spans="1:2" ht="15" customHeight="1" x14ac:dyDescent="0.2">
      <c r="A185" s="25" t="s">
        <v>82</v>
      </c>
      <c r="B185" s="12">
        <v>70</v>
      </c>
    </row>
    <row r="186" spans="1:2" ht="15" customHeight="1" x14ac:dyDescent="0.2">
      <c r="A186" s="25" t="s">
        <v>87</v>
      </c>
      <c r="B186" s="12">
        <v>4</v>
      </c>
    </row>
    <row r="187" spans="1:2" ht="15" customHeight="1" x14ac:dyDescent="0.25">
      <c r="A187" s="25" t="s">
        <v>3436</v>
      </c>
      <c r="B187" s="12">
        <v>69</v>
      </c>
    </row>
    <row r="188" spans="1:2" ht="15" customHeight="1" x14ac:dyDescent="0.2">
      <c r="A188" s="25"/>
      <c r="B188" s="12"/>
    </row>
    <row r="189" spans="1:2" ht="15" customHeight="1" x14ac:dyDescent="0.2">
      <c r="A189" s="9" t="s">
        <v>235</v>
      </c>
      <c r="B189" s="12">
        <f>B183*B184*(B186-(B185-B187))</f>
        <v>1500</v>
      </c>
    </row>
    <row r="191" spans="1:2" ht="15" customHeight="1" x14ac:dyDescent="0.2">
      <c r="A191" s="8" t="s">
        <v>1103</v>
      </c>
    </row>
    <row r="192" spans="1:2" ht="15" customHeight="1" x14ac:dyDescent="0.2">
      <c r="A192" s="9" t="s">
        <v>1104</v>
      </c>
    </row>
    <row r="193" spans="1:1" ht="15" customHeight="1" x14ac:dyDescent="0.2">
      <c r="A193" s="9" t="s">
        <v>1105</v>
      </c>
    </row>
    <row r="194" spans="1:1" ht="15" customHeight="1" x14ac:dyDescent="0.2">
      <c r="A194" s="9" t="s">
        <v>1106</v>
      </c>
    </row>
    <row r="195" spans="1:1" ht="15" customHeight="1" x14ac:dyDescent="0.2">
      <c r="A195" s="9" t="s">
        <v>5</v>
      </c>
    </row>
    <row r="197" spans="1:1" ht="15" customHeight="1" x14ac:dyDescent="0.2">
      <c r="A197" s="9" t="s">
        <v>80</v>
      </c>
    </row>
    <row r="199" spans="1:1" ht="15" customHeight="1" x14ac:dyDescent="0.25">
      <c r="A199" s="9" t="s">
        <v>3876</v>
      </c>
    </row>
    <row r="201" spans="1:1" ht="15" customHeight="1" x14ac:dyDescent="0.2">
      <c r="A201" s="8" t="s">
        <v>1107</v>
      </c>
    </row>
    <row r="202" spans="1:1" ht="15" customHeight="1" x14ac:dyDescent="0.2">
      <c r="A202" s="9" t="s">
        <v>1108</v>
      </c>
    </row>
    <row r="203" spans="1:1" ht="15" customHeight="1" x14ac:dyDescent="0.2">
      <c r="A203" s="9" t="s">
        <v>1109</v>
      </c>
    </row>
    <row r="204" spans="1:1" ht="15" customHeight="1" x14ac:dyDescent="0.2">
      <c r="A204" s="9" t="s">
        <v>1110</v>
      </c>
    </row>
    <row r="205" spans="1:1" ht="15" customHeight="1" x14ac:dyDescent="0.2">
      <c r="A205" s="9" t="s">
        <v>1111</v>
      </c>
    </row>
    <row r="207" spans="1:1" ht="15" customHeight="1" x14ac:dyDescent="0.2">
      <c r="A207" s="9" t="s">
        <v>110</v>
      </c>
    </row>
    <row r="209" spans="1:2" ht="15" customHeight="1" x14ac:dyDescent="0.2">
      <c r="A209" s="9" t="s">
        <v>1112</v>
      </c>
    </row>
    <row r="211" spans="1:2" ht="15" customHeight="1" x14ac:dyDescent="0.25">
      <c r="A211" s="9" t="s">
        <v>3638</v>
      </c>
      <c r="B211" s="12">
        <v>64</v>
      </c>
    </row>
    <row r="212" spans="1:2" ht="15" customHeight="1" x14ac:dyDescent="0.2">
      <c r="A212" s="25" t="s">
        <v>178</v>
      </c>
      <c r="B212" s="9">
        <v>1</v>
      </c>
    </row>
    <row r="213" spans="1:2" ht="15" customHeight="1" x14ac:dyDescent="0.2">
      <c r="A213" s="25" t="s">
        <v>85</v>
      </c>
      <c r="B213" s="9">
        <v>100</v>
      </c>
    </row>
    <row r="214" spans="1:2" ht="15" customHeight="1" x14ac:dyDescent="0.2">
      <c r="A214" s="25" t="s">
        <v>82</v>
      </c>
      <c r="B214" s="12">
        <v>60</v>
      </c>
    </row>
    <row r="215" spans="1:2" ht="15" customHeight="1" x14ac:dyDescent="0.2">
      <c r="A215" s="25" t="s">
        <v>87</v>
      </c>
      <c r="B215" s="12">
        <v>10</v>
      </c>
    </row>
    <row r="216" spans="1:2" ht="15" customHeight="1" x14ac:dyDescent="0.2">
      <c r="A216" s="25"/>
      <c r="B216" s="12"/>
    </row>
    <row r="217" spans="1:2" ht="15" customHeight="1" x14ac:dyDescent="0.25">
      <c r="A217" s="25" t="s">
        <v>3436</v>
      </c>
      <c r="B217" s="12">
        <f>B214-B215</f>
        <v>50</v>
      </c>
    </row>
    <row r="219" spans="1:2" ht="15" customHeight="1" x14ac:dyDescent="0.2">
      <c r="A219" s="8" t="s">
        <v>1113</v>
      </c>
    </row>
    <row r="220" spans="1:2" ht="15" customHeight="1" x14ac:dyDescent="0.2">
      <c r="A220" s="9" t="s">
        <v>1114</v>
      </c>
    </row>
    <row r="221" spans="1:2" ht="15" customHeight="1" x14ac:dyDescent="0.2">
      <c r="A221" s="9" t="s">
        <v>1115</v>
      </c>
    </row>
    <row r="222" spans="1:2" ht="15" customHeight="1" x14ac:dyDescent="0.2">
      <c r="A222" s="9" t="s">
        <v>1116</v>
      </c>
    </row>
    <row r="223" spans="1:2" ht="15" customHeight="1" x14ac:dyDescent="0.2">
      <c r="A223" s="9" t="s">
        <v>1117</v>
      </c>
    </row>
    <row r="225" spans="1:1" ht="15" customHeight="1" x14ac:dyDescent="0.2">
      <c r="A225" s="9" t="s">
        <v>110</v>
      </c>
    </row>
    <row r="227" spans="1:1" ht="15" customHeight="1" x14ac:dyDescent="0.2">
      <c r="A227" s="9" t="s">
        <v>1118</v>
      </c>
    </row>
    <row r="228" spans="1:1" ht="15" customHeight="1" x14ac:dyDescent="0.2">
      <c r="A228" s="9" t="s">
        <v>1119</v>
      </c>
    </row>
    <row r="229" spans="1:1" ht="15" customHeight="1" x14ac:dyDescent="0.2">
      <c r="A229" s="9" t="s">
        <v>1120</v>
      </c>
    </row>
    <row r="231" spans="1:1" ht="15" customHeight="1" x14ac:dyDescent="0.2">
      <c r="A231" s="8" t="s">
        <v>1121</v>
      </c>
    </row>
    <row r="232" spans="1:1" ht="15" customHeight="1" x14ac:dyDescent="0.2">
      <c r="A232" s="9" t="s">
        <v>1122</v>
      </c>
    </row>
    <row r="233" spans="1:1" ht="15" customHeight="1" x14ac:dyDescent="0.2">
      <c r="A233" s="9" t="s">
        <v>1123</v>
      </c>
    </row>
    <row r="234" spans="1:1" ht="15" customHeight="1" x14ac:dyDescent="0.2">
      <c r="A234" s="9" t="s">
        <v>1124</v>
      </c>
    </row>
    <row r="235" spans="1:1" ht="15" customHeight="1" x14ac:dyDescent="0.2">
      <c r="A235" s="9" t="s">
        <v>1125</v>
      </c>
    </row>
    <row r="237" spans="1:1" ht="15" customHeight="1" x14ac:dyDescent="0.2">
      <c r="A237" s="9" t="s">
        <v>88</v>
      </c>
    </row>
    <row r="239" spans="1:1" ht="15" customHeight="1" x14ac:dyDescent="0.2">
      <c r="A239" s="9" t="s">
        <v>3404</v>
      </c>
    </row>
    <row r="240" spans="1:1" ht="15" customHeight="1" x14ac:dyDescent="0.2">
      <c r="A240" s="9" t="s">
        <v>1126</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0">
    <tabColor rgb="FF536878"/>
    <pageSetUpPr fitToPage="1"/>
  </sheetPr>
  <dimension ref="A1:P259"/>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1008</v>
      </c>
      <c r="B1" s="76"/>
      <c r="C1" s="76"/>
      <c r="D1" s="76"/>
      <c r="E1" s="76"/>
      <c r="F1" s="76"/>
      <c r="G1" s="76"/>
      <c r="H1" s="76"/>
      <c r="I1" s="76"/>
      <c r="J1" s="76"/>
      <c r="K1" s="76"/>
      <c r="L1" s="76"/>
      <c r="M1" s="76"/>
      <c r="N1" s="76"/>
      <c r="O1" s="76"/>
      <c r="P1" s="76"/>
    </row>
    <row r="3" spans="1:16" ht="15" customHeight="1" x14ac:dyDescent="0.2">
      <c r="A3" s="8" t="s">
        <v>1127</v>
      </c>
    </row>
    <row r="4" spans="1:16" ht="15" customHeight="1" x14ac:dyDescent="0.2">
      <c r="A4" s="9" t="s">
        <v>1128</v>
      </c>
    </row>
    <row r="5" spans="1:16" ht="15" customHeight="1" x14ac:dyDescent="0.2">
      <c r="A5" s="9" t="s">
        <v>1129</v>
      </c>
    </row>
    <row r="6" spans="1:16" ht="15" customHeight="1" x14ac:dyDescent="0.2">
      <c r="A6" s="9" t="s">
        <v>1130</v>
      </c>
    </row>
    <row r="7" spans="1:16" ht="15" customHeight="1" x14ac:dyDescent="0.2">
      <c r="A7" s="9" t="s">
        <v>1131</v>
      </c>
    </row>
    <row r="9" spans="1:16" ht="15" customHeight="1" x14ac:dyDescent="0.2">
      <c r="A9" s="9" t="s">
        <v>98</v>
      </c>
    </row>
    <row r="11" spans="1:16" ht="15" customHeight="1" x14ac:dyDescent="0.2">
      <c r="A11" s="9" t="s">
        <v>1132</v>
      </c>
    </row>
    <row r="13" spans="1:16" ht="15" customHeight="1" x14ac:dyDescent="0.2">
      <c r="A13" s="8" t="s">
        <v>1133</v>
      </c>
    </row>
    <row r="14" spans="1:16" ht="15" customHeight="1" x14ac:dyDescent="0.2">
      <c r="A14" s="9" t="s">
        <v>1128</v>
      </c>
    </row>
    <row r="15" spans="1:16" ht="15" customHeight="1" x14ac:dyDescent="0.2">
      <c r="A15" s="9" t="s">
        <v>1129</v>
      </c>
    </row>
    <row r="16" spans="1:16" ht="15" customHeight="1" x14ac:dyDescent="0.2">
      <c r="A16" s="9" t="s">
        <v>1130</v>
      </c>
    </row>
    <row r="17" spans="1:1" ht="15" customHeight="1" x14ac:dyDescent="0.2">
      <c r="A17" s="9" t="s">
        <v>1131</v>
      </c>
    </row>
    <row r="19" spans="1:1" ht="15" customHeight="1" x14ac:dyDescent="0.2">
      <c r="A19" s="9" t="s">
        <v>110</v>
      </c>
    </row>
    <row r="21" spans="1:1" ht="15" customHeight="1" x14ac:dyDescent="0.2">
      <c r="A21" s="9" t="s">
        <v>1134</v>
      </c>
    </row>
    <row r="23" spans="1:1" ht="15" customHeight="1" x14ac:dyDescent="0.2">
      <c r="A23" s="8" t="s">
        <v>1136</v>
      </c>
    </row>
    <row r="24" spans="1:1" ht="15" customHeight="1" x14ac:dyDescent="0.2">
      <c r="A24" s="9" t="s">
        <v>1128</v>
      </c>
    </row>
    <row r="25" spans="1:1" ht="15" customHeight="1" x14ac:dyDescent="0.2">
      <c r="A25" s="9" t="s">
        <v>1129</v>
      </c>
    </row>
    <row r="26" spans="1:1" ht="15" customHeight="1" x14ac:dyDescent="0.2">
      <c r="A26" s="9" t="s">
        <v>1130</v>
      </c>
    </row>
    <row r="27" spans="1:1" ht="15" customHeight="1" x14ac:dyDescent="0.2">
      <c r="A27" s="9" t="s">
        <v>1131</v>
      </c>
    </row>
    <row r="29" spans="1:1" ht="15" customHeight="1" x14ac:dyDescent="0.2">
      <c r="A29" s="9" t="s">
        <v>80</v>
      </c>
    </row>
    <row r="31" spans="1:1" ht="15" customHeight="1" x14ac:dyDescent="0.2">
      <c r="A31" s="9" t="s">
        <v>1135</v>
      </c>
    </row>
    <row r="33" spans="1:1" ht="15" customHeight="1" x14ac:dyDescent="0.2">
      <c r="A33" s="8" t="s">
        <v>1137</v>
      </c>
    </row>
    <row r="34" spans="1:1" ht="15" customHeight="1" x14ac:dyDescent="0.2">
      <c r="A34" s="9" t="s">
        <v>1128</v>
      </c>
    </row>
    <row r="35" spans="1:1" ht="15" customHeight="1" x14ac:dyDescent="0.2">
      <c r="A35" s="9" t="s">
        <v>1129</v>
      </c>
    </row>
    <row r="36" spans="1:1" ht="15" customHeight="1" x14ac:dyDescent="0.2">
      <c r="A36" s="9" t="s">
        <v>1130</v>
      </c>
    </row>
    <row r="37" spans="1:1" ht="15" customHeight="1" x14ac:dyDescent="0.2">
      <c r="A37" s="9" t="s">
        <v>1131</v>
      </c>
    </row>
    <row r="39" spans="1:1" ht="15" customHeight="1" x14ac:dyDescent="0.2">
      <c r="A39" s="9" t="s">
        <v>110</v>
      </c>
    </row>
    <row r="41" spans="1:1" ht="15" customHeight="1" x14ac:dyDescent="0.2">
      <c r="A41" s="9" t="s">
        <v>1138</v>
      </c>
    </row>
    <row r="43" spans="1:1" ht="15" customHeight="1" x14ac:dyDescent="0.2">
      <c r="A43" s="8" t="s">
        <v>1139</v>
      </c>
    </row>
    <row r="44" spans="1:1" ht="15" customHeight="1" x14ac:dyDescent="0.2">
      <c r="A44" s="9" t="s">
        <v>1128</v>
      </c>
    </row>
    <row r="45" spans="1:1" ht="15" customHeight="1" x14ac:dyDescent="0.2">
      <c r="A45" s="9" t="s">
        <v>1129</v>
      </c>
    </row>
    <row r="46" spans="1:1" ht="15" customHeight="1" x14ac:dyDescent="0.2">
      <c r="A46" s="9" t="s">
        <v>1130</v>
      </c>
    </row>
    <row r="47" spans="1:1" ht="15" customHeight="1" x14ac:dyDescent="0.2">
      <c r="A47" s="9" t="s">
        <v>1131</v>
      </c>
    </row>
    <row r="49" spans="1:1" ht="15" customHeight="1" x14ac:dyDescent="0.2">
      <c r="A49" s="9" t="s">
        <v>98</v>
      </c>
    </row>
    <row r="51" spans="1:1" ht="15" customHeight="1" x14ac:dyDescent="0.2">
      <c r="A51" s="9" t="s">
        <v>3405</v>
      </c>
    </row>
    <row r="52" spans="1:1" ht="15" customHeight="1" x14ac:dyDescent="0.2">
      <c r="A52" s="9" t="s">
        <v>3406</v>
      </c>
    </row>
    <row r="53" spans="1:1" ht="15" customHeight="1" x14ac:dyDescent="0.2">
      <c r="A53" s="9" t="s">
        <v>3407</v>
      </c>
    </row>
    <row r="54" spans="1:1" ht="15" customHeight="1" x14ac:dyDescent="0.2">
      <c r="A54" s="9" t="s">
        <v>1140</v>
      </c>
    </row>
    <row r="56" spans="1:1" ht="15" customHeight="1" x14ac:dyDescent="0.2">
      <c r="A56" s="8" t="s">
        <v>1145</v>
      </c>
    </row>
    <row r="57" spans="1:1" ht="15" customHeight="1" x14ac:dyDescent="0.2">
      <c r="A57" s="9" t="s">
        <v>1141</v>
      </c>
    </row>
    <row r="58" spans="1:1" ht="15" customHeight="1" x14ac:dyDescent="0.2">
      <c r="A58" s="9" t="s">
        <v>1142</v>
      </c>
    </row>
    <row r="59" spans="1:1" ht="15" customHeight="1" x14ac:dyDescent="0.2">
      <c r="A59" s="9" t="s">
        <v>1143</v>
      </c>
    </row>
    <row r="60" spans="1:1" ht="15" customHeight="1" x14ac:dyDescent="0.2">
      <c r="A60" s="9" t="s">
        <v>1144</v>
      </c>
    </row>
    <row r="62" spans="1:1" ht="15" customHeight="1" x14ac:dyDescent="0.2">
      <c r="A62" s="9" t="s">
        <v>110</v>
      </c>
    </row>
    <row r="64" spans="1:1" ht="15" customHeight="1" x14ac:dyDescent="0.2">
      <c r="A64" s="9" t="s">
        <v>3258</v>
      </c>
    </row>
    <row r="65" spans="1:2" ht="15" customHeight="1" x14ac:dyDescent="0.2">
      <c r="A65" s="9">
        <v>4</v>
      </c>
    </row>
    <row r="66" spans="1:2" ht="15" customHeight="1" x14ac:dyDescent="0.2">
      <c r="A66" s="8" t="s">
        <v>1150</v>
      </c>
    </row>
    <row r="67" spans="1:2" ht="15" customHeight="1" x14ac:dyDescent="0.2">
      <c r="A67" s="8" t="s">
        <v>1151</v>
      </c>
    </row>
    <row r="68" spans="1:2" ht="15" customHeight="1" x14ac:dyDescent="0.2">
      <c r="A68" s="9" t="s">
        <v>1146</v>
      </c>
    </row>
    <row r="69" spans="1:2" ht="15" customHeight="1" x14ac:dyDescent="0.2">
      <c r="A69" s="9" t="s">
        <v>1147</v>
      </c>
    </row>
    <row r="70" spans="1:2" ht="15" customHeight="1" x14ac:dyDescent="0.2">
      <c r="A70" s="9" t="s">
        <v>1148</v>
      </c>
    </row>
    <row r="71" spans="1:2" ht="15" customHeight="1" x14ac:dyDescent="0.2">
      <c r="A71" s="9" t="s">
        <v>1149</v>
      </c>
    </row>
    <row r="72" spans="1:2" ht="15" customHeight="1" x14ac:dyDescent="0.2">
      <c r="A72" s="8"/>
    </row>
    <row r="73" spans="1:2" ht="15" customHeight="1" x14ac:dyDescent="0.2">
      <c r="A73" s="9" t="s">
        <v>88</v>
      </c>
    </row>
    <row r="74" spans="1:2" ht="15" customHeight="1" x14ac:dyDescent="0.2">
      <c r="A74" s="8"/>
    </row>
    <row r="75" spans="1:2" ht="15" customHeight="1" x14ac:dyDescent="0.25">
      <c r="A75" s="9" t="s">
        <v>3862</v>
      </c>
    </row>
    <row r="76" spans="1:2" ht="15" customHeight="1" x14ac:dyDescent="0.2">
      <c r="A76" s="8"/>
    </row>
    <row r="77" spans="1:2" ht="15" customHeight="1" x14ac:dyDescent="0.25">
      <c r="A77" s="25" t="s">
        <v>3451</v>
      </c>
      <c r="B77" s="12">
        <v>30</v>
      </c>
    </row>
    <row r="78" spans="1:2" ht="15" customHeight="1" x14ac:dyDescent="0.2">
      <c r="A78" s="25" t="s">
        <v>82</v>
      </c>
      <c r="B78" s="12">
        <v>25</v>
      </c>
    </row>
    <row r="79" spans="1:2" ht="15" customHeight="1" x14ac:dyDescent="0.2">
      <c r="A79" s="25" t="s">
        <v>83</v>
      </c>
      <c r="B79" s="9">
        <v>1</v>
      </c>
    </row>
    <row r="80" spans="1:2" ht="15" customHeight="1" x14ac:dyDescent="0.2">
      <c r="A80" s="25" t="s">
        <v>99</v>
      </c>
      <c r="B80" s="21">
        <v>0.04</v>
      </c>
    </row>
    <row r="82" spans="1:2" ht="15" customHeight="1" x14ac:dyDescent="0.2">
      <c r="A82" s="9" t="s">
        <v>126</v>
      </c>
      <c r="B82" s="15">
        <f>MAX(B77-B78*EXP(-B80*B79),0)</f>
        <v>5.9802640211919211</v>
      </c>
    </row>
    <row r="84" spans="1:2" ht="15" customHeight="1" x14ac:dyDescent="0.2">
      <c r="A84" s="8" t="s">
        <v>1152</v>
      </c>
    </row>
    <row r="85" spans="1:2" ht="15" customHeight="1" x14ac:dyDescent="0.2">
      <c r="A85" s="8" t="s">
        <v>1153</v>
      </c>
    </row>
    <row r="86" spans="1:2" ht="15" customHeight="1" x14ac:dyDescent="0.2">
      <c r="A86" s="9" t="s">
        <v>1154</v>
      </c>
    </row>
    <row r="87" spans="1:2" ht="15" customHeight="1" x14ac:dyDescent="0.2">
      <c r="A87" s="9" t="s">
        <v>1155</v>
      </c>
    </row>
    <row r="88" spans="1:2" ht="15" customHeight="1" x14ac:dyDescent="0.2">
      <c r="A88" s="9" t="s">
        <v>1156</v>
      </c>
    </row>
    <row r="89" spans="1:2" ht="15" customHeight="1" x14ac:dyDescent="0.2">
      <c r="A89" s="9" t="s">
        <v>1157</v>
      </c>
    </row>
    <row r="90" spans="1:2" ht="15" customHeight="1" x14ac:dyDescent="0.2">
      <c r="A90" s="8"/>
    </row>
    <row r="91" spans="1:2" ht="15" customHeight="1" x14ac:dyDescent="0.2">
      <c r="A91" s="9" t="s">
        <v>110</v>
      </c>
    </row>
    <row r="92" spans="1:2" ht="15" customHeight="1" x14ac:dyDescent="0.2">
      <c r="A92" s="8"/>
    </row>
    <row r="93" spans="1:2" ht="15" customHeight="1" x14ac:dyDescent="0.25">
      <c r="A93" s="9" t="s">
        <v>3863</v>
      </c>
    </row>
    <row r="94" spans="1:2" ht="15" customHeight="1" x14ac:dyDescent="0.2">
      <c r="A94" s="8"/>
    </row>
    <row r="95" spans="1:2" ht="15" customHeight="1" x14ac:dyDescent="0.25">
      <c r="A95" s="25" t="s">
        <v>3451</v>
      </c>
      <c r="B95" s="12">
        <v>50</v>
      </c>
    </row>
    <row r="96" spans="1:2" ht="15" customHeight="1" x14ac:dyDescent="0.2">
      <c r="A96" s="25" t="s">
        <v>82</v>
      </c>
      <c r="B96" s="12">
        <v>54</v>
      </c>
    </row>
    <row r="97" spans="1:2" ht="15" customHeight="1" x14ac:dyDescent="0.2">
      <c r="A97" s="25" t="s">
        <v>83</v>
      </c>
      <c r="B97" s="9">
        <v>2</v>
      </c>
    </row>
    <row r="98" spans="1:2" ht="15" customHeight="1" x14ac:dyDescent="0.2">
      <c r="A98" s="25" t="s">
        <v>99</v>
      </c>
      <c r="B98" s="21">
        <v>0.03</v>
      </c>
    </row>
    <row r="100" spans="1:2" ht="15" customHeight="1" x14ac:dyDescent="0.2">
      <c r="A100" s="9" t="s">
        <v>126</v>
      </c>
      <c r="B100" s="15">
        <f>MAX(B96*EXP(-B98*B97)-B95,0)</f>
        <v>0.85528481354943153</v>
      </c>
    </row>
    <row r="101" spans="1:2" ht="15" customHeight="1" x14ac:dyDescent="0.2">
      <c r="B101" s="15"/>
    </row>
    <row r="102" spans="1:2" ht="15" customHeight="1" x14ac:dyDescent="0.2">
      <c r="A102" s="8" t="s">
        <v>1158</v>
      </c>
      <c r="B102" s="15"/>
    </row>
    <row r="103" spans="1:2" ht="15" customHeight="1" x14ac:dyDescent="0.2">
      <c r="A103" s="9" t="s">
        <v>1159</v>
      </c>
      <c r="B103" s="15"/>
    </row>
    <row r="104" spans="1:2" ht="15" customHeight="1" x14ac:dyDescent="0.2">
      <c r="A104" s="9" t="s">
        <v>1160</v>
      </c>
      <c r="B104" s="15"/>
    </row>
    <row r="105" spans="1:2" ht="15" customHeight="1" x14ac:dyDescent="0.2">
      <c r="A105" s="9" t="s">
        <v>1161</v>
      </c>
      <c r="B105" s="15"/>
    </row>
    <row r="106" spans="1:2" ht="15" customHeight="1" x14ac:dyDescent="0.2">
      <c r="A106" s="9" t="s">
        <v>1162</v>
      </c>
      <c r="B106" s="15"/>
    </row>
    <row r="107" spans="1:2" ht="15" customHeight="1" x14ac:dyDescent="0.2">
      <c r="B107" s="15"/>
    </row>
    <row r="108" spans="1:2" ht="15" customHeight="1" x14ac:dyDescent="0.2">
      <c r="A108" s="9" t="s">
        <v>80</v>
      </c>
      <c r="B108" s="15"/>
    </row>
    <row r="109" spans="1:2" ht="15" customHeight="1" x14ac:dyDescent="0.2">
      <c r="B109" s="15"/>
    </row>
    <row r="110" spans="1:2" ht="15" customHeight="1" x14ac:dyDescent="0.2">
      <c r="A110" s="9" t="s">
        <v>1163</v>
      </c>
      <c r="B110" s="15"/>
    </row>
    <row r="111" spans="1:2" ht="15" customHeight="1" x14ac:dyDescent="0.2">
      <c r="B111" s="15"/>
    </row>
    <row r="112" spans="1:2" ht="15" customHeight="1" x14ac:dyDescent="0.2">
      <c r="A112" s="8" t="s">
        <v>1164</v>
      </c>
      <c r="B112" s="15"/>
    </row>
    <row r="113" spans="1:2" ht="15" customHeight="1" x14ac:dyDescent="0.2">
      <c r="A113" s="9" t="s">
        <v>1165</v>
      </c>
      <c r="B113" s="15"/>
    </row>
    <row r="114" spans="1:2" ht="15" customHeight="1" x14ac:dyDescent="0.2">
      <c r="A114" s="9" t="s">
        <v>1166</v>
      </c>
      <c r="B114" s="15"/>
    </row>
    <row r="115" spans="1:2" ht="15" customHeight="1" x14ac:dyDescent="0.2">
      <c r="A115" s="9" t="s">
        <v>1167</v>
      </c>
      <c r="B115" s="15"/>
    </row>
    <row r="116" spans="1:2" ht="15" customHeight="1" x14ac:dyDescent="0.2">
      <c r="A116" s="9" t="s">
        <v>1168</v>
      </c>
      <c r="B116" s="15"/>
    </row>
    <row r="117" spans="1:2" ht="15" customHeight="1" x14ac:dyDescent="0.2">
      <c r="B117" s="15"/>
    </row>
    <row r="118" spans="1:2" ht="15" customHeight="1" x14ac:dyDescent="0.2">
      <c r="A118" s="9" t="s">
        <v>80</v>
      </c>
      <c r="B118" s="15"/>
    </row>
    <row r="119" spans="1:2" ht="15" customHeight="1" x14ac:dyDescent="0.2">
      <c r="B119" s="15"/>
    </row>
    <row r="120" spans="1:2" ht="15" customHeight="1" x14ac:dyDescent="0.2">
      <c r="A120" s="9" t="s">
        <v>1169</v>
      </c>
      <c r="B120" s="15"/>
    </row>
    <row r="121" spans="1:2" ht="15" customHeight="1" x14ac:dyDescent="0.2">
      <c r="B121" s="15"/>
    </row>
    <row r="122" spans="1:2" ht="15" customHeight="1" x14ac:dyDescent="0.2">
      <c r="A122" s="8" t="s">
        <v>1170</v>
      </c>
      <c r="B122" s="15"/>
    </row>
    <row r="123" spans="1:2" ht="15" customHeight="1" x14ac:dyDescent="0.2">
      <c r="A123" s="9" t="s">
        <v>1171</v>
      </c>
      <c r="B123" s="15"/>
    </row>
    <row r="124" spans="1:2" ht="15" customHeight="1" x14ac:dyDescent="0.2">
      <c r="A124" s="9" t="s">
        <v>1172</v>
      </c>
      <c r="B124" s="15"/>
    </row>
    <row r="125" spans="1:2" ht="15" customHeight="1" x14ac:dyDescent="0.2">
      <c r="A125" s="9" t="s">
        <v>1173</v>
      </c>
      <c r="B125" s="15"/>
    </row>
    <row r="126" spans="1:2" ht="15" customHeight="1" x14ac:dyDescent="0.2">
      <c r="A126" s="9" t="s">
        <v>839</v>
      </c>
      <c r="B126" s="15"/>
    </row>
    <row r="127" spans="1:2" ht="15" customHeight="1" x14ac:dyDescent="0.2">
      <c r="B127" s="15"/>
    </row>
    <row r="128" spans="1:2" ht="15" customHeight="1" x14ac:dyDescent="0.2">
      <c r="A128" s="9" t="s">
        <v>98</v>
      </c>
      <c r="B128" s="15"/>
    </row>
    <row r="129" spans="1:2" ht="15" customHeight="1" x14ac:dyDescent="0.2">
      <c r="B129" s="15"/>
    </row>
    <row r="130" spans="1:2" ht="15" customHeight="1" x14ac:dyDescent="0.2">
      <c r="A130" s="9" t="s">
        <v>1174</v>
      </c>
      <c r="B130" s="15"/>
    </row>
    <row r="131" spans="1:2" ht="15" customHeight="1" x14ac:dyDescent="0.2">
      <c r="B131" s="15"/>
    </row>
    <row r="132" spans="1:2" ht="15" customHeight="1" x14ac:dyDescent="0.2">
      <c r="A132" s="8" t="s">
        <v>1175</v>
      </c>
      <c r="B132" s="15"/>
    </row>
    <row r="133" spans="1:2" ht="15" customHeight="1" x14ac:dyDescent="0.2">
      <c r="A133" s="9" t="s">
        <v>1176</v>
      </c>
      <c r="B133" s="15"/>
    </row>
    <row r="134" spans="1:2" ht="15" customHeight="1" x14ac:dyDescent="0.2">
      <c r="A134" s="9" t="s">
        <v>1177</v>
      </c>
      <c r="B134" s="15"/>
    </row>
    <row r="135" spans="1:2" ht="15" customHeight="1" x14ac:dyDescent="0.2">
      <c r="A135" s="9" t="s">
        <v>1178</v>
      </c>
      <c r="B135" s="15"/>
    </row>
    <row r="136" spans="1:2" ht="15" customHeight="1" x14ac:dyDescent="0.2">
      <c r="A136" s="9" t="s">
        <v>1179</v>
      </c>
      <c r="B136" s="15"/>
    </row>
    <row r="137" spans="1:2" ht="15" customHeight="1" x14ac:dyDescent="0.2">
      <c r="B137" s="15"/>
    </row>
    <row r="138" spans="1:2" ht="15" customHeight="1" x14ac:dyDescent="0.2">
      <c r="A138" s="9" t="s">
        <v>88</v>
      </c>
      <c r="B138" s="15"/>
    </row>
    <row r="139" spans="1:2" ht="15" customHeight="1" x14ac:dyDescent="0.2">
      <c r="B139" s="15"/>
    </row>
    <row r="140" spans="1:2" ht="15" customHeight="1" x14ac:dyDescent="0.2">
      <c r="A140" s="9" t="s">
        <v>1180</v>
      </c>
      <c r="B140" s="15"/>
    </row>
    <row r="141" spans="1:2" ht="15" customHeight="1" x14ac:dyDescent="0.2">
      <c r="A141" s="9" t="s">
        <v>1181</v>
      </c>
      <c r="B141" s="15"/>
    </row>
    <row r="142" spans="1:2" ht="15" customHeight="1" x14ac:dyDescent="0.2">
      <c r="B142" s="15"/>
    </row>
    <row r="143" spans="1:2" ht="15" customHeight="1" x14ac:dyDescent="0.2">
      <c r="A143" s="8" t="s">
        <v>1182</v>
      </c>
      <c r="B143" s="15"/>
    </row>
    <row r="144" spans="1:2" ht="15" customHeight="1" x14ac:dyDescent="0.2">
      <c r="A144" s="9" t="s">
        <v>1183</v>
      </c>
      <c r="B144" s="15"/>
    </row>
    <row r="145" spans="1:2" ht="15" customHeight="1" x14ac:dyDescent="0.2">
      <c r="A145" s="9" t="s">
        <v>1184</v>
      </c>
      <c r="B145" s="15"/>
    </row>
    <row r="146" spans="1:2" ht="15" customHeight="1" x14ac:dyDescent="0.2">
      <c r="A146" s="9" t="s">
        <v>1185</v>
      </c>
      <c r="B146" s="15"/>
    </row>
    <row r="147" spans="1:2" ht="15" customHeight="1" x14ac:dyDescent="0.2">
      <c r="A147" s="9" t="s">
        <v>1186</v>
      </c>
      <c r="B147" s="15"/>
    </row>
    <row r="148" spans="1:2" ht="15" customHeight="1" x14ac:dyDescent="0.2">
      <c r="B148" s="15"/>
    </row>
    <row r="149" spans="1:2" ht="15" customHeight="1" x14ac:dyDescent="0.2">
      <c r="A149" s="9" t="s">
        <v>110</v>
      </c>
      <c r="B149" s="15"/>
    </row>
    <row r="150" spans="1:2" ht="15" customHeight="1" x14ac:dyDescent="0.2">
      <c r="B150" s="15"/>
    </row>
    <row r="151" spans="1:2" ht="15" customHeight="1" x14ac:dyDescent="0.25">
      <c r="A151" s="9" t="s">
        <v>3864</v>
      </c>
      <c r="B151" s="15"/>
    </row>
    <row r="152" spans="1:2" ht="15" customHeight="1" x14ac:dyDescent="0.2">
      <c r="B152" s="15"/>
    </row>
    <row r="153" spans="1:2" ht="15" customHeight="1" x14ac:dyDescent="0.2">
      <c r="A153" s="8" t="s">
        <v>1187</v>
      </c>
      <c r="B153" s="15"/>
    </row>
    <row r="154" spans="1:2" ht="15" customHeight="1" x14ac:dyDescent="0.2">
      <c r="A154" s="9" t="s">
        <v>1188</v>
      </c>
      <c r="B154" s="15"/>
    </row>
    <row r="155" spans="1:2" ht="15" customHeight="1" x14ac:dyDescent="0.2">
      <c r="A155" s="9" t="s">
        <v>1189</v>
      </c>
      <c r="B155" s="15"/>
    </row>
    <row r="156" spans="1:2" ht="15" customHeight="1" x14ac:dyDescent="0.2">
      <c r="A156" s="9" t="s">
        <v>1190</v>
      </c>
      <c r="B156" s="15"/>
    </row>
    <row r="157" spans="1:2" ht="15" customHeight="1" x14ac:dyDescent="0.2">
      <c r="A157" s="9" t="s">
        <v>1191</v>
      </c>
      <c r="B157" s="15"/>
    </row>
    <row r="158" spans="1:2" ht="15" customHeight="1" x14ac:dyDescent="0.2">
      <c r="B158" s="15"/>
    </row>
    <row r="159" spans="1:2" ht="15" customHeight="1" x14ac:dyDescent="0.2">
      <c r="A159" s="9" t="s">
        <v>88</v>
      </c>
      <c r="B159" s="15"/>
    </row>
    <row r="160" spans="1:2" ht="15" customHeight="1" x14ac:dyDescent="0.2">
      <c r="B160" s="15"/>
    </row>
    <row r="161" spans="1:2" ht="15" customHeight="1" x14ac:dyDescent="0.2">
      <c r="A161" s="9" t="s">
        <v>1192</v>
      </c>
      <c r="B161" s="15"/>
    </row>
    <row r="162" spans="1:2" ht="15" customHeight="1" x14ac:dyDescent="0.2">
      <c r="B162" s="15"/>
    </row>
    <row r="163" spans="1:2" ht="15" customHeight="1" x14ac:dyDescent="0.2">
      <c r="A163" s="8" t="s">
        <v>1193</v>
      </c>
      <c r="B163" s="15"/>
    </row>
    <row r="164" spans="1:2" ht="15" customHeight="1" x14ac:dyDescent="0.2">
      <c r="A164" s="8" t="s">
        <v>1198</v>
      </c>
      <c r="B164" s="15"/>
    </row>
    <row r="165" spans="1:2" ht="15" customHeight="1" x14ac:dyDescent="0.2">
      <c r="A165" s="9" t="s">
        <v>1194</v>
      </c>
      <c r="B165" s="15"/>
    </row>
    <row r="166" spans="1:2" ht="15" customHeight="1" x14ac:dyDescent="0.2">
      <c r="A166" s="9" t="s">
        <v>1195</v>
      </c>
      <c r="B166" s="15"/>
    </row>
    <row r="167" spans="1:2" ht="15" customHeight="1" x14ac:dyDescent="0.2">
      <c r="A167" s="9" t="s">
        <v>1196</v>
      </c>
      <c r="B167" s="15"/>
    </row>
    <row r="168" spans="1:2" ht="15" customHeight="1" x14ac:dyDescent="0.2">
      <c r="A168" s="9" t="s">
        <v>1197</v>
      </c>
    </row>
    <row r="170" spans="1:2" ht="15" customHeight="1" x14ac:dyDescent="0.2">
      <c r="A170" s="9" t="s">
        <v>110</v>
      </c>
    </row>
    <row r="172" spans="1:2" ht="15" customHeight="1" x14ac:dyDescent="0.25">
      <c r="A172" s="9" t="s">
        <v>3865</v>
      </c>
    </row>
    <row r="174" spans="1:2" ht="15" customHeight="1" x14ac:dyDescent="0.2">
      <c r="A174" s="25" t="s">
        <v>86</v>
      </c>
      <c r="B174" s="12">
        <v>6</v>
      </c>
    </row>
    <row r="175" spans="1:2" ht="15" customHeight="1" x14ac:dyDescent="0.2">
      <c r="A175" s="25" t="s">
        <v>82</v>
      </c>
      <c r="B175" s="12">
        <v>50</v>
      </c>
    </row>
    <row r="176" spans="1:2" ht="15" customHeight="1" x14ac:dyDescent="0.2">
      <c r="A176" s="25" t="s">
        <v>83</v>
      </c>
      <c r="B176" s="9">
        <v>1</v>
      </c>
    </row>
    <row r="177" spans="1:2" ht="15" customHeight="1" x14ac:dyDescent="0.25">
      <c r="A177" s="25" t="s">
        <v>3451</v>
      </c>
      <c r="B177" s="12">
        <v>51</v>
      </c>
    </row>
    <row r="178" spans="1:2" ht="15" customHeight="1" x14ac:dyDescent="0.2">
      <c r="A178" s="25" t="s">
        <v>99</v>
      </c>
      <c r="B178" s="21">
        <v>0.06</v>
      </c>
    </row>
    <row r="180" spans="1:2" ht="15" customHeight="1" x14ac:dyDescent="0.2">
      <c r="A180" s="25" t="s">
        <v>87</v>
      </c>
      <c r="B180" s="15">
        <f>B174-B177+B175*EXP(-B178*B176)</f>
        <v>2.0882266792124327</v>
      </c>
    </row>
    <row r="182" spans="1:2" ht="15" customHeight="1" x14ac:dyDescent="0.2">
      <c r="A182" s="8" t="s">
        <v>1199</v>
      </c>
      <c r="B182" s="15"/>
    </row>
    <row r="183" spans="1:2" ht="15" customHeight="1" x14ac:dyDescent="0.2">
      <c r="A183" s="8" t="s">
        <v>1200</v>
      </c>
      <c r="B183" s="15"/>
    </row>
    <row r="184" spans="1:2" ht="15" customHeight="1" x14ac:dyDescent="0.2">
      <c r="A184" s="9" t="s">
        <v>1201</v>
      </c>
      <c r="B184" s="15"/>
    </row>
    <row r="185" spans="1:2" ht="15" customHeight="1" x14ac:dyDescent="0.2">
      <c r="A185" s="9" t="s">
        <v>1202</v>
      </c>
      <c r="B185" s="15"/>
    </row>
    <row r="186" spans="1:2" ht="15" customHeight="1" x14ac:dyDescent="0.2">
      <c r="A186" s="9" t="s">
        <v>1203</v>
      </c>
      <c r="B186" s="15"/>
    </row>
    <row r="187" spans="1:2" ht="15" customHeight="1" x14ac:dyDescent="0.2">
      <c r="A187" s="9" t="s">
        <v>1204</v>
      </c>
    </row>
    <row r="189" spans="1:2" ht="15" customHeight="1" x14ac:dyDescent="0.2">
      <c r="A189" s="9" t="s">
        <v>98</v>
      </c>
    </row>
    <row r="191" spans="1:2" ht="15" customHeight="1" x14ac:dyDescent="0.25">
      <c r="A191" s="9" t="s">
        <v>3866</v>
      </c>
    </row>
    <row r="193" spans="1:2" ht="15" customHeight="1" x14ac:dyDescent="0.2">
      <c r="A193" s="25" t="s">
        <v>86</v>
      </c>
      <c r="B193" s="12">
        <v>6</v>
      </c>
    </row>
    <row r="194" spans="1:2" ht="15" customHeight="1" x14ac:dyDescent="0.2">
      <c r="A194" s="25" t="s">
        <v>82</v>
      </c>
      <c r="B194" s="12">
        <v>50</v>
      </c>
    </row>
    <row r="195" spans="1:2" ht="15" customHeight="1" x14ac:dyDescent="0.2">
      <c r="A195" s="25" t="s">
        <v>83</v>
      </c>
      <c r="B195" s="9">
        <v>1</v>
      </c>
    </row>
    <row r="196" spans="1:2" ht="15" customHeight="1" x14ac:dyDescent="0.25">
      <c r="A196" s="25" t="s">
        <v>3451</v>
      </c>
      <c r="B196" s="12">
        <v>51</v>
      </c>
    </row>
    <row r="197" spans="1:2" ht="15" customHeight="1" x14ac:dyDescent="0.2">
      <c r="A197" s="25" t="s">
        <v>99</v>
      </c>
      <c r="B197" s="21">
        <v>0.06</v>
      </c>
    </row>
    <row r="198" spans="1:2" ht="15" customHeight="1" x14ac:dyDescent="0.2">
      <c r="A198" s="25" t="s">
        <v>102</v>
      </c>
      <c r="B198" s="9">
        <v>1</v>
      </c>
    </row>
    <row r="199" spans="1:2" ht="15" customHeight="1" x14ac:dyDescent="0.2">
      <c r="A199" s="35" t="s">
        <v>128</v>
      </c>
      <c r="B199" s="9">
        <v>0.5</v>
      </c>
    </row>
    <row r="201" spans="1:2" ht="15" customHeight="1" x14ac:dyDescent="0.2">
      <c r="A201" s="25" t="s">
        <v>87</v>
      </c>
      <c r="B201" s="15">
        <f>B193-(B196-B198*EXP(-B197*B199))+B194*EXP(-B197*B195)</f>
        <v>3.0586722127609391</v>
      </c>
    </row>
    <row r="203" spans="1:2" ht="15" customHeight="1" x14ac:dyDescent="0.2">
      <c r="A203" s="8" t="s">
        <v>1206</v>
      </c>
    </row>
    <row r="204" spans="1:2" ht="15" customHeight="1" x14ac:dyDescent="0.2">
      <c r="A204" s="8" t="s">
        <v>1205</v>
      </c>
    </row>
    <row r="205" spans="1:2" ht="15" customHeight="1" x14ac:dyDescent="0.2">
      <c r="A205" s="9" t="s">
        <v>1207</v>
      </c>
    </row>
    <row r="206" spans="1:2" ht="15" customHeight="1" x14ac:dyDescent="0.2">
      <c r="A206" s="9" t="s">
        <v>1208</v>
      </c>
    </row>
    <row r="207" spans="1:2" ht="15" customHeight="1" x14ac:dyDescent="0.2">
      <c r="A207" s="9" t="s">
        <v>1209</v>
      </c>
    </row>
    <row r="208" spans="1:2" ht="15" customHeight="1" x14ac:dyDescent="0.2">
      <c r="A208" s="9" t="s">
        <v>1210</v>
      </c>
    </row>
    <row r="210" spans="1:2" ht="15" customHeight="1" x14ac:dyDescent="0.2">
      <c r="A210" s="9" t="s">
        <v>98</v>
      </c>
    </row>
    <row r="212" spans="1:2" ht="15" customHeight="1" x14ac:dyDescent="0.2">
      <c r="A212" s="9" t="s">
        <v>1211</v>
      </c>
    </row>
    <row r="214" spans="1:2" ht="15" customHeight="1" x14ac:dyDescent="0.25">
      <c r="A214" s="25" t="s">
        <v>3867</v>
      </c>
      <c r="B214" s="12">
        <v>3</v>
      </c>
    </row>
    <row r="215" spans="1:2" ht="15" customHeight="1" x14ac:dyDescent="0.25">
      <c r="A215" s="25" t="s">
        <v>3868</v>
      </c>
      <c r="B215" s="12">
        <v>4</v>
      </c>
    </row>
    <row r="216" spans="1:2" ht="15" customHeight="1" x14ac:dyDescent="0.25">
      <c r="A216" s="25" t="s">
        <v>3869</v>
      </c>
      <c r="B216" s="13">
        <v>4.5</v>
      </c>
    </row>
    <row r="218" spans="1:2" ht="15" customHeight="1" x14ac:dyDescent="0.25">
      <c r="A218" s="25" t="s">
        <v>3870</v>
      </c>
      <c r="B218" s="13">
        <f>B215+(B216-B214)</f>
        <v>5.5</v>
      </c>
    </row>
    <row r="220" spans="1:2" ht="15" customHeight="1" x14ac:dyDescent="0.2">
      <c r="A220" s="8" t="s">
        <v>1212</v>
      </c>
    </row>
    <row r="221" spans="1:2" ht="15" customHeight="1" x14ac:dyDescent="0.2">
      <c r="A221" s="8" t="s">
        <v>1213</v>
      </c>
    </row>
    <row r="222" spans="1:2" ht="15" customHeight="1" x14ac:dyDescent="0.2">
      <c r="A222" s="9" t="s">
        <v>1214</v>
      </c>
    </row>
    <row r="223" spans="1:2" ht="15" customHeight="1" x14ac:dyDescent="0.2">
      <c r="A223" s="9" t="s">
        <v>1215</v>
      </c>
    </row>
    <row r="224" spans="1:2" ht="15" customHeight="1" x14ac:dyDescent="0.2">
      <c r="A224" s="9" t="s">
        <v>1216</v>
      </c>
    </row>
    <row r="225" spans="1:2" ht="15" customHeight="1" x14ac:dyDescent="0.2">
      <c r="A225" s="9" t="s">
        <v>5</v>
      </c>
    </row>
    <row r="227" spans="1:2" ht="15" customHeight="1" x14ac:dyDescent="0.2">
      <c r="A227" s="9" t="s">
        <v>110</v>
      </c>
    </row>
    <row r="229" spans="1:2" ht="15" customHeight="1" x14ac:dyDescent="0.25">
      <c r="A229" s="9" t="s">
        <v>3871</v>
      </c>
    </row>
    <row r="231" spans="1:2" ht="15" customHeight="1" x14ac:dyDescent="0.2">
      <c r="A231" s="25" t="s">
        <v>82</v>
      </c>
      <c r="B231" s="12">
        <v>50</v>
      </c>
    </row>
    <row r="232" spans="1:2" ht="15" customHeight="1" x14ac:dyDescent="0.2">
      <c r="A232" s="25" t="s">
        <v>83</v>
      </c>
      <c r="B232" s="9">
        <v>1</v>
      </c>
    </row>
    <row r="233" spans="1:2" ht="15" customHeight="1" x14ac:dyDescent="0.2">
      <c r="A233" s="25" t="s">
        <v>86</v>
      </c>
      <c r="B233" s="12">
        <v>6</v>
      </c>
    </row>
    <row r="234" spans="1:2" ht="15" customHeight="1" x14ac:dyDescent="0.2">
      <c r="A234" s="25" t="s">
        <v>87</v>
      </c>
      <c r="B234" s="12">
        <v>7</v>
      </c>
    </row>
    <row r="235" spans="1:2" ht="15" customHeight="1" x14ac:dyDescent="0.25">
      <c r="A235" s="25" t="s">
        <v>3451</v>
      </c>
      <c r="B235" s="12">
        <v>49</v>
      </c>
    </row>
    <row r="237" spans="1:2" ht="15" customHeight="1" x14ac:dyDescent="0.2">
      <c r="A237" s="25" t="s">
        <v>1217</v>
      </c>
      <c r="B237" s="12">
        <f>B233+B231</f>
        <v>56</v>
      </c>
    </row>
    <row r="238" spans="1:2" ht="15" customHeight="1" x14ac:dyDescent="0.25">
      <c r="A238" s="25" t="s">
        <v>3872</v>
      </c>
      <c r="B238" s="12">
        <f>B234+B235</f>
        <v>56</v>
      </c>
    </row>
    <row r="240" spans="1:2" ht="15" customHeight="1" x14ac:dyDescent="0.2">
      <c r="A240" s="8" t="s">
        <v>1218</v>
      </c>
    </row>
    <row r="241" spans="1:1" ht="15" customHeight="1" x14ac:dyDescent="0.2">
      <c r="A241" s="9" t="s">
        <v>1219</v>
      </c>
    </row>
    <row r="242" spans="1:1" ht="15" customHeight="1" x14ac:dyDescent="0.2">
      <c r="A242" s="9" t="s">
        <v>1220</v>
      </c>
    </row>
    <row r="243" spans="1:1" ht="15" customHeight="1" x14ac:dyDescent="0.2">
      <c r="A243" s="9" t="s">
        <v>1221</v>
      </c>
    </row>
    <row r="244" spans="1:1" ht="15" customHeight="1" x14ac:dyDescent="0.2">
      <c r="A244" s="9" t="s">
        <v>1222</v>
      </c>
    </row>
    <row r="246" spans="1:1" ht="15" customHeight="1" x14ac:dyDescent="0.2">
      <c r="A246" s="9" t="s">
        <v>80</v>
      </c>
    </row>
    <row r="248" spans="1:1" ht="15" customHeight="1" x14ac:dyDescent="0.2">
      <c r="A248" s="9" t="s">
        <v>1223</v>
      </c>
    </row>
    <row r="250" spans="1:1" ht="15" customHeight="1" x14ac:dyDescent="0.2">
      <c r="A250" s="8" t="s">
        <v>1224</v>
      </c>
    </row>
    <row r="251" spans="1:1" ht="15" customHeight="1" x14ac:dyDescent="0.2">
      <c r="A251" s="9" t="s">
        <v>1225</v>
      </c>
    </row>
    <row r="252" spans="1:1" ht="15" customHeight="1" x14ac:dyDescent="0.2">
      <c r="A252" s="9" t="s">
        <v>1226</v>
      </c>
    </row>
    <row r="253" spans="1:1" ht="15" customHeight="1" x14ac:dyDescent="0.2">
      <c r="A253" s="9" t="s">
        <v>1227</v>
      </c>
    </row>
    <row r="254" spans="1:1" ht="15" customHeight="1" x14ac:dyDescent="0.2">
      <c r="A254" s="9" t="s">
        <v>1228</v>
      </c>
    </row>
    <row r="256" spans="1:1" ht="15" customHeight="1" x14ac:dyDescent="0.2">
      <c r="A256" s="9" t="s">
        <v>88</v>
      </c>
    </row>
    <row r="258" spans="1:1" ht="15" customHeight="1" x14ac:dyDescent="0.2">
      <c r="A258" s="9" t="s">
        <v>1229</v>
      </c>
    </row>
    <row r="259" spans="1:1" ht="15" customHeight="1" x14ac:dyDescent="0.2">
      <c r="A259" s="9" t="s">
        <v>1230</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1">
    <tabColor rgb="FF536878"/>
    <pageSetUpPr fitToPage="1"/>
  </sheetPr>
  <dimension ref="A1:P249"/>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1009</v>
      </c>
      <c r="B1" s="76"/>
      <c r="C1" s="76"/>
      <c r="D1" s="76"/>
      <c r="E1" s="76"/>
      <c r="F1" s="76"/>
      <c r="G1" s="76"/>
      <c r="H1" s="76"/>
      <c r="I1" s="76"/>
      <c r="J1" s="76"/>
      <c r="K1" s="76"/>
      <c r="L1" s="76"/>
      <c r="M1" s="76"/>
      <c r="N1" s="76"/>
      <c r="O1" s="76"/>
      <c r="P1" s="76"/>
    </row>
    <row r="3" spans="1:16" ht="15" customHeight="1" x14ac:dyDescent="0.2">
      <c r="A3" s="8" t="s">
        <v>1231</v>
      </c>
    </row>
    <row r="4" spans="1:16" ht="15" customHeight="1" x14ac:dyDescent="0.2">
      <c r="A4" s="9" t="s">
        <v>1232</v>
      </c>
    </row>
    <row r="5" spans="1:16" ht="15" customHeight="1" x14ac:dyDescent="0.2">
      <c r="A5" s="9" t="s">
        <v>1233</v>
      </c>
    </row>
    <row r="6" spans="1:16" ht="15" customHeight="1" x14ac:dyDescent="0.2">
      <c r="A6" s="9" t="s">
        <v>1234</v>
      </c>
    </row>
    <row r="7" spans="1:16" ht="15" customHeight="1" x14ac:dyDescent="0.2">
      <c r="A7" s="9" t="s">
        <v>1235</v>
      </c>
    </row>
    <row r="9" spans="1:16" ht="15" customHeight="1" x14ac:dyDescent="0.2">
      <c r="A9" s="9" t="s">
        <v>80</v>
      </c>
    </row>
    <row r="11" spans="1:16" ht="15" customHeight="1" x14ac:dyDescent="0.2">
      <c r="A11" s="9" t="s">
        <v>1236</v>
      </c>
    </row>
    <row r="13" spans="1:16" ht="15" customHeight="1" x14ac:dyDescent="0.2">
      <c r="A13" s="8" t="s">
        <v>1237</v>
      </c>
    </row>
    <row r="14" spans="1:16" ht="15" customHeight="1" x14ac:dyDescent="0.2">
      <c r="A14" s="9" t="s">
        <v>1232</v>
      </c>
    </row>
    <row r="15" spans="1:16" ht="15" customHeight="1" x14ac:dyDescent="0.2">
      <c r="A15" s="9" t="s">
        <v>1233</v>
      </c>
    </row>
    <row r="16" spans="1:16" ht="15" customHeight="1" x14ac:dyDescent="0.2">
      <c r="A16" s="9" t="s">
        <v>1234</v>
      </c>
    </row>
    <row r="17" spans="1:1" ht="15" customHeight="1" x14ac:dyDescent="0.2">
      <c r="A17" s="9" t="s">
        <v>1235</v>
      </c>
    </row>
    <row r="19" spans="1:1" ht="15" customHeight="1" x14ac:dyDescent="0.2">
      <c r="A19" s="9" t="s">
        <v>88</v>
      </c>
    </row>
    <row r="21" spans="1:1" ht="15" customHeight="1" x14ac:dyDescent="0.2">
      <c r="A21" s="9" t="s">
        <v>1238</v>
      </c>
    </row>
    <row r="23" spans="1:1" ht="15" customHeight="1" x14ac:dyDescent="0.2">
      <c r="A23" s="8" t="s">
        <v>1239</v>
      </c>
    </row>
    <row r="24" spans="1:1" ht="15" customHeight="1" x14ac:dyDescent="0.2">
      <c r="A24" s="9" t="s">
        <v>1240</v>
      </c>
    </row>
    <row r="25" spans="1:1" ht="15" customHeight="1" x14ac:dyDescent="0.2">
      <c r="A25" s="9" t="s">
        <v>1241</v>
      </c>
    </row>
    <row r="26" spans="1:1" ht="15" customHeight="1" x14ac:dyDescent="0.2">
      <c r="A26" s="9" t="s">
        <v>1242</v>
      </c>
    </row>
    <row r="27" spans="1:1" ht="15" customHeight="1" x14ac:dyDescent="0.2">
      <c r="A27" s="9" t="s">
        <v>1243</v>
      </c>
    </row>
    <row r="29" spans="1:1" ht="15" customHeight="1" x14ac:dyDescent="0.2">
      <c r="A29" s="9" t="s">
        <v>80</v>
      </c>
    </row>
    <row r="31" spans="1:1" ht="15" customHeight="1" x14ac:dyDescent="0.2">
      <c r="A31" s="9" t="s">
        <v>1236</v>
      </c>
    </row>
    <row r="33" spans="1:1" ht="15" customHeight="1" x14ac:dyDescent="0.2">
      <c r="A33" s="8" t="s">
        <v>1244</v>
      </c>
    </row>
    <row r="34" spans="1:1" ht="15" customHeight="1" x14ac:dyDescent="0.2">
      <c r="A34" s="9" t="s">
        <v>1240</v>
      </c>
    </row>
    <row r="35" spans="1:1" ht="15" customHeight="1" x14ac:dyDescent="0.2">
      <c r="A35" s="9" t="s">
        <v>1241</v>
      </c>
    </row>
    <row r="36" spans="1:1" ht="15" customHeight="1" x14ac:dyDescent="0.2">
      <c r="A36" s="9" t="s">
        <v>1242</v>
      </c>
    </row>
    <row r="37" spans="1:1" ht="15" customHeight="1" x14ac:dyDescent="0.2">
      <c r="A37" s="9" t="s">
        <v>1243</v>
      </c>
    </row>
    <row r="39" spans="1:1" ht="15" customHeight="1" x14ac:dyDescent="0.2">
      <c r="A39" s="9" t="s">
        <v>88</v>
      </c>
    </row>
    <row r="41" spans="1:1" ht="15" customHeight="1" x14ac:dyDescent="0.2">
      <c r="A41" s="9" t="s">
        <v>1238</v>
      </c>
    </row>
    <row r="43" spans="1:1" ht="15" customHeight="1" x14ac:dyDescent="0.2">
      <c r="A43" s="8" t="s">
        <v>1245</v>
      </c>
    </row>
    <row r="44" spans="1:1" ht="15" customHeight="1" x14ac:dyDescent="0.2">
      <c r="A44" s="9" t="s">
        <v>1246</v>
      </c>
    </row>
    <row r="45" spans="1:1" ht="15" customHeight="1" x14ac:dyDescent="0.2">
      <c r="A45" s="9" t="s">
        <v>1247</v>
      </c>
    </row>
    <row r="46" spans="1:1" ht="15" customHeight="1" x14ac:dyDescent="0.2">
      <c r="A46" s="9" t="s">
        <v>1248</v>
      </c>
    </row>
    <row r="47" spans="1:1" ht="15" customHeight="1" x14ac:dyDescent="0.2">
      <c r="A47" s="9" t="s">
        <v>1249</v>
      </c>
    </row>
    <row r="49" spans="1:1" ht="15" customHeight="1" x14ac:dyDescent="0.2">
      <c r="A49" s="9" t="s">
        <v>98</v>
      </c>
    </row>
    <row r="51" spans="1:1" ht="15" customHeight="1" x14ac:dyDescent="0.2">
      <c r="A51" s="9" t="s">
        <v>1250</v>
      </c>
    </row>
    <row r="52" spans="1:1" ht="15" customHeight="1" x14ac:dyDescent="0.2">
      <c r="A52" s="9" t="s">
        <v>1251</v>
      </c>
    </row>
    <row r="54" spans="1:1" ht="15" customHeight="1" x14ac:dyDescent="0.2">
      <c r="A54" s="8" t="s">
        <v>1252</v>
      </c>
    </row>
    <row r="55" spans="1:1" ht="15" customHeight="1" x14ac:dyDescent="0.2">
      <c r="A55" s="9" t="s">
        <v>1253</v>
      </c>
    </row>
    <row r="56" spans="1:1" ht="15" customHeight="1" x14ac:dyDescent="0.2">
      <c r="A56" s="9" t="s">
        <v>1254</v>
      </c>
    </row>
    <row r="57" spans="1:1" ht="15" customHeight="1" x14ac:dyDescent="0.2">
      <c r="A57" s="9" t="s">
        <v>1255</v>
      </c>
    </row>
    <row r="58" spans="1:1" ht="15" customHeight="1" x14ac:dyDescent="0.2">
      <c r="A58" s="9" t="s">
        <v>1256</v>
      </c>
    </row>
    <row r="60" spans="1:1" ht="15" customHeight="1" x14ac:dyDescent="0.2">
      <c r="A60" s="9" t="s">
        <v>98</v>
      </c>
    </row>
    <row r="62" spans="1:1" ht="15" customHeight="1" x14ac:dyDescent="0.2">
      <c r="A62" s="9" t="s">
        <v>1257</v>
      </c>
    </row>
    <row r="63" spans="1:1" ht="15" customHeight="1" x14ac:dyDescent="0.25">
      <c r="A63" s="9" t="s">
        <v>3859</v>
      </c>
    </row>
    <row r="65" spans="1:1" ht="15" customHeight="1" x14ac:dyDescent="0.2">
      <c r="A65" s="8" t="s">
        <v>1258</v>
      </c>
    </row>
    <row r="66" spans="1:1" ht="15" customHeight="1" x14ac:dyDescent="0.2">
      <c r="A66" s="9" t="s">
        <v>1259</v>
      </c>
    </row>
    <row r="67" spans="1:1" ht="15" customHeight="1" x14ac:dyDescent="0.2">
      <c r="A67" s="9" t="s">
        <v>1260</v>
      </c>
    </row>
    <row r="68" spans="1:1" ht="15" customHeight="1" x14ac:dyDescent="0.2">
      <c r="A68" s="9" t="s">
        <v>1261</v>
      </c>
    </row>
    <row r="69" spans="1:1" ht="15" customHeight="1" x14ac:dyDescent="0.2">
      <c r="A69" s="9" t="s">
        <v>1262</v>
      </c>
    </row>
    <row r="71" spans="1:1" ht="15" customHeight="1" x14ac:dyDescent="0.2">
      <c r="A71" s="9" t="s">
        <v>110</v>
      </c>
    </row>
    <row r="73" spans="1:1" ht="15" customHeight="1" x14ac:dyDescent="0.2">
      <c r="A73" s="9" t="s">
        <v>1263</v>
      </c>
    </row>
    <row r="75" spans="1:1" ht="15" customHeight="1" x14ac:dyDescent="0.2">
      <c r="A75" s="8" t="s">
        <v>1264</v>
      </c>
    </row>
    <row r="76" spans="1:1" ht="15" customHeight="1" x14ac:dyDescent="0.2">
      <c r="A76" s="9" t="s">
        <v>1265</v>
      </c>
    </row>
    <row r="77" spans="1:1" ht="15" customHeight="1" x14ac:dyDescent="0.2">
      <c r="A77" s="9" t="s">
        <v>1266</v>
      </c>
    </row>
    <row r="78" spans="1:1" ht="15" customHeight="1" x14ac:dyDescent="0.2">
      <c r="A78" s="9" t="s">
        <v>1267</v>
      </c>
    </row>
    <row r="79" spans="1:1" ht="15" customHeight="1" x14ac:dyDescent="0.2">
      <c r="A79" s="9" t="s">
        <v>5</v>
      </c>
    </row>
    <row r="81" spans="1:1" ht="15" customHeight="1" x14ac:dyDescent="0.2">
      <c r="A81" s="9" t="s">
        <v>88</v>
      </c>
    </row>
    <row r="83" spans="1:1" ht="15" customHeight="1" x14ac:dyDescent="0.2">
      <c r="A83" s="9" t="s">
        <v>1316</v>
      </c>
    </row>
    <row r="85" spans="1:1" ht="15" customHeight="1" x14ac:dyDescent="0.2">
      <c r="A85" s="8" t="s">
        <v>1268</v>
      </c>
    </row>
    <row r="86" spans="1:1" ht="15" customHeight="1" x14ac:dyDescent="0.2">
      <c r="A86" s="9" t="s">
        <v>1259</v>
      </c>
    </row>
    <row r="87" spans="1:1" ht="15" customHeight="1" x14ac:dyDescent="0.2">
      <c r="A87" s="9" t="s">
        <v>1260</v>
      </c>
    </row>
    <row r="88" spans="1:1" ht="15" customHeight="1" x14ac:dyDescent="0.2">
      <c r="A88" s="9" t="s">
        <v>1261</v>
      </c>
    </row>
    <row r="89" spans="1:1" ht="15" customHeight="1" x14ac:dyDescent="0.2">
      <c r="A89" s="9" t="s">
        <v>1262</v>
      </c>
    </row>
    <row r="91" spans="1:1" ht="15" customHeight="1" x14ac:dyDescent="0.2">
      <c r="A91" s="9" t="s">
        <v>98</v>
      </c>
    </row>
    <row r="93" spans="1:1" ht="15" customHeight="1" x14ac:dyDescent="0.2">
      <c r="A93" s="9" t="s">
        <v>1269</v>
      </c>
    </row>
    <row r="95" spans="1:1" ht="15" customHeight="1" x14ac:dyDescent="0.2">
      <c r="A95" s="8" t="s">
        <v>1273</v>
      </c>
    </row>
    <row r="96" spans="1:1" ht="15" customHeight="1" x14ac:dyDescent="0.2">
      <c r="A96" s="9" t="s">
        <v>1270</v>
      </c>
    </row>
    <row r="97" spans="1:1" ht="15" customHeight="1" x14ac:dyDescent="0.2">
      <c r="A97" s="9" t="s">
        <v>1271</v>
      </c>
    </row>
    <row r="98" spans="1:1" ht="15" customHeight="1" x14ac:dyDescent="0.2">
      <c r="A98" s="9" t="s">
        <v>1272</v>
      </c>
    </row>
    <row r="99" spans="1:1" ht="15" customHeight="1" x14ac:dyDescent="0.2">
      <c r="A99" s="9" t="s">
        <v>354</v>
      </c>
    </row>
    <row r="101" spans="1:1" ht="15" customHeight="1" x14ac:dyDescent="0.2">
      <c r="A101" s="9" t="s">
        <v>110</v>
      </c>
    </row>
    <row r="103" spans="1:1" ht="15" customHeight="1" x14ac:dyDescent="0.2">
      <c r="A103" s="9" t="s">
        <v>1274</v>
      </c>
    </row>
    <row r="105" spans="1:1" ht="15" customHeight="1" x14ac:dyDescent="0.2">
      <c r="A105" s="8" t="s">
        <v>1275</v>
      </c>
    </row>
    <row r="106" spans="1:1" ht="15" customHeight="1" x14ac:dyDescent="0.2">
      <c r="A106" s="9" t="s">
        <v>1276</v>
      </c>
    </row>
    <row r="107" spans="1:1" ht="15" customHeight="1" x14ac:dyDescent="0.2">
      <c r="A107" s="9" t="s">
        <v>1277</v>
      </c>
    </row>
    <row r="108" spans="1:1" ht="15" customHeight="1" x14ac:dyDescent="0.2">
      <c r="A108" s="9" t="s">
        <v>1278</v>
      </c>
    </row>
    <row r="109" spans="1:1" ht="15" customHeight="1" x14ac:dyDescent="0.2">
      <c r="A109" s="9" t="s">
        <v>1279</v>
      </c>
    </row>
    <row r="111" spans="1:1" ht="15" customHeight="1" x14ac:dyDescent="0.2">
      <c r="A111" s="9" t="s">
        <v>80</v>
      </c>
    </row>
    <row r="113" spans="1:1" ht="15" customHeight="1" x14ac:dyDescent="0.2">
      <c r="A113" s="9" t="s">
        <v>1280</v>
      </c>
    </row>
    <row r="115" spans="1:1" ht="15" customHeight="1" x14ac:dyDescent="0.2">
      <c r="A115" s="8" t="s">
        <v>1281</v>
      </c>
    </row>
    <row r="116" spans="1:1" ht="15" customHeight="1" x14ac:dyDescent="0.2">
      <c r="A116" s="9" t="s">
        <v>1276</v>
      </c>
    </row>
    <row r="117" spans="1:1" ht="15" customHeight="1" x14ac:dyDescent="0.2">
      <c r="A117" s="9" t="s">
        <v>1277</v>
      </c>
    </row>
    <row r="118" spans="1:1" ht="15" customHeight="1" x14ac:dyDescent="0.2">
      <c r="A118" s="9" t="s">
        <v>1278</v>
      </c>
    </row>
    <row r="119" spans="1:1" ht="15" customHeight="1" x14ac:dyDescent="0.2">
      <c r="A119" s="9" t="s">
        <v>1279</v>
      </c>
    </row>
    <row r="121" spans="1:1" ht="15" customHeight="1" x14ac:dyDescent="0.2">
      <c r="A121" s="9" t="s">
        <v>98</v>
      </c>
    </row>
    <row r="123" spans="1:1" ht="15" customHeight="1" x14ac:dyDescent="0.2">
      <c r="A123" s="9" t="s">
        <v>1282</v>
      </c>
    </row>
    <row r="125" spans="1:1" ht="15" customHeight="1" x14ac:dyDescent="0.2">
      <c r="A125" s="8" t="s">
        <v>1283</v>
      </c>
    </row>
    <row r="126" spans="1:1" ht="15" customHeight="1" x14ac:dyDescent="0.2">
      <c r="A126" s="9" t="s">
        <v>1276</v>
      </c>
    </row>
    <row r="127" spans="1:1" ht="15" customHeight="1" x14ac:dyDescent="0.2">
      <c r="A127" s="9" t="s">
        <v>1277</v>
      </c>
    </row>
    <row r="128" spans="1:1" ht="15" customHeight="1" x14ac:dyDescent="0.2">
      <c r="A128" s="9" t="s">
        <v>1278</v>
      </c>
    </row>
    <row r="129" spans="1:1" ht="15" customHeight="1" x14ac:dyDescent="0.2">
      <c r="A129" s="9" t="s">
        <v>1279</v>
      </c>
    </row>
    <row r="131" spans="1:1" ht="15" customHeight="1" x14ac:dyDescent="0.2">
      <c r="A131" s="9" t="s">
        <v>110</v>
      </c>
    </row>
    <row r="133" spans="1:1" ht="15" customHeight="1" x14ac:dyDescent="0.2">
      <c r="A133" s="9" t="s">
        <v>1284</v>
      </c>
    </row>
    <row r="135" spans="1:1" ht="15" customHeight="1" x14ac:dyDescent="0.2">
      <c r="A135" s="8" t="s">
        <v>1285</v>
      </c>
    </row>
    <row r="136" spans="1:1" ht="15" customHeight="1" x14ac:dyDescent="0.2">
      <c r="A136" s="9" t="s">
        <v>1276</v>
      </c>
    </row>
    <row r="137" spans="1:1" ht="15" customHeight="1" x14ac:dyDescent="0.2">
      <c r="A137" s="9" t="s">
        <v>1277</v>
      </c>
    </row>
    <row r="138" spans="1:1" ht="15" customHeight="1" x14ac:dyDescent="0.2">
      <c r="A138" s="9" t="s">
        <v>1278</v>
      </c>
    </row>
    <row r="139" spans="1:1" ht="15" customHeight="1" x14ac:dyDescent="0.2">
      <c r="A139" s="9" t="s">
        <v>1279</v>
      </c>
    </row>
    <row r="141" spans="1:1" ht="15" customHeight="1" x14ac:dyDescent="0.2">
      <c r="A141" s="9" t="s">
        <v>88</v>
      </c>
    </row>
    <row r="143" spans="1:1" ht="15" customHeight="1" x14ac:dyDescent="0.2">
      <c r="A143" s="9" t="s">
        <v>1286</v>
      </c>
    </row>
    <row r="145" spans="1:1" ht="15" customHeight="1" x14ac:dyDescent="0.2">
      <c r="A145" s="8" t="s">
        <v>1287</v>
      </c>
    </row>
    <row r="146" spans="1:1" ht="15" customHeight="1" x14ac:dyDescent="0.2">
      <c r="A146" s="9" t="s">
        <v>1288</v>
      </c>
    </row>
    <row r="147" spans="1:1" ht="15" customHeight="1" x14ac:dyDescent="0.2">
      <c r="A147" s="9" t="s">
        <v>1289</v>
      </c>
    </row>
    <row r="148" spans="1:1" ht="15" customHeight="1" x14ac:dyDescent="0.2">
      <c r="A148" s="9" t="s">
        <v>1292</v>
      </c>
    </row>
    <row r="149" spans="1:1" ht="15" customHeight="1" x14ac:dyDescent="0.2">
      <c r="A149" s="9" t="s">
        <v>1290</v>
      </c>
    </row>
    <row r="151" spans="1:1" ht="15" customHeight="1" x14ac:dyDescent="0.2">
      <c r="A151" s="9" t="s">
        <v>80</v>
      </c>
    </row>
    <row r="153" spans="1:1" ht="15" customHeight="1" x14ac:dyDescent="0.2">
      <c r="A153" s="9" t="s">
        <v>1291</v>
      </c>
    </row>
    <row r="155" spans="1:1" ht="15" customHeight="1" x14ac:dyDescent="0.2">
      <c r="A155" s="8" t="s">
        <v>1293</v>
      </c>
    </row>
    <row r="156" spans="1:1" ht="15" customHeight="1" x14ac:dyDescent="0.2">
      <c r="A156" s="9" t="s">
        <v>1294</v>
      </c>
    </row>
    <row r="157" spans="1:1" ht="15" customHeight="1" x14ac:dyDescent="0.2">
      <c r="A157" s="9" t="s">
        <v>1295</v>
      </c>
    </row>
    <row r="158" spans="1:1" ht="15" customHeight="1" x14ac:dyDescent="0.2">
      <c r="A158" s="9" t="s">
        <v>1296</v>
      </c>
    </row>
    <row r="159" spans="1:1" ht="15" customHeight="1" x14ac:dyDescent="0.2">
      <c r="A159" s="9" t="s">
        <v>1297</v>
      </c>
    </row>
    <row r="161" spans="1:2" ht="15" customHeight="1" x14ac:dyDescent="0.2">
      <c r="A161" s="9" t="s">
        <v>110</v>
      </c>
    </row>
    <row r="163" spans="1:2" ht="15" customHeight="1" x14ac:dyDescent="0.2">
      <c r="A163" s="9" t="s">
        <v>1298</v>
      </c>
    </row>
    <row r="165" spans="1:2" ht="15" customHeight="1" x14ac:dyDescent="0.2">
      <c r="A165" s="8" t="s">
        <v>1299</v>
      </c>
    </row>
    <row r="166" spans="1:2" ht="15" customHeight="1" x14ac:dyDescent="0.2">
      <c r="A166" s="9" t="s">
        <v>1300</v>
      </c>
    </row>
    <row r="167" spans="1:2" ht="15" customHeight="1" x14ac:dyDescent="0.2">
      <c r="A167" s="9" t="s">
        <v>1301</v>
      </c>
    </row>
    <row r="168" spans="1:2" ht="15" customHeight="1" x14ac:dyDescent="0.2">
      <c r="A168" s="9" t="s">
        <v>1302</v>
      </c>
    </row>
    <row r="169" spans="1:2" ht="15" customHeight="1" x14ac:dyDescent="0.2">
      <c r="A169" s="9" t="s">
        <v>1303</v>
      </c>
    </row>
    <row r="171" spans="1:2" ht="15" customHeight="1" x14ac:dyDescent="0.2">
      <c r="A171" s="9" t="s">
        <v>88</v>
      </c>
    </row>
    <row r="173" spans="1:2" ht="15" customHeight="1" x14ac:dyDescent="0.2">
      <c r="A173" s="9" t="s">
        <v>3860</v>
      </c>
    </row>
    <row r="175" spans="1:2" ht="15" customHeight="1" x14ac:dyDescent="0.2">
      <c r="A175" s="25" t="s">
        <v>99</v>
      </c>
      <c r="B175" s="21">
        <v>0.05</v>
      </c>
    </row>
    <row r="176" spans="1:2" ht="15" customHeight="1" x14ac:dyDescent="0.2">
      <c r="A176" s="25" t="s">
        <v>83</v>
      </c>
      <c r="B176" s="9">
        <v>1</v>
      </c>
    </row>
    <row r="177" spans="1:2" ht="15" customHeight="1" x14ac:dyDescent="0.2">
      <c r="A177" s="25" t="s">
        <v>108</v>
      </c>
      <c r="B177" s="12">
        <v>1000</v>
      </c>
    </row>
    <row r="179" spans="1:2" ht="15" customHeight="1" x14ac:dyDescent="0.2">
      <c r="A179" s="25" t="s">
        <v>86</v>
      </c>
      <c r="B179" s="12">
        <f>B177*(1-EXP(-B175*B176))</f>
        <v>48.770575499285982</v>
      </c>
    </row>
    <row r="181" spans="1:2" ht="15" customHeight="1" x14ac:dyDescent="0.2">
      <c r="A181" s="57" t="s">
        <v>3286</v>
      </c>
    </row>
    <row r="182" spans="1:2" ht="15" customHeight="1" x14ac:dyDescent="0.2">
      <c r="A182" s="57" t="s">
        <v>1304</v>
      </c>
    </row>
    <row r="183" spans="1:2" ht="15" customHeight="1" x14ac:dyDescent="0.2">
      <c r="A183" s="26" t="s">
        <v>1305</v>
      </c>
    </row>
    <row r="184" spans="1:2" ht="15" customHeight="1" x14ac:dyDescent="0.2">
      <c r="A184" s="26" t="s">
        <v>1306</v>
      </c>
    </row>
    <row r="185" spans="1:2" ht="15" customHeight="1" x14ac:dyDescent="0.2">
      <c r="A185" s="26" t="s">
        <v>259</v>
      </c>
    </row>
    <row r="186" spans="1:2" ht="15" customHeight="1" x14ac:dyDescent="0.2">
      <c r="A186" s="26" t="s">
        <v>1307</v>
      </c>
    </row>
    <row r="187" spans="1:2" ht="15" customHeight="1" x14ac:dyDescent="0.2">
      <c r="A187" s="26"/>
    </row>
    <row r="188" spans="1:2" ht="15" customHeight="1" x14ac:dyDescent="0.2">
      <c r="A188" s="26" t="s">
        <v>110</v>
      </c>
    </row>
    <row r="189" spans="1:2" ht="15" customHeight="1" x14ac:dyDescent="0.2">
      <c r="A189" s="26"/>
    </row>
    <row r="190" spans="1:2" ht="15" customHeight="1" x14ac:dyDescent="0.2">
      <c r="A190" s="26" t="s">
        <v>1308</v>
      </c>
    </row>
    <row r="191" spans="1:2" ht="15" customHeight="1" x14ac:dyDescent="0.2">
      <c r="A191" s="26" t="s">
        <v>1309</v>
      </c>
    </row>
    <row r="192" spans="1:2" ht="15" customHeight="1" x14ac:dyDescent="0.2">
      <c r="A192" s="26" t="s">
        <v>1310</v>
      </c>
    </row>
    <row r="193" spans="1:7" ht="15" customHeight="1" x14ac:dyDescent="0.2">
      <c r="A193" s="26" t="s">
        <v>3287</v>
      </c>
    </row>
    <row r="194" spans="1:7" ht="15" customHeight="1" x14ac:dyDescent="0.2">
      <c r="A194" s="26" t="s">
        <v>1311</v>
      </c>
    </row>
    <row r="195" spans="1:7" ht="15" customHeight="1" x14ac:dyDescent="0.2">
      <c r="A195" s="26"/>
    </row>
    <row r="196" spans="1:7" ht="15" customHeight="1" x14ac:dyDescent="0.2">
      <c r="B196" s="83" t="s">
        <v>82</v>
      </c>
      <c r="C196" s="83"/>
      <c r="D196" s="83"/>
      <c r="E196" s="12"/>
      <c r="G196" s="25"/>
    </row>
    <row r="197" spans="1:7" ht="15" customHeight="1" x14ac:dyDescent="0.2">
      <c r="B197" s="12">
        <v>60</v>
      </c>
      <c r="C197" s="12">
        <v>65</v>
      </c>
      <c r="D197" s="12">
        <v>70</v>
      </c>
      <c r="E197" s="12"/>
      <c r="G197" s="25"/>
    </row>
    <row r="198" spans="1:7" ht="15" customHeight="1" x14ac:dyDescent="0.2">
      <c r="A198" s="25" t="s">
        <v>86</v>
      </c>
      <c r="B198" s="12">
        <v>18</v>
      </c>
      <c r="C198" s="12">
        <v>14</v>
      </c>
      <c r="D198" s="12">
        <v>11</v>
      </c>
      <c r="E198" s="12"/>
      <c r="G198" s="25"/>
    </row>
    <row r="199" spans="1:7" ht="15" customHeight="1" x14ac:dyDescent="0.2">
      <c r="A199" s="25" t="s">
        <v>178</v>
      </c>
      <c r="B199" s="9">
        <v>100</v>
      </c>
      <c r="C199" s="9">
        <v>-200</v>
      </c>
      <c r="D199" s="9">
        <v>100</v>
      </c>
    </row>
    <row r="200" spans="1:7" ht="15" customHeight="1" x14ac:dyDescent="0.25">
      <c r="A200" s="25" t="s">
        <v>3436</v>
      </c>
      <c r="B200" s="12">
        <f>C197</f>
        <v>65</v>
      </c>
      <c r="C200" s="12"/>
    </row>
    <row r="201" spans="1:7" ht="15" customHeight="1" x14ac:dyDescent="0.2">
      <c r="A201" s="25"/>
      <c r="B201" s="12"/>
      <c r="C201" s="12"/>
    </row>
    <row r="202" spans="1:7" ht="15" customHeight="1" x14ac:dyDescent="0.2">
      <c r="A202" s="25" t="s">
        <v>1312</v>
      </c>
      <c r="B202" s="12">
        <f>B199*B198</f>
        <v>1800</v>
      </c>
      <c r="C202" s="12">
        <f t="shared" ref="C202:D202" si="0">C199*C198</f>
        <v>-2800</v>
      </c>
      <c r="D202" s="12">
        <f t="shared" si="0"/>
        <v>1100</v>
      </c>
      <c r="E202" s="12">
        <f>SUM(B202:D202)</f>
        <v>100</v>
      </c>
    </row>
    <row r="203" spans="1:7" ht="15" customHeight="1" x14ac:dyDescent="0.2">
      <c r="A203" s="25" t="s">
        <v>36</v>
      </c>
      <c r="B203" s="12">
        <f>B199*MAX($B$200-B197,0)</f>
        <v>500</v>
      </c>
      <c r="C203" s="12">
        <f t="shared" ref="C203:D203" si="1">C199*MAX($B$200-C197,0)</f>
        <v>0</v>
      </c>
      <c r="D203" s="12">
        <f t="shared" si="1"/>
        <v>0</v>
      </c>
      <c r="E203" s="12">
        <f>SUM(B203:D203)</f>
        <v>500</v>
      </c>
    </row>
    <row r="204" spans="1:7" ht="15" customHeight="1" x14ac:dyDescent="0.2">
      <c r="A204" s="9" t="s">
        <v>235</v>
      </c>
      <c r="B204" s="12">
        <f>E203-E202</f>
        <v>400</v>
      </c>
      <c r="C204" s="12"/>
      <c r="D204" s="12"/>
      <c r="E204" s="12"/>
    </row>
    <row r="206" spans="1:7" ht="15" customHeight="1" x14ac:dyDescent="0.2">
      <c r="A206" s="8" t="s">
        <v>3288</v>
      </c>
    </row>
    <row r="207" spans="1:7" ht="15" customHeight="1" x14ac:dyDescent="0.2">
      <c r="A207" s="8" t="s">
        <v>1313</v>
      </c>
    </row>
    <row r="208" spans="1:7" ht="15" customHeight="1" x14ac:dyDescent="0.2">
      <c r="A208" s="26" t="s">
        <v>1305</v>
      </c>
    </row>
    <row r="209" spans="1:7" ht="15" customHeight="1" x14ac:dyDescent="0.2">
      <c r="A209" s="26" t="s">
        <v>1306</v>
      </c>
    </row>
    <row r="210" spans="1:7" ht="15" customHeight="1" x14ac:dyDescent="0.2">
      <c r="A210" s="26" t="s">
        <v>259</v>
      </c>
    </row>
    <row r="211" spans="1:7" ht="15" customHeight="1" x14ac:dyDescent="0.2">
      <c r="A211" s="26" t="s">
        <v>1307</v>
      </c>
    </row>
    <row r="212" spans="1:7" ht="15" customHeight="1" x14ac:dyDescent="0.2">
      <c r="A212" s="26"/>
    </row>
    <row r="213" spans="1:7" ht="15" customHeight="1" x14ac:dyDescent="0.2">
      <c r="A213" s="26" t="s">
        <v>80</v>
      </c>
    </row>
    <row r="215" spans="1:7" ht="15" customHeight="1" x14ac:dyDescent="0.2">
      <c r="A215" s="9" t="s">
        <v>1308</v>
      </c>
    </row>
    <row r="216" spans="1:7" ht="15" customHeight="1" x14ac:dyDescent="0.2">
      <c r="A216" s="9" t="s">
        <v>1314</v>
      </c>
    </row>
    <row r="217" spans="1:7" ht="15" customHeight="1" x14ac:dyDescent="0.2">
      <c r="A217" s="9" t="s">
        <v>3289</v>
      </c>
    </row>
    <row r="218" spans="1:7" ht="15" customHeight="1" x14ac:dyDescent="0.2">
      <c r="A218" s="9" t="s">
        <v>1315</v>
      </c>
    </row>
    <row r="220" spans="1:7" ht="15" customHeight="1" x14ac:dyDescent="0.2">
      <c r="B220" s="83" t="s">
        <v>82</v>
      </c>
      <c r="C220" s="83"/>
      <c r="D220" s="83"/>
      <c r="E220" s="12"/>
      <c r="G220" s="25"/>
    </row>
    <row r="221" spans="1:7" ht="15" customHeight="1" x14ac:dyDescent="0.2">
      <c r="B221" s="12">
        <v>60</v>
      </c>
      <c r="C221" s="12">
        <v>65</v>
      </c>
      <c r="D221" s="12">
        <v>70</v>
      </c>
      <c r="E221" s="12"/>
      <c r="G221" s="25"/>
    </row>
    <row r="222" spans="1:7" ht="15" customHeight="1" x14ac:dyDescent="0.2">
      <c r="A222" s="25" t="s">
        <v>86</v>
      </c>
      <c r="B222" s="12">
        <v>18</v>
      </c>
      <c r="C222" s="12">
        <v>14</v>
      </c>
      <c r="D222" s="12">
        <v>11</v>
      </c>
      <c r="E222" s="12"/>
      <c r="G222" s="25"/>
    </row>
    <row r="223" spans="1:7" ht="15" customHeight="1" x14ac:dyDescent="0.2">
      <c r="A223" s="25" t="s">
        <v>178</v>
      </c>
      <c r="B223" s="9">
        <v>100</v>
      </c>
      <c r="C223" s="9">
        <v>-200</v>
      </c>
      <c r="D223" s="9">
        <v>100</v>
      </c>
    </row>
    <row r="224" spans="1:7" ht="15" customHeight="1" x14ac:dyDescent="0.25">
      <c r="A224" s="25" t="s">
        <v>3436</v>
      </c>
      <c r="B224" s="12">
        <f>B221</f>
        <v>60</v>
      </c>
      <c r="C224" s="12">
        <f>D221</f>
        <v>70</v>
      </c>
    </row>
    <row r="225" spans="1:5" ht="15" customHeight="1" x14ac:dyDescent="0.2">
      <c r="A225" s="25"/>
      <c r="B225" s="12"/>
      <c r="C225" s="12"/>
    </row>
    <row r="226" spans="1:5" ht="15" customHeight="1" x14ac:dyDescent="0.2">
      <c r="A226" s="25" t="s">
        <v>1312</v>
      </c>
      <c r="B226" s="12">
        <f>B223*B222</f>
        <v>1800</v>
      </c>
      <c r="C226" s="12">
        <f t="shared" ref="C226:D226" si="2">C223*C222</f>
        <v>-2800</v>
      </c>
      <c r="D226" s="12">
        <f t="shared" si="2"/>
        <v>1100</v>
      </c>
      <c r="E226" s="12">
        <f>SUM(B226:D226)</f>
        <v>100</v>
      </c>
    </row>
    <row r="227" spans="1:5" ht="15" customHeight="1" x14ac:dyDescent="0.2">
      <c r="A227" s="25" t="s">
        <v>36</v>
      </c>
      <c r="B227" s="12">
        <f>B223*MAX($B$224-B221,0)</f>
        <v>0</v>
      </c>
      <c r="C227" s="12">
        <f t="shared" ref="C227:D227" si="3">C223*MAX($B$224-C221,0)</f>
        <v>0</v>
      </c>
      <c r="D227" s="12">
        <f t="shared" si="3"/>
        <v>0</v>
      </c>
      <c r="E227" s="12">
        <f>SUM(B227:D227)</f>
        <v>0</v>
      </c>
    </row>
    <row r="228" spans="1:5" ht="15" customHeight="1" x14ac:dyDescent="0.2">
      <c r="A228" s="9" t="s">
        <v>235</v>
      </c>
      <c r="B228" s="12">
        <f>E227-E226</f>
        <v>-100</v>
      </c>
      <c r="C228" s="12"/>
      <c r="D228" s="12"/>
      <c r="E228" s="12"/>
    </row>
    <row r="230" spans="1:5" ht="15" customHeight="1" x14ac:dyDescent="0.2">
      <c r="A230" s="8" t="s">
        <v>3115</v>
      </c>
    </row>
    <row r="231" spans="1:5" ht="15" customHeight="1" x14ac:dyDescent="0.2">
      <c r="A231" s="9" t="s">
        <v>1305</v>
      </c>
    </row>
    <row r="232" spans="1:5" ht="15" customHeight="1" x14ac:dyDescent="0.2">
      <c r="A232" s="9" t="s">
        <v>1306</v>
      </c>
    </row>
    <row r="233" spans="1:5" ht="15" customHeight="1" x14ac:dyDescent="0.2">
      <c r="A233" s="9" t="s">
        <v>259</v>
      </c>
    </row>
    <row r="234" spans="1:5" ht="15" customHeight="1" x14ac:dyDescent="0.2">
      <c r="A234" s="9" t="s">
        <v>1307</v>
      </c>
    </row>
    <row r="236" spans="1:5" ht="15" customHeight="1" x14ac:dyDescent="0.2">
      <c r="A236" s="9" t="s">
        <v>98</v>
      </c>
    </row>
    <row r="238" spans="1:5" ht="15" customHeight="1" x14ac:dyDescent="0.2">
      <c r="A238" s="9" t="s">
        <v>3116</v>
      </c>
    </row>
    <row r="239" spans="1:5" ht="15" customHeight="1" x14ac:dyDescent="0.25">
      <c r="A239" s="9" t="s">
        <v>3861</v>
      </c>
    </row>
    <row r="241" spans="1:4" ht="15" customHeight="1" x14ac:dyDescent="0.2">
      <c r="B241" s="84" t="s">
        <v>82</v>
      </c>
      <c r="C241" s="84"/>
    </row>
    <row r="242" spans="1:4" ht="15" customHeight="1" x14ac:dyDescent="0.2">
      <c r="B242" s="58">
        <v>35</v>
      </c>
      <c r="C242" s="58">
        <v>40</v>
      </c>
    </row>
    <row r="243" spans="1:4" ht="15" customHeight="1" x14ac:dyDescent="0.2">
      <c r="A243" s="25" t="s">
        <v>86</v>
      </c>
      <c r="B243" s="12">
        <v>6</v>
      </c>
      <c r="C243" s="12">
        <v>4</v>
      </c>
    </row>
    <row r="244" spans="1:4" ht="15" customHeight="1" x14ac:dyDescent="0.2">
      <c r="A244" s="25" t="s">
        <v>178</v>
      </c>
      <c r="B244" s="9">
        <v>100</v>
      </c>
      <c r="C244" s="9">
        <v>-100</v>
      </c>
    </row>
    <row r="245" spans="1:4" ht="15" customHeight="1" x14ac:dyDescent="0.25">
      <c r="A245" s="25" t="s">
        <v>3436</v>
      </c>
      <c r="B245" s="12">
        <v>40</v>
      </c>
    </row>
    <row r="247" spans="1:4" ht="15" customHeight="1" x14ac:dyDescent="0.2">
      <c r="A247" s="25" t="s">
        <v>1312</v>
      </c>
      <c r="B247" s="12">
        <f>B244*B243</f>
        <v>600</v>
      </c>
      <c r="C247" s="12">
        <f t="shared" ref="C247" si="4">C244*C243</f>
        <v>-400</v>
      </c>
      <c r="D247" s="12">
        <f>SUM(B247:C247)</f>
        <v>200</v>
      </c>
    </row>
    <row r="248" spans="1:4" ht="15" customHeight="1" x14ac:dyDescent="0.2">
      <c r="A248" s="25" t="s">
        <v>36</v>
      </c>
      <c r="B248" s="12">
        <f>B244*MAX($B$245-B242,0)</f>
        <v>500</v>
      </c>
      <c r="C248" s="12">
        <f>C244*MAX($B$245-C242,0)</f>
        <v>0</v>
      </c>
      <c r="D248" s="12">
        <f>SUM(B248:C248)</f>
        <v>500</v>
      </c>
    </row>
    <row r="249" spans="1:4" ht="15" customHeight="1" x14ac:dyDescent="0.2">
      <c r="A249" s="9" t="s">
        <v>235</v>
      </c>
      <c r="B249" s="12">
        <f>D248-D247</f>
        <v>300</v>
      </c>
    </row>
  </sheetData>
  <mergeCells count="4">
    <mergeCell ref="B196:D196"/>
    <mergeCell ref="B220:D220"/>
    <mergeCell ref="B241:C24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2">
    <tabColor rgb="FF536878"/>
    <pageSetUpPr fitToPage="1"/>
  </sheetPr>
  <dimension ref="A1:P357"/>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3" width="9.140625" style="9"/>
    <col min="4" max="5" width="9.140625" style="9" customWidth="1"/>
    <col min="6" max="16384" width="9.140625" style="9"/>
  </cols>
  <sheetData>
    <row r="1" spans="1:16" ht="15" customHeight="1" x14ac:dyDescent="0.2">
      <c r="A1" s="75" t="s">
        <v>4024</v>
      </c>
      <c r="B1" s="76"/>
      <c r="C1" s="76"/>
      <c r="D1" s="76"/>
      <c r="E1" s="76"/>
      <c r="F1" s="76"/>
      <c r="G1" s="76"/>
      <c r="H1" s="76"/>
      <c r="I1" s="76"/>
      <c r="J1" s="76"/>
      <c r="K1" s="76"/>
      <c r="L1" s="76"/>
      <c r="M1" s="76"/>
      <c r="N1" s="76"/>
      <c r="O1" s="76"/>
      <c r="P1" s="76"/>
    </row>
    <row r="3" spans="1:16" ht="15" customHeight="1" x14ac:dyDescent="0.2">
      <c r="A3" s="8" t="s">
        <v>1317</v>
      </c>
    </row>
    <row r="4" spans="1:16" ht="15" customHeight="1" x14ac:dyDescent="0.2">
      <c r="A4" s="8" t="s">
        <v>1318</v>
      </c>
    </row>
    <row r="5" spans="1:16" ht="15" customHeight="1" x14ac:dyDescent="0.2">
      <c r="A5" s="9" t="s">
        <v>1329</v>
      </c>
    </row>
    <row r="6" spans="1:16" ht="15" customHeight="1" x14ac:dyDescent="0.2">
      <c r="A6" s="9" t="s">
        <v>1330</v>
      </c>
    </row>
    <row r="7" spans="1:16" ht="15" customHeight="1" x14ac:dyDescent="0.2">
      <c r="A7" s="9" t="s">
        <v>1331</v>
      </c>
    </row>
    <row r="8" spans="1:16" ht="15" customHeight="1" x14ac:dyDescent="0.2">
      <c r="A8" s="9" t="s">
        <v>1332</v>
      </c>
    </row>
    <row r="10" spans="1:16" ht="15" customHeight="1" x14ac:dyDescent="0.2">
      <c r="A10" s="9" t="s">
        <v>88</v>
      </c>
    </row>
    <row r="12" spans="1:16" ht="15" customHeight="1" x14ac:dyDescent="0.2">
      <c r="A12" s="9" t="s">
        <v>3837</v>
      </c>
    </row>
    <row r="13" spans="1:16" ht="15" customHeight="1" x14ac:dyDescent="0.2">
      <c r="A13" s="9" t="s">
        <v>1334</v>
      </c>
    </row>
    <row r="14" spans="1:16" ht="15" customHeight="1" x14ac:dyDescent="0.2">
      <c r="A14" s="9" t="s">
        <v>1335</v>
      </c>
    </row>
    <row r="16" spans="1:16" ht="15" customHeight="1" x14ac:dyDescent="0.2">
      <c r="A16" s="25" t="s">
        <v>82</v>
      </c>
      <c r="B16" s="12">
        <v>32</v>
      </c>
      <c r="C16" s="12"/>
    </row>
    <row r="17" spans="1:3" ht="15" customHeight="1" x14ac:dyDescent="0.2">
      <c r="A17" s="25" t="s">
        <v>83</v>
      </c>
      <c r="B17" s="9">
        <v>0.5</v>
      </c>
    </row>
    <row r="18" spans="1:3" ht="15" customHeight="1" x14ac:dyDescent="0.25">
      <c r="A18" s="25" t="s">
        <v>3451</v>
      </c>
      <c r="B18" s="12">
        <v>30</v>
      </c>
      <c r="C18" s="12"/>
    </row>
    <row r="19" spans="1:3" ht="15" customHeight="1" x14ac:dyDescent="0.2">
      <c r="A19" s="25" t="s">
        <v>55</v>
      </c>
      <c r="B19" s="9">
        <f>36/B18</f>
        <v>1.2</v>
      </c>
    </row>
    <row r="20" spans="1:3" ht="15" customHeight="1" x14ac:dyDescent="0.2">
      <c r="A20" s="25" t="s">
        <v>102</v>
      </c>
      <c r="B20" s="9">
        <f>26/B18</f>
        <v>0.8666666666666667</v>
      </c>
    </row>
    <row r="21" spans="1:3" ht="15" customHeight="1" x14ac:dyDescent="0.2">
      <c r="A21" s="25" t="s">
        <v>99</v>
      </c>
      <c r="B21" s="21">
        <v>0</v>
      </c>
      <c r="C21" s="21"/>
    </row>
    <row r="23" spans="1:3" ht="15" customHeight="1" x14ac:dyDescent="0.2">
      <c r="A23" s="9" t="s">
        <v>1333</v>
      </c>
      <c r="B23" s="51">
        <f>(MAX(B18*B19-B16,0)-MAX(B18*B20-B16,0))/(B18*B19-B18*B20)</f>
        <v>0.4</v>
      </c>
      <c r="C23" s="49"/>
    </row>
    <row r="25" spans="1:3" ht="15" customHeight="1" x14ac:dyDescent="0.2">
      <c r="A25" s="8" t="s">
        <v>1319</v>
      </c>
    </row>
    <row r="26" spans="1:3" ht="15" customHeight="1" x14ac:dyDescent="0.2">
      <c r="A26" s="8" t="s">
        <v>1320</v>
      </c>
    </row>
    <row r="27" spans="1:3" ht="15" customHeight="1" x14ac:dyDescent="0.2">
      <c r="A27" s="9" t="s">
        <v>433</v>
      </c>
    </row>
    <row r="28" spans="1:3" ht="15" customHeight="1" x14ac:dyDescent="0.2">
      <c r="A28" s="9" t="s">
        <v>1321</v>
      </c>
    </row>
    <row r="29" spans="1:3" ht="15" customHeight="1" x14ac:dyDescent="0.2">
      <c r="A29" s="9" t="s">
        <v>1322</v>
      </c>
    </row>
    <row r="30" spans="1:3" ht="15" customHeight="1" x14ac:dyDescent="0.2">
      <c r="A30" s="9" t="s">
        <v>1323</v>
      </c>
    </row>
    <row r="32" spans="1:3" ht="15" customHeight="1" x14ac:dyDescent="0.2">
      <c r="A32" s="9" t="s">
        <v>98</v>
      </c>
    </row>
    <row r="34" spans="1:3" ht="15" customHeight="1" x14ac:dyDescent="0.2">
      <c r="A34" s="9" t="s">
        <v>3838</v>
      </c>
    </row>
    <row r="36" spans="1:3" ht="15" customHeight="1" x14ac:dyDescent="0.2">
      <c r="A36" s="9" t="s">
        <v>3839</v>
      </c>
    </row>
    <row r="38" spans="1:3" ht="15" customHeight="1" x14ac:dyDescent="0.2">
      <c r="A38" s="25" t="s">
        <v>82</v>
      </c>
      <c r="B38" s="12">
        <v>32</v>
      </c>
      <c r="C38" s="12"/>
    </row>
    <row r="39" spans="1:3" ht="15" customHeight="1" x14ac:dyDescent="0.2">
      <c r="A39" s="25" t="s">
        <v>83</v>
      </c>
      <c r="B39" s="9">
        <v>0.5</v>
      </c>
    </row>
    <row r="40" spans="1:3" ht="15" customHeight="1" x14ac:dyDescent="0.25">
      <c r="A40" s="25" t="s">
        <v>3451</v>
      </c>
      <c r="B40" s="12">
        <v>30</v>
      </c>
      <c r="C40" s="12"/>
    </row>
    <row r="41" spans="1:3" ht="15" customHeight="1" x14ac:dyDescent="0.2">
      <c r="A41" s="25" t="s">
        <v>55</v>
      </c>
      <c r="B41" s="9">
        <f>36/B40</f>
        <v>1.2</v>
      </c>
    </row>
    <row r="42" spans="1:3" ht="15" customHeight="1" x14ac:dyDescent="0.2">
      <c r="A42" s="25" t="s">
        <v>102</v>
      </c>
      <c r="B42" s="9">
        <f>26/B40</f>
        <v>0.8666666666666667</v>
      </c>
    </row>
    <row r="43" spans="1:3" ht="15" customHeight="1" x14ac:dyDescent="0.2">
      <c r="A43" s="25" t="s">
        <v>99</v>
      </c>
      <c r="B43" s="21">
        <v>0</v>
      </c>
      <c r="C43" s="21"/>
    </row>
    <row r="45" spans="1:3" ht="15" customHeight="1" x14ac:dyDescent="0.2">
      <c r="A45" s="25" t="s">
        <v>87</v>
      </c>
      <c r="B45" s="51">
        <f>(EXP(B43*B39)-B42)/(B41-B42)</f>
        <v>0.4</v>
      </c>
      <c r="C45" s="49"/>
    </row>
    <row r="46" spans="1:3" ht="15" customHeight="1" x14ac:dyDescent="0.2">
      <c r="B46" s="49"/>
      <c r="C46" s="49"/>
    </row>
    <row r="47" spans="1:3" ht="15" customHeight="1" x14ac:dyDescent="0.2">
      <c r="A47" s="8" t="s">
        <v>1324</v>
      </c>
      <c r="B47" s="21"/>
    </row>
    <row r="48" spans="1:3" ht="15" customHeight="1" x14ac:dyDescent="0.2">
      <c r="A48" s="8" t="s">
        <v>3310</v>
      </c>
      <c r="B48" s="21"/>
    </row>
    <row r="49" spans="1:3" ht="15" customHeight="1" x14ac:dyDescent="0.2">
      <c r="A49" s="9" t="s">
        <v>1325</v>
      </c>
    </row>
    <row r="50" spans="1:3" ht="15" customHeight="1" x14ac:dyDescent="0.2">
      <c r="A50" s="9" t="s">
        <v>1326</v>
      </c>
    </row>
    <row r="51" spans="1:3" ht="15" customHeight="1" x14ac:dyDescent="0.2">
      <c r="A51" s="9" t="s">
        <v>1327</v>
      </c>
    </row>
    <row r="52" spans="1:3" ht="15" customHeight="1" x14ac:dyDescent="0.2">
      <c r="A52" s="9" t="s">
        <v>1328</v>
      </c>
    </row>
    <row r="54" spans="1:3" ht="15" customHeight="1" x14ac:dyDescent="0.2">
      <c r="A54" s="9" t="s">
        <v>80</v>
      </c>
    </row>
    <row r="56" spans="1:3" ht="15" customHeight="1" x14ac:dyDescent="0.2">
      <c r="A56" s="9" t="s">
        <v>3838</v>
      </c>
    </row>
    <row r="58" spans="1:3" ht="15" customHeight="1" x14ac:dyDescent="0.2">
      <c r="A58" s="9" t="s">
        <v>3839</v>
      </c>
    </row>
    <row r="59" spans="1:3" ht="15" customHeight="1" x14ac:dyDescent="0.2">
      <c r="A59" s="9" t="s">
        <v>3840</v>
      </c>
    </row>
    <row r="61" spans="1:3" ht="15" customHeight="1" x14ac:dyDescent="0.2">
      <c r="A61" s="25" t="s">
        <v>82</v>
      </c>
      <c r="B61" s="12">
        <v>32</v>
      </c>
      <c r="C61" s="12"/>
    </row>
    <row r="62" spans="1:3" ht="15" customHeight="1" x14ac:dyDescent="0.2">
      <c r="A62" s="25" t="s">
        <v>83</v>
      </c>
      <c r="B62" s="9">
        <v>0.5</v>
      </c>
    </row>
    <row r="63" spans="1:3" ht="15" customHeight="1" x14ac:dyDescent="0.25">
      <c r="A63" s="25" t="s">
        <v>3451</v>
      </c>
      <c r="B63" s="12">
        <v>30</v>
      </c>
      <c r="C63" s="12"/>
    </row>
    <row r="64" spans="1:3" ht="15" customHeight="1" x14ac:dyDescent="0.2">
      <c r="A64" s="25" t="s">
        <v>55</v>
      </c>
      <c r="B64" s="9">
        <f>36/B63</f>
        <v>1.2</v>
      </c>
    </row>
    <row r="65" spans="1:3" ht="15" customHeight="1" x14ac:dyDescent="0.2">
      <c r="A65" s="25" t="s">
        <v>102</v>
      </c>
      <c r="B65" s="9">
        <f>26/B63</f>
        <v>0.8666666666666667</v>
      </c>
    </row>
    <row r="66" spans="1:3" ht="15" customHeight="1" x14ac:dyDescent="0.2">
      <c r="A66" s="25" t="s">
        <v>99</v>
      </c>
      <c r="B66" s="21">
        <v>0</v>
      </c>
      <c r="C66" s="21"/>
    </row>
    <row r="68" spans="1:3" ht="15" customHeight="1" x14ac:dyDescent="0.2">
      <c r="A68" s="25" t="s">
        <v>87</v>
      </c>
      <c r="B68" s="51">
        <f>(EXP(B66*B62)-B65)/(B64-B65)</f>
        <v>0.4</v>
      </c>
      <c r="C68" s="49"/>
    </row>
    <row r="69" spans="1:3" ht="15" customHeight="1" x14ac:dyDescent="0.2">
      <c r="A69" s="25" t="s">
        <v>54</v>
      </c>
      <c r="B69" s="15">
        <f>(MAX(B63*B64-B61,0)*B68+MAX(B63*B65-B61,0)*(1-B68))*EXP(-B66*B62)</f>
        <v>1.6</v>
      </c>
    </row>
    <row r="71" spans="1:3" ht="15" customHeight="1" x14ac:dyDescent="0.2">
      <c r="A71" s="8" t="s">
        <v>1336</v>
      </c>
    </row>
    <row r="72" spans="1:3" ht="15" customHeight="1" x14ac:dyDescent="0.2">
      <c r="A72" s="8" t="s">
        <v>1337</v>
      </c>
    </row>
    <row r="73" spans="1:3" ht="15" customHeight="1" x14ac:dyDescent="0.2">
      <c r="A73" s="9" t="s">
        <v>1338</v>
      </c>
    </row>
    <row r="74" spans="1:3" ht="15" customHeight="1" x14ac:dyDescent="0.2">
      <c r="A74" s="9" t="s">
        <v>1339</v>
      </c>
    </row>
    <row r="75" spans="1:3" ht="15" customHeight="1" x14ac:dyDescent="0.2">
      <c r="A75" s="9" t="s">
        <v>1340</v>
      </c>
    </row>
    <row r="76" spans="1:3" ht="15" customHeight="1" x14ac:dyDescent="0.2">
      <c r="A76" s="9" t="s">
        <v>1341</v>
      </c>
    </row>
    <row r="78" spans="1:3" ht="15" customHeight="1" x14ac:dyDescent="0.2">
      <c r="A78" s="9" t="s">
        <v>98</v>
      </c>
    </row>
    <row r="80" spans="1:3" ht="15" customHeight="1" x14ac:dyDescent="0.2">
      <c r="A80" s="9" t="s">
        <v>1342</v>
      </c>
    </row>
    <row r="81" spans="1:3" ht="15" customHeight="1" x14ac:dyDescent="0.2">
      <c r="A81" s="9" t="s">
        <v>1343</v>
      </c>
    </row>
    <row r="83" spans="1:3" ht="15" customHeight="1" x14ac:dyDescent="0.2">
      <c r="A83" s="25" t="s">
        <v>82</v>
      </c>
      <c r="B83" s="12">
        <v>41</v>
      </c>
      <c r="C83" s="12"/>
    </row>
    <row r="84" spans="1:3" ht="15" customHeight="1" x14ac:dyDescent="0.2">
      <c r="A84" s="25" t="s">
        <v>83</v>
      </c>
      <c r="B84" s="9">
        <v>1</v>
      </c>
    </row>
    <row r="85" spans="1:3" ht="15" customHeight="1" x14ac:dyDescent="0.25">
      <c r="A85" s="25" t="s">
        <v>3451</v>
      </c>
      <c r="B85" s="12">
        <v>40</v>
      </c>
      <c r="C85" s="12"/>
    </row>
    <row r="86" spans="1:3" ht="15" customHeight="1" x14ac:dyDescent="0.2">
      <c r="A86" s="25" t="s">
        <v>55</v>
      </c>
      <c r="B86" s="9">
        <f>42/B85</f>
        <v>1.05</v>
      </c>
    </row>
    <row r="87" spans="1:3" ht="15" customHeight="1" x14ac:dyDescent="0.2">
      <c r="A87" s="25" t="s">
        <v>102</v>
      </c>
      <c r="B87" s="9">
        <f>37/B85</f>
        <v>0.92500000000000004</v>
      </c>
    </row>
    <row r="89" spans="1:3" ht="15" customHeight="1" x14ac:dyDescent="0.2">
      <c r="A89" s="9" t="s">
        <v>1333</v>
      </c>
      <c r="B89" s="51">
        <f>(MAX(B83-B85*B87,0)-MAX(B83-B85*B86,0))/(B85*B86-B85*B87)</f>
        <v>0.8</v>
      </c>
      <c r="C89" s="49"/>
    </row>
    <row r="91" spans="1:3" ht="15" customHeight="1" x14ac:dyDescent="0.2">
      <c r="A91" s="8" t="s">
        <v>1344</v>
      </c>
      <c r="B91" s="21"/>
    </row>
    <row r="92" spans="1:3" ht="15" customHeight="1" x14ac:dyDescent="0.2">
      <c r="A92" s="8" t="s">
        <v>1345</v>
      </c>
      <c r="B92" s="21"/>
    </row>
    <row r="93" spans="1:3" ht="15" customHeight="1" x14ac:dyDescent="0.2">
      <c r="A93" s="9" t="s">
        <v>1346</v>
      </c>
    </row>
    <row r="94" spans="1:3" ht="15" customHeight="1" x14ac:dyDescent="0.2">
      <c r="A94" s="9" t="s">
        <v>1347</v>
      </c>
    </row>
    <row r="95" spans="1:3" ht="15" customHeight="1" x14ac:dyDescent="0.2">
      <c r="A95" s="9" t="s">
        <v>1348</v>
      </c>
    </row>
    <row r="96" spans="1:3" ht="15" customHeight="1" x14ac:dyDescent="0.2">
      <c r="A96" s="9" t="s">
        <v>1349</v>
      </c>
    </row>
    <row r="98" spans="1:3" ht="15" customHeight="1" x14ac:dyDescent="0.2">
      <c r="A98" s="9" t="s">
        <v>110</v>
      </c>
    </row>
    <row r="100" spans="1:3" ht="15" customHeight="1" x14ac:dyDescent="0.2">
      <c r="A100" s="9" t="s">
        <v>3838</v>
      </c>
    </row>
    <row r="102" spans="1:3" ht="15" customHeight="1" x14ac:dyDescent="0.2">
      <c r="A102" s="9" t="s">
        <v>3841</v>
      </c>
    </row>
    <row r="103" spans="1:3" ht="15" customHeight="1" x14ac:dyDescent="0.2">
      <c r="A103" s="9" t="s">
        <v>3842</v>
      </c>
    </row>
    <row r="105" spans="1:3" ht="15" customHeight="1" x14ac:dyDescent="0.2">
      <c r="A105" s="25" t="s">
        <v>82</v>
      </c>
      <c r="B105" s="12">
        <v>41</v>
      </c>
      <c r="C105" s="12"/>
    </row>
    <row r="106" spans="1:3" ht="15" customHeight="1" x14ac:dyDescent="0.2">
      <c r="A106" s="25" t="s">
        <v>83</v>
      </c>
      <c r="B106" s="9">
        <v>1</v>
      </c>
    </row>
    <row r="107" spans="1:3" ht="15" customHeight="1" x14ac:dyDescent="0.25">
      <c r="A107" s="25" t="s">
        <v>3451</v>
      </c>
      <c r="B107" s="12">
        <v>40</v>
      </c>
      <c r="C107" s="12"/>
    </row>
    <row r="108" spans="1:3" ht="15" customHeight="1" x14ac:dyDescent="0.2">
      <c r="A108" s="25" t="s">
        <v>55</v>
      </c>
      <c r="B108" s="9">
        <f>42/B107</f>
        <v>1.05</v>
      </c>
    </row>
    <row r="109" spans="1:3" ht="15" customHeight="1" x14ac:dyDescent="0.2">
      <c r="A109" s="25" t="s">
        <v>102</v>
      </c>
      <c r="B109" s="9">
        <f>37/B107</f>
        <v>0.92500000000000004</v>
      </c>
    </row>
    <row r="110" spans="1:3" ht="15" customHeight="1" x14ac:dyDescent="0.2">
      <c r="A110" s="25" t="s">
        <v>99</v>
      </c>
      <c r="B110" s="21">
        <v>0.02</v>
      </c>
      <c r="C110" s="21"/>
    </row>
    <row r="112" spans="1:3" ht="15" customHeight="1" x14ac:dyDescent="0.2">
      <c r="A112" s="25" t="s">
        <v>87</v>
      </c>
      <c r="B112" s="16">
        <f>(EXP(B110*B106)-B109)/(B108-B109)</f>
        <v>0.76161072021404586</v>
      </c>
      <c r="C112" s="49"/>
    </row>
    <row r="113" spans="1:2" ht="15" customHeight="1" x14ac:dyDescent="0.2">
      <c r="A113" s="25" t="s">
        <v>53</v>
      </c>
      <c r="B113" s="15">
        <f>(MAX(B105-B107*B108,0)*B112+MAX(B105-B107*B109,0)*(1-B112))*EXP(-B110*B106)</f>
        <v>0.9346754231069806</v>
      </c>
    </row>
    <row r="115" spans="1:2" ht="15" customHeight="1" x14ac:dyDescent="0.2">
      <c r="A115" s="8" t="s">
        <v>1350</v>
      </c>
    </row>
    <row r="116" spans="1:2" ht="15" customHeight="1" x14ac:dyDescent="0.2">
      <c r="A116" s="9" t="s">
        <v>1351</v>
      </c>
    </row>
    <row r="117" spans="1:2" ht="15" customHeight="1" x14ac:dyDescent="0.2">
      <c r="A117" s="9" t="s">
        <v>1352</v>
      </c>
    </row>
    <row r="118" spans="1:2" ht="15" customHeight="1" x14ac:dyDescent="0.2">
      <c r="A118" s="9" t="s">
        <v>1353</v>
      </c>
    </row>
    <row r="119" spans="1:2" ht="15" customHeight="1" x14ac:dyDescent="0.2">
      <c r="A119" s="9" t="s">
        <v>5</v>
      </c>
    </row>
    <row r="121" spans="1:2" ht="15" customHeight="1" x14ac:dyDescent="0.2">
      <c r="A121" s="9" t="s">
        <v>80</v>
      </c>
    </row>
    <row r="123" spans="1:2" ht="15" customHeight="1" x14ac:dyDescent="0.2">
      <c r="A123" s="9" t="s">
        <v>1354</v>
      </c>
    </row>
    <row r="125" spans="1:2" ht="15" customHeight="1" x14ac:dyDescent="0.2">
      <c r="A125" s="8" t="s">
        <v>1355</v>
      </c>
    </row>
    <row r="126" spans="1:2" ht="15" customHeight="1" x14ac:dyDescent="0.2">
      <c r="A126" s="9" t="s">
        <v>1356</v>
      </c>
    </row>
    <row r="127" spans="1:2" ht="15" customHeight="1" x14ac:dyDescent="0.2">
      <c r="A127" s="9" t="s">
        <v>1357</v>
      </c>
    </row>
    <row r="128" spans="1:2" ht="15" customHeight="1" x14ac:dyDescent="0.2">
      <c r="A128" s="9" t="s">
        <v>1358</v>
      </c>
    </row>
    <row r="129" spans="1:1" ht="15" customHeight="1" x14ac:dyDescent="0.2">
      <c r="A129" s="9" t="s">
        <v>1359</v>
      </c>
    </row>
    <row r="131" spans="1:1" ht="15" customHeight="1" x14ac:dyDescent="0.2">
      <c r="A131" s="9" t="s">
        <v>98</v>
      </c>
    </row>
    <row r="133" spans="1:1" ht="15" customHeight="1" x14ac:dyDescent="0.2">
      <c r="A133" s="9" t="s">
        <v>1360</v>
      </c>
    </row>
    <row r="135" spans="1:1" ht="15" customHeight="1" x14ac:dyDescent="0.2">
      <c r="A135" s="8" t="s">
        <v>1361</v>
      </c>
    </row>
    <row r="136" spans="1:1" ht="15" customHeight="1" x14ac:dyDescent="0.2">
      <c r="A136" s="9" t="s">
        <v>1356</v>
      </c>
    </row>
    <row r="137" spans="1:1" ht="15" customHeight="1" x14ac:dyDescent="0.2">
      <c r="A137" s="9" t="s">
        <v>1357</v>
      </c>
    </row>
    <row r="138" spans="1:1" ht="15" customHeight="1" x14ac:dyDescent="0.2">
      <c r="A138" s="9" t="s">
        <v>1358</v>
      </c>
    </row>
    <row r="139" spans="1:1" ht="15" customHeight="1" x14ac:dyDescent="0.2">
      <c r="A139" s="9" t="s">
        <v>1359</v>
      </c>
    </row>
    <row r="141" spans="1:1" ht="15" customHeight="1" x14ac:dyDescent="0.2">
      <c r="A141" s="9" t="s">
        <v>98</v>
      </c>
    </row>
    <row r="143" spans="1:1" ht="15" customHeight="1" x14ac:dyDescent="0.2">
      <c r="A143" s="9" t="s">
        <v>1362</v>
      </c>
    </row>
    <row r="145" spans="1:1" ht="15" customHeight="1" x14ac:dyDescent="0.2">
      <c r="A145" s="8" t="s">
        <v>1363</v>
      </c>
    </row>
    <row r="146" spans="1:1" ht="15" customHeight="1" x14ac:dyDescent="0.2">
      <c r="A146" s="9" t="s">
        <v>1364</v>
      </c>
    </row>
    <row r="147" spans="1:1" ht="15" customHeight="1" x14ac:dyDescent="0.2">
      <c r="A147" s="9" t="s">
        <v>1365</v>
      </c>
    </row>
    <row r="148" spans="1:1" ht="15" customHeight="1" x14ac:dyDescent="0.2">
      <c r="A148" s="9" t="s">
        <v>1366</v>
      </c>
    </row>
    <row r="149" spans="1:1" ht="15" customHeight="1" x14ac:dyDescent="0.2">
      <c r="A149" s="9" t="s">
        <v>1367</v>
      </c>
    </row>
    <row r="151" spans="1:1" ht="15" customHeight="1" x14ac:dyDescent="0.2">
      <c r="A151" s="9" t="s">
        <v>110</v>
      </c>
    </row>
    <row r="153" spans="1:1" ht="15" customHeight="1" x14ac:dyDescent="0.2">
      <c r="A153" s="9" t="s">
        <v>1368</v>
      </c>
    </row>
    <row r="154" spans="1:1" ht="15" customHeight="1" x14ac:dyDescent="0.2">
      <c r="A154" s="9" t="s">
        <v>1369</v>
      </c>
    </row>
    <row r="156" spans="1:1" ht="15" customHeight="1" x14ac:dyDescent="0.2">
      <c r="A156" s="8" t="s">
        <v>1370</v>
      </c>
    </row>
    <row r="157" spans="1:1" ht="15" customHeight="1" x14ac:dyDescent="0.2">
      <c r="A157" s="9" t="s">
        <v>1371</v>
      </c>
    </row>
    <row r="158" spans="1:1" ht="15" customHeight="1" x14ac:dyDescent="0.2">
      <c r="A158" s="9" t="s">
        <v>1372</v>
      </c>
    </row>
    <row r="159" spans="1:1" ht="15" customHeight="1" x14ac:dyDescent="0.2">
      <c r="A159" s="9" t="s">
        <v>1373</v>
      </c>
    </row>
    <row r="160" spans="1:1" ht="15" customHeight="1" x14ac:dyDescent="0.2">
      <c r="A160" s="9" t="s">
        <v>1374</v>
      </c>
    </row>
    <row r="162" spans="1:1" ht="15" customHeight="1" x14ac:dyDescent="0.2">
      <c r="A162" s="9" t="s">
        <v>110</v>
      </c>
    </row>
    <row r="164" spans="1:1" ht="15" customHeight="1" x14ac:dyDescent="0.2">
      <c r="A164" s="9" t="s">
        <v>1375</v>
      </c>
    </row>
    <row r="166" spans="1:1" ht="15" customHeight="1" x14ac:dyDescent="0.2">
      <c r="A166" s="8" t="s">
        <v>1376</v>
      </c>
    </row>
    <row r="167" spans="1:1" ht="15" customHeight="1" x14ac:dyDescent="0.2">
      <c r="A167" s="9" t="s">
        <v>1377</v>
      </c>
    </row>
    <row r="168" spans="1:1" ht="15" customHeight="1" x14ac:dyDescent="0.2">
      <c r="A168" s="9" t="s">
        <v>1378</v>
      </c>
    </row>
    <row r="169" spans="1:1" ht="15" customHeight="1" x14ac:dyDescent="0.2">
      <c r="A169" s="9" t="s">
        <v>1379</v>
      </c>
    </row>
    <row r="170" spans="1:1" ht="15" customHeight="1" x14ac:dyDescent="0.2">
      <c r="A170" s="9" t="s">
        <v>1380</v>
      </c>
    </row>
    <row r="172" spans="1:1" ht="15" customHeight="1" x14ac:dyDescent="0.2">
      <c r="A172" s="9" t="s">
        <v>98</v>
      </c>
    </row>
    <row r="174" spans="1:1" ht="15" customHeight="1" x14ac:dyDescent="0.2">
      <c r="A174" s="9" t="s">
        <v>1381</v>
      </c>
    </row>
    <row r="176" spans="1:1" ht="15" customHeight="1" x14ac:dyDescent="0.2">
      <c r="A176" s="8" t="s">
        <v>1384</v>
      </c>
    </row>
    <row r="177" spans="1:5" ht="15" customHeight="1" x14ac:dyDescent="0.25">
      <c r="A177" s="8" t="s">
        <v>3843</v>
      </c>
    </row>
    <row r="178" spans="1:5" ht="15" customHeight="1" x14ac:dyDescent="0.2">
      <c r="A178" s="9" t="s">
        <v>1385</v>
      </c>
    </row>
    <row r="179" spans="1:5" ht="15" customHeight="1" x14ac:dyDescent="0.2">
      <c r="A179" s="9" t="s">
        <v>1386</v>
      </c>
    </row>
    <row r="180" spans="1:5" ht="15" customHeight="1" x14ac:dyDescent="0.2">
      <c r="A180" s="9" t="s">
        <v>1387</v>
      </c>
    </row>
    <row r="181" spans="1:5" ht="15" customHeight="1" x14ac:dyDescent="0.2">
      <c r="A181" s="9" t="s">
        <v>1388</v>
      </c>
    </row>
    <row r="183" spans="1:5" ht="15" customHeight="1" x14ac:dyDescent="0.2">
      <c r="A183" s="9" t="s">
        <v>88</v>
      </c>
    </row>
    <row r="185" spans="1:5" ht="15" customHeight="1" x14ac:dyDescent="0.2">
      <c r="A185" s="9" t="s">
        <v>1382</v>
      </c>
    </row>
    <row r="187" spans="1:5" ht="15" customHeight="1" x14ac:dyDescent="0.2">
      <c r="A187" s="9" t="s">
        <v>1383</v>
      </c>
    </row>
    <row r="188" spans="1:5" ht="15" customHeight="1" x14ac:dyDescent="0.2">
      <c r="C188" s="52"/>
      <c r="E188" s="53">
        <f>C190*B204</f>
        <v>36.300000000000004</v>
      </c>
    </row>
    <row r="189" spans="1:5" ht="15" customHeight="1" x14ac:dyDescent="0.2">
      <c r="C189" s="52"/>
      <c r="E189" s="53">
        <f>MAX(E188-B200,0)</f>
        <v>4.3000000000000043</v>
      </c>
    </row>
    <row r="190" spans="1:5" ht="15" customHeight="1" x14ac:dyDescent="0.2">
      <c r="C190" s="53">
        <f>A192*B204</f>
        <v>33</v>
      </c>
      <c r="E190" s="52"/>
    </row>
    <row r="191" spans="1:5" ht="15" customHeight="1" x14ac:dyDescent="0.2">
      <c r="C191" s="54">
        <f>EXP(-B203*B202)*(E189*B207+E193*(1-B207))</f>
        <v>2.5331556715142849</v>
      </c>
      <c r="E191" s="52"/>
    </row>
    <row r="192" spans="1:5" ht="15" customHeight="1" x14ac:dyDescent="0.2">
      <c r="A192" s="13">
        <f>B199</f>
        <v>30</v>
      </c>
      <c r="C192" s="52"/>
      <c r="E192" s="53">
        <f>C190*B205</f>
        <v>29.7</v>
      </c>
    </row>
    <row r="193" spans="1:5" ht="15" customHeight="1" x14ac:dyDescent="0.2">
      <c r="A193" s="55">
        <f>EXP(-B203*B202)*(C191*B207+C195*(1-B207))</f>
        <v>1.4922971293313911</v>
      </c>
      <c r="C193" s="52"/>
      <c r="E193" s="53">
        <f>MAX(E192-B200,0)</f>
        <v>0</v>
      </c>
    </row>
    <row r="194" spans="1:5" ht="15" customHeight="1" x14ac:dyDescent="0.2">
      <c r="C194" s="53">
        <f>A192*B205</f>
        <v>27</v>
      </c>
      <c r="E194" s="52"/>
    </row>
    <row r="195" spans="1:5" ht="15" customHeight="1" x14ac:dyDescent="0.2">
      <c r="C195" s="56">
        <f>EXP(-B203*B202)*(E193*B207+E197*(1-B207))</f>
        <v>0</v>
      </c>
      <c r="E195" s="52"/>
    </row>
    <row r="196" spans="1:5" ht="15" customHeight="1" x14ac:dyDescent="0.2">
      <c r="C196" s="52"/>
      <c r="E196" s="53">
        <f>C194*B205</f>
        <v>24.3</v>
      </c>
    </row>
    <row r="197" spans="1:5" ht="15" customHeight="1" x14ac:dyDescent="0.2">
      <c r="C197" s="52"/>
      <c r="E197" s="53">
        <f>MAX(E196-B200,0)</f>
        <v>0</v>
      </c>
    </row>
    <row r="199" spans="1:5" ht="15" customHeight="1" x14ac:dyDescent="0.25">
      <c r="A199" s="9" t="s">
        <v>3638</v>
      </c>
      <c r="B199" s="12">
        <v>30</v>
      </c>
    </row>
    <row r="200" spans="1:5" ht="15" customHeight="1" x14ac:dyDescent="0.2">
      <c r="A200" s="25" t="s">
        <v>82</v>
      </c>
      <c r="B200" s="12">
        <v>32</v>
      </c>
    </row>
    <row r="201" spans="1:5" ht="15" customHeight="1" x14ac:dyDescent="0.2">
      <c r="A201" s="25" t="s">
        <v>83</v>
      </c>
      <c r="B201" s="9">
        <v>0.5</v>
      </c>
    </row>
    <row r="202" spans="1:5" ht="15" customHeight="1" x14ac:dyDescent="0.2">
      <c r="A202" s="9" t="s">
        <v>3844</v>
      </c>
      <c r="B202" s="9">
        <f>B201/2</f>
        <v>0.25</v>
      </c>
    </row>
    <row r="203" spans="1:5" ht="15" customHeight="1" x14ac:dyDescent="0.2">
      <c r="A203" s="25" t="s">
        <v>99</v>
      </c>
      <c r="B203" s="21">
        <v>0.08</v>
      </c>
    </row>
    <row r="204" spans="1:5" ht="15" customHeight="1" x14ac:dyDescent="0.2">
      <c r="A204" s="25" t="s">
        <v>55</v>
      </c>
      <c r="B204" s="9">
        <v>1.1000000000000001</v>
      </c>
    </row>
    <row r="205" spans="1:5" ht="15" customHeight="1" x14ac:dyDescent="0.2">
      <c r="A205" s="25" t="s">
        <v>102</v>
      </c>
      <c r="B205" s="9">
        <v>0.9</v>
      </c>
    </row>
    <row r="207" spans="1:5" ht="15" customHeight="1" x14ac:dyDescent="0.2">
      <c r="A207" s="25" t="s">
        <v>87</v>
      </c>
      <c r="B207" s="16">
        <f>(EXP(B203*B202)-B205)/(B204-B205)</f>
        <v>0.60100670013377855</v>
      </c>
    </row>
    <row r="208" spans="1:5" ht="15" customHeight="1" x14ac:dyDescent="0.2">
      <c r="A208" s="25" t="s">
        <v>54</v>
      </c>
      <c r="B208" s="32">
        <f>A193</f>
        <v>1.4922971293313911</v>
      </c>
    </row>
    <row r="210" spans="1:5" ht="15" customHeight="1" x14ac:dyDescent="0.2">
      <c r="A210" s="8" t="s">
        <v>1389</v>
      </c>
    </row>
    <row r="211" spans="1:5" ht="15" customHeight="1" x14ac:dyDescent="0.25">
      <c r="A211" s="8" t="s">
        <v>3845</v>
      </c>
    </row>
    <row r="212" spans="1:5" ht="15" customHeight="1" x14ac:dyDescent="0.2">
      <c r="A212" s="9" t="s">
        <v>1390</v>
      </c>
    </row>
    <row r="213" spans="1:5" ht="15" customHeight="1" x14ac:dyDescent="0.2">
      <c r="A213" s="9" t="s">
        <v>1391</v>
      </c>
    </row>
    <row r="214" spans="1:5" ht="15" customHeight="1" x14ac:dyDescent="0.2">
      <c r="A214" s="9" t="s">
        <v>1392</v>
      </c>
    </row>
    <row r="215" spans="1:5" ht="15" customHeight="1" x14ac:dyDescent="0.2">
      <c r="A215" s="9" t="s">
        <v>1393</v>
      </c>
    </row>
    <row r="217" spans="1:5" ht="15" customHeight="1" x14ac:dyDescent="0.2">
      <c r="A217" s="9" t="s">
        <v>80</v>
      </c>
    </row>
    <row r="219" spans="1:5" ht="15" customHeight="1" x14ac:dyDescent="0.2">
      <c r="A219" s="9" t="s">
        <v>1382</v>
      </c>
    </row>
    <row r="221" spans="1:5" ht="15" customHeight="1" x14ac:dyDescent="0.2">
      <c r="A221" s="9" t="s">
        <v>1383</v>
      </c>
    </row>
    <row r="222" spans="1:5" ht="15" customHeight="1" x14ac:dyDescent="0.2">
      <c r="C222" s="52"/>
      <c r="E222" s="53">
        <f>C224*B238</f>
        <v>36.300000000000004</v>
      </c>
    </row>
    <row r="223" spans="1:5" ht="15" customHeight="1" x14ac:dyDescent="0.2">
      <c r="C223" s="52"/>
      <c r="E223" s="53">
        <f>MAX(B234-E222,0)</f>
        <v>0</v>
      </c>
    </row>
    <row r="224" spans="1:5" ht="15" customHeight="1" x14ac:dyDescent="0.2">
      <c r="C224" s="53">
        <f>A226*B238</f>
        <v>33</v>
      </c>
      <c r="E224" s="52"/>
    </row>
    <row r="225" spans="1:5" ht="15" customHeight="1" x14ac:dyDescent="0.2">
      <c r="C225" s="54">
        <f>EXP(-B237*B236)*(E223*B241+E227*(1-B241))</f>
        <v>0.89951321733045586</v>
      </c>
      <c r="E225" s="52"/>
    </row>
    <row r="226" spans="1:5" ht="15" customHeight="1" x14ac:dyDescent="0.2">
      <c r="A226" s="13">
        <f>B233</f>
        <v>30</v>
      </c>
      <c r="C226" s="52"/>
      <c r="E226" s="53">
        <f>C224*B239</f>
        <v>29.7</v>
      </c>
    </row>
    <row r="227" spans="1:5" ht="15" customHeight="1" x14ac:dyDescent="0.2">
      <c r="A227" s="55">
        <f>EXP(-B237*B236)*(C225*B241+C229*(1-B241))</f>
        <v>2.2375591822057381</v>
      </c>
      <c r="C227" s="52"/>
      <c r="E227" s="53">
        <f>MAX(B234-E226,0)</f>
        <v>2.3000000000000007</v>
      </c>
    </row>
    <row r="228" spans="1:5" ht="15" customHeight="1" x14ac:dyDescent="0.2">
      <c r="C228" s="53">
        <f>A226*B239</f>
        <v>27</v>
      </c>
      <c r="E228" s="52"/>
    </row>
    <row r="229" spans="1:5" ht="15" customHeight="1" x14ac:dyDescent="0.2">
      <c r="C229" s="54">
        <f>EXP(-B237*B236)*(E227*B241+E231*(1-B241))</f>
        <v>4.3663575458161716</v>
      </c>
      <c r="E229" s="52"/>
    </row>
    <row r="230" spans="1:5" ht="15" customHeight="1" x14ac:dyDescent="0.2">
      <c r="C230" s="52"/>
      <c r="E230" s="53">
        <f>C228*B239</f>
        <v>24.3</v>
      </c>
    </row>
    <row r="231" spans="1:5" ht="15" customHeight="1" x14ac:dyDescent="0.2">
      <c r="C231" s="52"/>
      <c r="E231" s="53">
        <f>MAX(B234-E230,0)</f>
        <v>7.6999999999999993</v>
      </c>
    </row>
    <row r="233" spans="1:5" ht="15" customHeight="1" x14ac:dyDescent="0.25">
      <c r="A233" s="9" t="s">
        <v>3638</v>
      </c>
      <c r="B233" s="12">
        <v>30</v>
      </c>
    </row>
    <row r="234" spans="1:5" ht="15" customHeight="1" x14ac:dyDescent="0.2">
      <c r="A234" s="25" t="s">
        <v>82</v>
      </c>
      <c r="B234" s="12">
        <v>32</v>
      </c>
    </row>
    <row r="235" spans="1:5" ht="15" customHeight="1" x14ac:dyDescent="0.2">
      <c r="A235" s="25" t="s">
        <v>83</v>
      </c>
      <c r="B235" s="9">
        <v>0.5</v>
      </c>
    </row>
    <row r="236" spans="1:5" ht="15" customHeight="1" x14ac:dyDescent="0.2">
      <c r="A236" s="9" t="s">
        <v>3844</v>
      </c>
      <c r="B236" s="9">
        <f>B235/2</f>
        <v>0.25</v>
      </c>
    </row>
    <row r="237" spans="1:5" ht="15" customHeight="1" x14ac:dyDescent="0.2">
      <c r="A237" s="25" t="s">
        <v>99</v>
      </c>
      <c r="B237" s="21">
        <v>0.08</v>
      </c>
    </row>
    <row r="238" spans="1:5" ht="15" customHeight="1" x14ac:dyDescent="0.2">
      <c r="A238" s="25" t="s">
        <v>55</v>
      </c>
      <c r="B238" s="9">
        <v>1.1000000000000001</v>
      </c>
    </row>
    <row r="239" spans="1:5" ht="15" customHeight="1" x14ac:dyDescent="0.2">
      <c r="A239" s="25" t="s">
        <v>102</v>
      </c>
      <c r="B239" s="9">
        <v>0.9</v>
      </c>
    </row>
    <row r="241" spans="1:2" ht="15" customHeight="1" x14ac:dyDescent="0.2">
      <c r="A241" s="25" t="s">
        <v>87</v>
      </c>
      <c r="B241" s="16">
        <f>(EXP(B237*B236)-B239)/(B238-B239)</f>
        <v>0.60100670013377855</v>
      </c>
    </row>
    <row r="242" spans="1:2" ht="15" customHeight="1" x14ac:dyDescent="0.2">
      <c r="A242" s="25" t="s">
        <v>53</v>
      </c>
      <c r="B242" s="32">
        <f>A227</f>
        <v>2.2375591822057381</v>
      </c>
    </row>
    <row r="244" spans="1:2" ht="15" customHeight="1" x14ac:dyDescent="0.2">
      <c r="A244" s="8" t="s">
        <v>1394</v>
      </c>
    </row>
    <row r="245" spans="1:2" ht="15" customHeight="1" x14ac:dyDescent="0.2">
      <c r="A245" s="9" t="s">
        <v>1395</v>
      </c>
    </row>
    <row r="246" spans="1:2" ht="15" customHeight="1" x14ac:dyDescent="0.2">
      <c r="A246" s="9" t="s">
        <v>1396</v>
      </c>
    </row>
    <row r="247" spans="1:2" ht="15" customHeight="1" x14ac:dyDescent="0.2">
      <c r="A247" s="9" t="s">
        <v>1397</v>
      </c>
    </row>
    <row r="248" spans="1:2" ht="15" customHeight="1" x14ac:dyDescent="0.2">
      <c r="A248" s="9" t="s">
        <v>1398</v>
      </c>
    </row>
    <row r="250" spans="1:2" ht="15" customHeight="1" x14ac:dyDescent="0.2">
      <c r="A250" s="9" t="s">
        <v>88</v>
      </c>
    </row>
    <row r="252" spans="1:2" ht="15" customHeight="1" x14ac:dyDescent="0.2">
      <c r="A252" s="9" t="s">
        <v>1399</v>
      </c>
    </row>
    <row r="254" spans="1:2" ht="15" customHeight="1" x14ac:dyDescent="0.2">
      <c r="A254" s="8" t="s">
        <v>1400</v>
      </c>
    </row>
    <row r="255" spans="1:2" ht="15" customHeight="1" x14ac:dyDescent="0.25">
      <c r="A255" s="8" t="s">
        <v>3846</v>
      </c>
    </row>
    <row r="256" spans="1:2" ht="15" customHeight="1" x14ac:dyDescent="0.2">
      <c r="A256" s="9" t="s">
        <v>1401</v>
      </c>
    </row>
    <row r="257" spans="1:2" ht="15" customHeight="1" x14ac:dyDescent="0.2">
      <c r="A257" s="9" t="s">
        <v>1402</v>
      </c>
    </row>
    <row r="258" spans="1:2" ht="15" customHeight="1" x14ac:dyDescent="0.2">
      <c r="A258" s="9" t="s">
        <v>1403</v>
      </c>
    </row>
    <row r="259" spans="1:2" ht="15" customHeight="1" x14ac:dyDescent="0.2">
      <c r="A259" s="9" t="s">
        <v>1404</v>
      </c>
    </row>
    <row r="261" spans="1:2" ht="15" customHeight="1" x14ac:dyDescent="0.2">
      <c r="A261" s="9" t="s">
        <v>110</v>
      </c>
    </row>
    <row r="263" spans="1:2" ht="15" customHeight="1" x14ac:dyDescent="0.2">
      <c r="A263" s="9" t="s">
        <v>3847</v>
      </c>
    </row>
    <row r="265" spans="1:2" ht="15" customHeight="1" x14ac:dyDescent="0.2">
      <c r="A265" s="25" t="s">
        <v>190</v>
      </c>
      <c r="B265" s="21">
        <v>0.2</v>
      </c>
    </row>
    <row r="266" spans="1:2" ht="15" customHeight="1" x14ac:dyDescent="0.2">
      <c r="A266" s="25" t="s">
        <v>99</v>
      </c>
      <c r="B266" s="21">
        <v>0.05</v>
      </c>
    </row>
    <row r="267" spans="1:2" ht="15" customHeight="1" x14ac:dyDescent="0.2">
      <c r="A267" s="9" t="s">
        <v>3706</v>
      </c>
      <c r="B267" s="9">
        <f>3/12</f>
        <v>0.25</v>
      </c>
    </row>
    <row r="269" spans="1:2" ht="15" customHeight="1" x14ac:dyDescent="0.2">
      <c r="A269" s="25" t="s">
        <v>55</v>
      </c>
      <c r="B269" s="16">
        <f>EXP(B265*SQRT(B267))</f>
        <v>1.1051709180756477</v>
      </c>
    </row>
    <row r="271" spans="1:2" ht="15" customHeight="1" x14ac:dyDescent="0.2">
      <c r="A271" s="8" t="s">
        <v>1405</v>
      </c>
    </row>
    <row r="272" spans="1:2" ht="15" customHeight="1" x14ac:dyDescent="0.25">
      <c r="A272" s="8" t="s">
        <v>3848</v>
      </c>
    </row>
    <row r="273" spans="1:2" ht="15" customHeight="1" x14ac:dyDescent="0.2">
      <c r="A273" s="9" t="s">
        <v>1406</v>
      </c>
    </row>
    <row r="274" spans="1:2" ht="15" customHeight="1" x14ac:dyDescent="0.2">
      <c r="A274" s="9" t="s">
        <v>1407</v>
      </c>
    </row>
    <row r="275" spans="1:2" ht="15" customHeight="1" x14ac:dyDescent="0.2">
      <c r="A275" s="9" t="s">
        <v>1408</v>
      </c>
    </row>
    <row r="276" spans="1:2" ht="15" customHeight="1" x14ac:dyDescent="0.2">
      <c r="A276" s="9" t="s">
        <v>1409</v>
      </c>
    </row>
    <row r="278" spans="1:2" ht="15" customHeight="1" x14ac:dyDescent="0.2">
      <c r="A278" s="9" t="s">
        <v>88</v>
      </c>
    </row>
    <row r="280" spans="1:2" ht="15" customHeight="1" x14ac:dyDescent="0.2">
      <c r="A280" s="9" t="s">
        <v>3849</v>
      </c>
    </row>
    <row r="283" spans="1:2" ht="15" customHeight="1" x14ac:dyDescent="0.2">
      <c r="A283" s="25" t="s">
        <v>190</v>
      </c>
      <c r="B283" s="21">
        <v>0.2</v>
      </c>
    </row>
    <row r="284" spans="1:2" ht="15" customHeight="1" x14ac:dyDescent="0.2">
      <c r="A284" s="25" t="s">
        <v>99</v>
      </c>
      <c r="B284" s="21">
        <v>0.05</v>
      </c>
    </row>
    <row r="285" spans="1:2" ht="15" customHeight="1" x14ac:dyDescent="0.2">
      <c r="A285" s="9" t="s">
        <v>3706</v>
      </c>
      <c r="B285" s="9">
        <f>3/12</f>
        <v>0.25</v>
      </c>
    </row>
    <row r="287" spans="1:2" ht="15" customHeight="1" x14ac:dyDescent="0.2">
      <c r="A287" s="25" t="s">
        <v>55</v>
      </c>
      <c r="B287" s="16">
        <f>EXP(B283*SQRT(B285))</f>
        <v>1.1051709180756477</v>
      </c>
    </row>
    <row r="288" spans="1:2" ht="15" customHeight="1" x14ac:dyDescent="0.2">
      <c r="A288" s="25" t="s">
        <v>102</v>
      </c>
      <c r="B288" s="16">
        <f>1/B287</f>
        <v>0.90483741803595952</v>
      </c>
    </row>
    <row r="289" spans="1:5" ht="15" customHeight="1" x14ac:dyDescent="0.2">
      <c r="A289" s="25" t="s">
        <v>87</v>
      </c>
      <c r="B289" s="49">
        <f>(EXP(B284*B285)-B288)/(B287-B288)</f>
        <v>0.53780837195641396</v>
      </c>
    </row>
    <row r="291" spans="1:5" ht="15" customHeight="1" x14ac:dyDescent="0.2">
      <c r="A291" s="8" t="s">
        <v>1410</v>
      </c>
    </row>
    <row r="292" spans="1:5" ht="15" customHeight="1" x14ac:dyDescent="0.25">
      <c r="A292" s="8" t="s">
        <v>3850</v>
      </c>
    </row>
    <row r="293" spans="1:5" ht="15" customHeight="1" x14ac:dyDescent="0.2">
      <c r="A293" s="9" t="s">
        <v>1411</v>
      </c>
    </row>
    <row r="294" spans="1:5" ht="15" customHeight="1" x14ac:dyDescent="0.2">
      <c r="A294" s="9" t="s">
        <v>1412</v>
      </c>
    </row>
    <row r="295" spans="1:5" ht="15" customHeight="1" x14ac:dyDescent="0.2">
      <c r="A295" s="9" t="s">
        <v>1413</v>
      </c>
    </row>
    <row r="296" spans="1:5" ht="15" customHeight="1" x14ac:dyDescent="0.2">
      <c r="A296" s="9" t="s">
        <v>1414</v>
      </c>
    </row>
    <row r="298" spans="1:5" ht="15" customHeight="1" x14ac:dyDescent="0.2">
      <c r="A298" s="9" t="s">
        <v>88</v>
      </c>
    </row>
    <row r="300" spans="1:5" ht="15" customHeight="1" x14ac:dyDescent="0.2">
      <c r="A300" s="9" t="s">
        <v>1415</v>
      </c>
    </row>
    <row r="302" spans="1:5" ht="15" customHeight="1" x14ac:dyDescent="0.2">
      <c r="A302" s="9" t="s">
        <v>1383</v>
      </c>
    </row>
    <row r="303" spans="1:5" ht="15" customHeight="1" x14ac:dyDescent="0.2">
      <c r="C303" s="52"/>
      <c r="E303" s="53">
        <f>C305*B321</f>
        <v>66.344822057267208</v>
      </c>
    </row>
    <row r="304" spans="1:5" ht="15" customHeight="1" x14ac:dyDescent="0.2">
      <c r="C304" s="52"/>
      <c r="E304" s="53">
        <f>MAX(B315-E303,0)</f>
        <v>0</v>
      </c>
    </row>
    <row r="305" spans="1:5" ht="15" customHeight="1" x14ac:dyDescent="0.2">
      <c r="C305" s="53">
        <f>A307*B321</f>
        <v>57.595495508445453</v>
      </c>
      <c r="E305" s="52"/>
    </row>
    <row r="306" spans="1:5" ht="15" customHeight="1" x14ac:dyDescent="0.2">
      <c r="C306" s="54">
        <f>EXP(-B318*B317)*(E304*B323+E308*(1-B323))</f>
        <v>0</v>
      </c>
      <c r="E306" s="52"/>
    </row>
    <row r="307" spans="1:5" ht="15" customHeight="1" x14ac:dyDescent="0.2">
      <c r="A307" s="13">
        <f>B314</f>
        <v>50</v>
      </c>
      <c r="C307" s="52"/>
      <c r="E307" s="53">
        <f>C305*B322</f>
        <v>50</v>
      </c>
    </row>
    <row r="308" spans="1:5" ht="15" customHeight="1" x14ac:dyDescent="0.2">
      <c r="A308" s="55">
        <f>EXP(-B318*B317)*(C306*B323+C310*(1-B323))</f>
        <v>1.9986718536101264</v>
      </c>
      <c r="C308" s="52"/>
      <c r="E308" s="53">
        <f>MAX(B315-E307,0)</f>
        <v>0</v>
      </c>
    </row>
    <row r="309" spans="1:5" ht="15" customHeight="1" x14ac:dyDescent="0.2">
      <c r="C309" s="53">
        <f>A307*B322</f>
        <v>43.40617226972924</v>
      </c>
      <c r="E309" s="52"/>
    </row>
    <row r="310" spans="1:5" ht="15" customHeight="1" x14ac:dyDescent="0.2">
      <c r="C310" s="54">
        <f>MAX(EXP(-B318*B317)*(E308*B323+E312*(1-B323)),B315-C309)</f>
        <v>4.5938277302707604</v>
      </c>
      <c r="E310" s="52"/>
    </row>
    <row r="311" spans="1:5" ht="15" customHeight="1" x14ac:dyDescent="0.2">
      <c r="C311" s="52"/>
      <c r="E311" s="53">
        <f>C309*B322</f>
        <v>37.681915822188238</v>
      </c>
    </row>
    <row r="312" spans="1:5" ht="15" customHeight="1" x14ac:dyDescent="0.2">
      <c r="C312" s="52"/>
      <c r="E312" s="53">
        <f>MAX(B315-E311,0)</f>
        <v>10.318084177811762</v>
      </c>
    </row>
    <row r="314" spans="1:5" ht="15" customHeight="1" x14ac:dyDescent="0.25">
      <c r="A314" s="9" t="s">
        <v>3638</v>
      </c>
      <c r="B314" s="12">
        <v>50</v>
      </c>
    </row>
    <row r="315" spans="1:5" ht="15" customHeight="1" x14ac:dyDescent="0.2">
      <c r="A315" s="25" t="s">
        <v>82</v>
      </c>
      <c r="B315" s="12">
        <v>48</v>
      </c>
    </row>
    <row r="316" spans="1:5" ht="15" customHeight="1" x14ac:dyDescent="0.2">
      <c r="A316" s="25" t="s">
        <v>83</v>
      </c>
      <c r="B316" s="9">
        <v>1</v>
      </c>
    </row>
    <row r="317" spans="1:5" ht="15" customHeight="1" x14ac:dyDescent="0.2">
      <c r="A317" s="9" t="s">
        <v>3844</v>
      </c>
      <c r="B317" s="9">
        <f>B316/2</f>
        <v>0.5</v>
      </c>
    </row>
    <row r="318" spans="1:5" ht="15" customHeight="1" x14ac:dyDescent="0.2">
      <c r="A318" s="25" t="s">
        <v>99</v>
      </c>
      <c r="B318" s="21">
        <v>0.05</v>
      </c>
    </row>
    <row r="319" spans="1:5" ht="15" customHeight="1" x14ac:dyDescent="0.2">
      <c r="A319" s="25" t="s">
        <v>190</v>
      </c>
      <c r="B319" s="21">
        <v>0.2</v>
      </c>
    </row>
    <row r="321" spans="1:2" ht="15" customHeight="1" x14ac:dyDescent="0.2">
      <c r="A321" s="25" t="s">
        <v>55</v>
      </c>
      <c r="B321" s="49">
        <f>EXP(B319*SQRT(B317))</f>
        <v>1.151909910168909</v>
      </c>
    </row>
    <row r="322" spans="1:2" ht="15" customHeight="1" x14ac:dyDescent="0.2">
      <c r="A322" s="25" t="s">
        <v>102</v>
      </c>
      <c r="B322" s="49">
        <f>1/B321</f>
        <v>0.86812344539458486</v>
      </c>
    </row>
    <row r="323" spans="1:2" ht="15" customHeight="1" x14ac:dyDescent="0.2">
      <c r="A323" s="25" t="s">
        <v>87</v>
      </c>
      <c r="B323" s="16">
        <f>(EXP(B318*B317)-B322)/(B321-B322)</f>
        <v>0.55390828894833921</v>
      </c>
    </row>
    <row r="324" spans="1:2" ht="15" customHeight="1" x14ac:dyDescent="0.2">
      <c r="A324" s="25" t="s">
        <v>53</v>
      </c>
      <c r="B324" s="32">
        <f>A308</f>
        <v>1.9986718536101264</v>
      </c>
    </row>
    <row r="326" spans="1:2" ht="15" customHeight="1" x14ac:dyDescent="0.2">
      <c r="A326" s="8" t="s">
        <v>1416</v>
      </c>
    </row>
    <row r="327" spans="1:2" ht="15" customHeight="1" x14ac:dyDescent="0.2">
      <c r="A327" s="9" t="s">
        <v>1417</v>
      </c>
    </row>
    <row r="328" spans="1:2" ht="15" customHeight="1" x14ac:dyDescent="0.2">
      <c r="A328" s="9" t="s">
        <v>1418</v>
      </c>
    </row>
    <row r="329" spans="1:2" ht="15" customHeight="1" x14ac:dyDescent="0.2">
      <c r="A329" s="9" t="s">
        <v>1419</v>
      </c>
    </row>
    <row r="330" spans="1:2" ht="15" customHeight="1" x14ac:dyDescent="0.2">
      <c r="A330" s="9" t="s">
        <v>1420</v>
      </c>
    </row>
    <row r="332" spans="1:2" ht="15" customHeight="1" x14ac:dyDescent="0.2">
      <c r="A332" s="9" t="s">
        <v>98</v>
      </c>
    </row>
    <row r="334" spans="1:2" ht="15" customHeight="1" x14ac:dyDescent="0.2">
      <c r="A334" s="9" t="s">
        <v>3851</v>
      </c>
    </row>
    <row r="336" spans="1:2" ht="15" customHeight="1" x14ac:dyDescent="0.2">
      <c r="A336" s="8" t="s">
        <v>1421</v>
      </c>
    </row>
    <row r="337" spans="1:1" ht="15" customHeight="1" x14ac:dyDescent="0.2">
      <c r="A337" s="9" t="s">
        <v>1422</v>
      </c>
    </row>
    <row r="338" spans="1:1" ht="15" customHeight="1" x14ac:dyDescent="0.2">
      <c r="A338" s="9" t="s">
        <v>3852</v>
      </c>
    </row>
    <row r="339" spans="1:1" ht="15" customHeight="1" x14ac:dyDescent="0.2">
      <c r="A339" s="9" t="s">
        <v>1423</v>
      </c>
    </row>
    <row r="340" spans="1:1" ht="15" customHeight="1" x14ac:dyDescent="0.2">
      <c r="A340" s="9" t="s">
        <v>3853</v>
      </c>
    </row>
    <row r="342" spans="1:1" ht="15" customHeight="1" x14ac:dyDescent="0.2">
      <c r="A342" s="9" t="s">
        <v>110</v>
      </c>
    </row>
    <row r="344" spans="1:1" ht="15" customHeight="1" x14ac:dyDescent="0.2">
      <c r="A344" s="9" t="s">
        <v>3854</v>
      </c>
    </row>
    <row r="346" spans="1:1" ht="15" customHeight="1" x14ac:dyDescent="0.2">
      <c r="A346" s="9" t="s">
        <v>1424</v>
      </c>
    </row>
    <row r="348" spans="1:1" ht="15" customHeight="1" x14ac:dyDescent="0.2">
      <c r="A348" s="8" t="s">
        <v>1426</v>
      </c>
    </row>
    <row r="349" spans="1:1" ht="15" customHeight="1" x14ac:dyDescent="0.2">
      <c r="A349" s="8" t="s">
        <v>1425</v>
      </c>
    </row>
    <row r="350" spans="1:1" ht="15" customHeight="1" x14ac:dyDescent="0.2">
      <c r="A350" s="9" t="s">
        <v>3855</v>
      </c>
    </row>
    <row r="351" spans="1:1" ht="15" customHeight="1" x14ac:dyDescent="0.2">
      <c r="A351" s="9" t="s">
        <v>3856</v>
      </c>
    </row>
    <row r="352" spans="1:1" ht="15" customHeight="1" x14ac:dyDescent="0.2">
      <c r="A352" s="9" t="s">
        <v>3857</v>
      </c>
    </row>
    <row r="353" spans="1:1" ht="15" customHeight="1" x14ac:dyDescent="0.2">
      <c r="A353" s="9" t="s">
        <v>404</v>
      </c>
    </row>
    <row r="355" spans="1:1" ht="15" customHeight="1" x14ac:dyDescent="0.2">
      <c r="A355" s="9" t="s">
        <v>98</v>
      </c>
    </row>
    <row r="357" spans="1:1" ht="15" customHeight="1" x14ac:dyDescent="0.2">
      <c r="A357" s="9" t="s">
        <v>3858</v>
      </c>
    </row>
  </sheetData>
  <mergeCells count="1">
    <mergeCell ref="A1:P1"/>
  </mergeCells>
  <phoneticPr fontId="0" type="noConversion"/>
  <dataValidations disablePrompts="1" count="2">
    <dataValidation type="list" allowBlank="1" showInputMessage="1" showErrorMessage="1" sqref="B49 B93">
      <formula1>"call,put"</formula1>
    </dataValidation>
    <dataValidation type="list" allowBlank="1" showInputMessage="1" showErrorMessage="1" sqref="B50 B94">
      <formula1>"European,American"</formula1>
    </dataValidation>
  </dataValidations>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6878"/>
    <pageSetUpPr fitToPage="1"/>
  </sheetPr>
  <dimension ref="A1:P281"/>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1010</v>
      </c>
      <c r="B1" s="76"/>
      <c r="C1" s="76"/>
      <c r="D1" s="76"/>
      <c r="E1" s="76"/>
      <c r="F1" s="76"/>
      <c r="G1" s="76"/>
      <c r="H1" s="76"/>
      <c r="I1" s="76"/>
      <c r="J1" s="76"/>
      <c r="K1" s="76"/>
      <c r="L1" s="76"/>
      <c r="M1" s="76"/>
      <c r="N1" s="76"/>
      <c r="O1" s="76"/>
      <c r="P1" s="76"/>
    </row>
    <row r="3" spans="1:16" ht="15" customHeight="1" x14ac:dyDescent="0.25">
      <c r="A3" s="8" t="s">
        <v>3757</v>
      </c>
    </row>
    <row r="4" spans="1:16" ht="15" customHeight="1" x14ac:dyDescent="0.25">
      <c r="A4" s="8" t="s">
        <v>3758</v>
      </c>
    </row>
    <row r="5" spans="1:16" ht="15" customHeight="1" x14ac:dyDescent="0.2">
      <c r="A5" s="9" t="s">
        <v>381</v>
      </c>
    </row>
    <row r="6" spans="1:16" ht="15" customHeight="1" x14ac:dyDescent="0.2">
      <c r="A6" s="9" t="s">
        <v>1427</v>
      </c>
    </row>
    <row r="7" spans="1:16" ht="15" customHeight="1" x14ac:dyDescent="0.2">
      <c r="A7" s="9" t="s">
        <v>1428</v>
      </c>
    </row>
    <row r="8" spans="1:16" ht="15" customHeight="1" x14ac:dyDescent="0.2">
      <c r="A8" s="9" t="s">
        <v>1429</v>
      </c>
    </row>
    <row r="10" spans="1:16" ht="15" customHeight="1" x14ac:dyDescent="0.2">
      <c r="A10" s="9" t="s">
        <v>98</v>
      </c>
    </row>
    <row r="12" spans="1:16" ht="15" customHeight="1" x14ac:dyDescent="0.2">
      <c r="A12" s="9" t="s">
        <v>3759</v>
      </c>
    </row>
    <row r="14" spans="1:16" ht="15" customHeight="1" x14ac:dyDescent="0.2">
      <c r="A14" s="25" t="s">
        <v>13</v>
      </c>
      <c r="B14" s="9">
        <v>10</v>
      </c>
    </row>
    <row r="15" spans="1:16" ht="15" customHeight="1" x14ac:dyDescent="0.2">
      <c r="A15" s="25" t="s">
        <v>58</v>
      </c>
      <c r="B15" s="9">
        <v>2</v>
      </c>
    </row>
    <row r="16" spans="1:16" ht="15" customHeight="1" x14ac:dyDescent="0.2">
      <c r="A16" s="25" t="s">
        <v>57</v>
      </c>
      <c r="B16" s="9">
        <v>3</v>
      </c>
    </row>
    <row r="17" spans="1:2" ht="15" customHeight="1" x14ac:dyDescent="0.2">
      <c r="A17" s="25" t="s">
        <v>83</v>
      </c>
      <c r="B17" s="9">
        <v>3</v>
      </c>
    </row>
    <row r="19" spans="1:2" ht="15" customHeight="1" x14ac:dyDescent="0.2">
      <c r="A19" s="25" t="s">
        <v>1434</v>
      </c>
      <c r="B19" s="9">
        <f>B15*B17</f>
        <v>6</v>
      </c>
    </row>
    <row r="20" spans="1:2" ht="15" customHeight="1" x14ac:dyDescent="0.2">
      <c r="A20" s="9" t="s">
        <v>3760</v>
      </c>
      <c r="B20" s="9">
        <f>B14+B15*B17</f>
        <v>16</v>
      </c>
    </row>
    <row r="22" spans="1:2" ht="15" customHeight="1" x14ac:dyDescent="0.25">
      <c r="A22" s="8" t="s">
        <v>3761</v>
      </c>
    </row>
    <row r="23" spans="1:2" ht="15" customHeight="1" x14ac:dyDescent="0.25">
      <c r="A23" s="8" t="s">
        <v>3762</v>
      </c>
    </row>
    <row r="24" spans="1:2" ht="15" customHeight="1" x14ac:dyDescent="0.2">
      <c r="A24" s="9" t="s">
        <v>1430</v>
      </c>
    </row>
    <row r="25" spans="1:2" ht="15" customHeight="1" x14ac:dyDescent="0.2">
      <c r="A25" s="9" t="s">
        <v>1431</v>
      </c>
    </row>
    <row r="26" spans="1:2" ht="15" customHeight="1" x14ac:dyDescent="0.2">
      <c r="A26" s="9" t="s">
        <v>1432</v>
      </c>
    </row>
    <row r="27" spans="1:2" ht="15" customHeight="1" x14ac:dyDescent="0.2">
      <c r="A27" s="9" t="s">
        <v>1433</v>
      </c>
    </row>
    <row r="29" spans="1:2" ht="15" customHeight="1" x14ac:dyDescent="0.2">
      <c r="A29" s="9" t="s">
        <v>88</v>
      </c>
    </row>
    <row r="31" spans="1:2" ht="15" customHeight="1" x14ac:dyDescent="0.2">
      <c r="A31" s="9" t="s">
        <v>3763</v>
      </c>
    </row>
    <row r="33" spans="1:2" ht="15" customHeight="1" x14ac:dyDescent="0.2">
      <c r="A33" s="25" t="s">
        <v>13</v>
      </c>
      <c r="B33" s="9">
        <v>10</v>
      </c>
    </row>
    <row r="34" spans="1:2" ht="15" customHeight="1" x14ac:dyDescent="0.2">
      <c r="A34" s="25" t="s">
        <v>58</v>
      </c>
      <c r="B34" s="9">
        <v>3</v>
      </c>
    </row>
    <row r="35" spans="1:2" ht="15" customHeight="1" x14ac:dyDescent="0.2">
      <c r="A35" s="25" t="s">
        <v>57</v>
      </c>
      <c r="B35" s="9">
        <v>4</v>
      </c>
    </row>
    <row r="36" spans="1:2" ht="15" customHeight="1" x14ac:dyDescent="0.2">
      <c r="A36" s="25" t="s">
        <v>83</v>
      </c>
      <c r="B36" s="9">
        <v>4</v>
      </c>
    </row>
    <row r="38" spans="1:2" ht="15" customHeight="1" x14ac:dyDescent="0.2">
      <c r="A38" s="25" t="s">
        <v>3764</v>
      </c>
      <c r="B38" s="9">
        <f>B35^2</f>
        <v>16</v>
      </c>
    </row>
    <row r="39" spans="1:2" ht="15" customHeight="1" x14ac:dyDescent="0.2">
      <c r="A39" s="9" t="s">
        <v>3765</v>
      </c>
      <c r="B39" s="9">
        <f>B35^2*B36</f>
        <v>64</v>
      </c>
    </row>
    <row r="40" spans="1:2" ht="15" customHeight="1" x14ac:dyDescent="0.2">
      <c r="A40" s="9" t="s">
        <v>3766</v>
      </c>
      <c r="B40" s="9">
        <f>SQRT(B35^2*B36)</f>
        <v>8</v>
      </c>
    </row>
    <row r="42" spans="1:2" ht="15" customHeight="1" x14ac:dyDescent="0.25">
      <c r="A42" s="8" t="s">
        <v>3767</v>
      </c>
    </row>
    <row r="43" spans="1:2" ht="15" customHeight="1" x14ac:dyDescent="0.25">
      <c r="A43" s="8" t="s">
        <v>3768</v>
      </c>
    </row>
    <row r="44" spans="1:2" ht="15" customHeight="1" x14ac:dyDescent="0.2">
      <c r="A44" s="9" t="s">
        <v>1246</v>
      </c>
    </row>
    <row r="45" spans="1:2" ht="15" customHeight="1" x14ac:dyDescent="0.2">
      <c r="A45" s="9" t="s">
        <v>1247</v>
      </c>
    </row>
    <row r="46" spans="1:2" ht="15" customHeight="1" x14ac:dyDescent="0.2">
      <c r="A46" s="9" t="s">
        <v>1248</v>
      </c>
    </row>
    <row r="47" spans="1:2" ht="15" customHeight="1" x14ac:dyDescent="0.2">
      <c r="A47" s="9" t="s">
        <v>1249</v>
      </c>
    </row>
    <row r="49" spans="1:2" ht="15" customHeight="1" x14ac:dyDescent="0.2">
      <c r="A49" s="9" t="s">
        <v>88</v>
      </c>
    </row>
    <row r="51" spans="1:2" ht="15" customHeight="1" x14ac:dyDescent="0.2">
      <c r="A51" s="9" t="s">
        <v>3763</v>
      </c>
    </row>
    <row r="53" spans="1:2" ht="15" customHeight="1" x14ac:dyDescent="0.2">
      <c r="A53" s="25" t="s">
        <v>13</v>
      </c>
      <c r="B53" s="9">
        <v>10</v>
      </c>
    </row>
    <row r="54" spans="1:2" ht="15" customHeight="1" x14ac:dyDescent="0.2">
      <c r="A54" s="25" t="s">
        <v>58</v>
      </c>
      <c r="B54" s="9">
        <v>3</v>
      </c>
    </row>
    <row r="55" spans="1:2" ht="15" customHeight="1" x14ac:dyDescent="0.2">
      <c r="A55" s="25" t="s">
        <v>57</v>
      </c>
      <c r="B55" s="9">
        <v>4</v>
      </c>
    </row>
    <row r="56" spans="1:2" ht="15" customHeight="1" x14ac:dyDescent="0.2">
      <c r="A56" s="25" t="s">
        <v>83</v>
      </c>
      <c r="B56" s="9">
        <f>3/12</f>
        <v>0.25</v>
      </c>
    </row>
    <row r="58" spans="1:2" ht="15" customHeight="1" x14ac:dyDescent="0.2">
      <c r="A58" s="25" t="s">
        <v>3764</v>
      </c>
      <c r="B58" s="9">
        <f>B55^2</f>
        <v>16</v>
      </c>
    </row>
    <row r="59" spans="1:2" ht="15" customHeight="1" x14ac:dyDescent="0.2">
      <c r="A59" s="9" t="s">
        <v>3765</v>
      </c>
      <c r="B59" s="9">
        <f>B55^2*B56</f>
        <v>4</v>
      </c>
    </row>
    <row r="60" spans="1:2" ht="15" customHeight="1" x14ac:dyDescent="0.2">
      <c r="A60" s="9" t="s">
        <v>3766</v>
      </c>
      <c r="B60" s="9">
        <f>SQRT(B55^2*B56)</f>
        <v>2</v>
      </c>
    </row>
    <row r="62" spans="1:2" ht="15" customHeight="1" x14ac:dyDescent="0.2">
      <c r="A62" s="8" t="s">
        <v>3311</v>
      </c>
    </row>
    <row r="63" spans="1:2" ht="15" customHeight="1" x14ac:dyDescent="0.2">
      <c r="A63" s="9" t="s">
        <v>3769</v>
      </c>
    </row>
    <row r="64" spans="1:2" ht="15" customHeight="1" x14ac:dyDescent="0.2">
      <c r="A64" s="9" t="s">
        <v>3770</v>
      </c>
    </row>
    <row r="65" spans="1:1" ht="15" customHeight="1" x14ac:dyDescent="0.2">
      <c r="A65" s="9" t="s">
        <v>3771</v>
      </c>
    </row>
    <row r="66" spans="1:1" ht="15" customHeight="1" x14ac:dyDescent="0.2">
      <c r="A66" s="9" t="s">
        <v>3772</v>
      </c>
    </row>
    <row r="68" spans="1:1" ht="15" customHeight="1" x14ac:dyDescent="0.2">
      <c r="A68" s="9" t="s">
        <v>80</v>
      </c>
    </row>
    <row r="70" spans="1:1" ht="15" customHeight="1" x14ac:dyDescent="0.2">
      <c r="A70" s="9" t="s">
        <v>3312</v>
      </c>
    </row>
    <row r="72" spans="1:1" ht="15" customHeight="1" x14ac:dyDescent="0.25">
      <c r="A72" s="8" t="s">
        <v>3773</v>
      </c>
    </row>
    <row r="73" spans="1:1" ht="15" customHeight="1" x14ac:dyDescent="0.2">
      <c r="A73" s="9" t="s">
        <v>3774</v>
      </c>
    </row>
    <row r="74" spans="1:1" ht="15" customHeight="1" x14ac:dyDescent="0.2">
      <c r="A74" s="9" t="s">
        <v>3775</v>
      </c>
    </row>
    <row r="75" spans="1:1" ht="15" customHeight="1" x14ac:dyDescent="0.2">
      <c r="A75" s="9" t="s">
        <v>3776</v>
      </c>
    </row>
    <row r="76" spans="1:1" ht="15" customHeight="1" x14ac:dyDescent="0.2">
      <c r="A76" s="9" t="s">
        <v>3777</v>
      </c>
    </row>
    <row r="78" spans="1:1" ht="15" customHeight="1" x14ac:dyDescent="0.2">
      <c r="A78" s="9" t="s">
        <v>98</v>
      </c>
    </row>
    <row r="80" spans="1:1" ht="15" customHeight="1" x14ac:dyDescent="0.2">
      <c r="A80" s="9" t="s">
        <v>3778</v>
      </c>
    </row>
    <row r="82" spans="1:1" ht="15" customHeight="1" x14ac:dyDescent="0.25">
      <c r="A82" s="8" t="s">
        <v>3779</v>
      </c>
    </row>
    <row r="83" spans="1:1" ht="15" customHeight="1" x14ac:dyDescent="0.2">
      <c r="A83" s="9" t="s">
        <v>3780</v>
      </c>
    </row>
    <row r="84" spans="1:1" ht="15" customHeight="1" x14ac:dyDescent="0.2">
      <c r="A84" s="9" t="s">
        <v>3781</v>
      </c>
    </row>
    <row r="85" spans="1:1" ht="15" customHeight="1" x14ac:dyDescent="0.2">
      <c r="A85" s="9" t="s">
        <v>3782</v>
      </c>
    </row>
    <row r="86" spans="1:1" ht="15" customHeight="1" x14ac:dyDescent="0.2">
      <c r="A86" s="9" t="s">
        <v>3783</v>
      </c>
    </row>
    <row r="88" spans="1:1" ht="15" customHeight="1" x14ac:dyDescent="0.2">
      <c r="A88" s="9" t="s">
        <v>80</v>
      </c>
    </row>
    <row r="90" spans="1:1" ht="15" customHeight="1" x14ac:dyDescent="0.2">
      <c r="A90" s="9" t="s">
        <v>3784</v>
      </c>
    </row>
    <row r="92" spans="1:1" ht="15" customHeight="1" x14ac:dyDescent="0.2">
      <c r="A92" s="8" t="s">
        <v>1435</v>
      </c>
    </row>
    <row r="93" spans="1:1" ht="15" customHeight="1" x14ac:dyDescent="0.2">
      <c r="A93" s="9" t="s">
        <v>1436</v>
      </c>
    </row>
    <row r="94" spans="1:1" ht="15" customHeight="1" x14ac:dyDescent="0.2">
      <c r="A94" s="9" t="s">
        <v>1437</v>
      </c>
    </row>
    <row r="95" spans="1:1" ht="15" customHeight="1" x14ac:dyDescent="0.2">
      <c r="A95" s="9" t="s">
        <v>1438</v>
      </c>
    </row>
    <row r="96" spans="1:1" ht="15" customHeight="1" x14ac:dyDescent="0.2">
      <c r="A96" s="9" t="s">
        <v>1439</v>
      </c>
    </row>
    <row r="98" spans="1:1" ht="15" customHeight="1" x14ac:dyDescent="0.2">
      <c r="A98" s="9" t="s">
        <v>88</v>
      </c>
    </row>
    <row r="100" spans="1:1" ht="15" customHeight="1" x14ac:dyDescent="0.2">
      <c r="A100" s="9" t="s">
        <v>1440</v>
      </c>
    </row>
    <row r="102" spans="1:1" ht="15" customHeight="1" x14ac:dyDescent="0.2">
      <c r="A102" s="8" t="s">
        <v>1441</v>
      </c>
    </row>
    <row r="103" spans="1:1" ht="15" customHeight="1" x14ac:dyDescent="0.2">
      <c r="A103" s="9" t="s">
        <v>1442</v>
      </c>
    </row>
    <row r="104" spans="1:1" ht="15" customHeight="1" x14ac:dyDescent="0.2">
      <c r="A104" s="9" t="s">
        <v>1443</v>
      </c>
    </row>
    <row r="105" spans="1:1" ht="15" customHeight="1" x14ac:dyDescent="0.2">
      <c r="A105" s="9" t="s">
        <v>1444</v>
      </c>
    </row>
    <row r="106" spans="1:1" ht="15" customHeight="1" x14ac:dyDescent="0.2">
      <c r="A106" s="9" t="s">
        <v>1445</v>
      </c>
    </row>
    <row r="108" spans="1:1" ht="15" customHeight="1" x14ac:dyDescent="0.2">
      <c r="A108" s="9" t="s">
        <v>98</v>
      </c>
    </row>
    <row r="110" spans="1:1" ht="15" customHeight="1" x14ac:dyDescent="0.2">
      <c r="A110" s="9" t="s">
        <v>1446</v>
      </c>
    </row>
    <row r="111" spans="1:1" ht="15" customHeight="1" x14ac:dyDescent="0.2">
      <c r="A111" s="9" t="s">
        <v>1447</v>
      </c>
    </row>
    <row r="113" spans="1:2" ht="15" customHeight="1" x14ac:dyDescent="0.25">
      <c r="A113" s="8" t="s">
        <v>3785</v>
      </c>
    </row>
    <row r="114" spans="1:2" ht="15" customHeight="1" x14ac:dyDescent="0.25">
      <c r="A114" s="8" t="s">
        <v>3786</v>
      </c>
    </row>
    <row r="115" spans="1:2" ht="15" customHeight="1" x14ac:dyDescent="0.2">
      <c r="A115" s="9" t="s">
        <v>1448</v>
      </c>
    </row>
    <row r="116" spans="1:2" ht="15" customHeight="1" x14ac:dyDescent="0.2">
      <c r="A116" s="9" t="s">
        <v>1449</v>
      </c>
    </row>
    <row r="117" spans="1:2" ht="15" customHeight="1" x14ac:dyDescent="0.2">
      <c r="A117" s="9" t="s">
        <v>1450</v>
      </c>
    </row>
    <row r="118" spans="1:2" ht="15" customHeight="1" x14ac:dyDescent="0.2">
      <c r="A118" s="9" t="s">
        <v>1451</v>
      </c>
    </row>
    <row r="120" spans="1:2" ht="15" customHeight="1" x14ac:dyDescent="0.2">
      <c r="A120" s="9" t="s">
        <v>98</v>
      </c>
    </row>
    <row r="122" spans="1:2" ht="15" customHeight="1" x14ac:dyDescent="0.2">
      <c r="A122" s="9" t="s">
        <v>1452</v>
      </c>
    </row>
    <row r="123" spans="1:2" ht="15" customHeight="1" x14ac:dyDescent="0.2">
      <c r="A123" s="9" t="s">
        <v>1453</v>
      </c>
    </row>
    <row r="124" spans="1:2" ht="15" customHeight="1" x14ac:dyDescent="0.2">
      <c r="A124" s="9" t="s">
        <v>3787</v>
      </c>
    </row>
    <row r="126" spans="1:2" ht="15" customHeight="1" x14ac:dyDescent="0.2">
      <c r="A126" s="25" t="s">
        <v>13</v>
      </c>
      <c r="B126" s="9">
        <v>0</v>
      </c>
    </row>
    <row r="127" spans="1:2" ht="15" customHeight="1" x14ac:dyDescent="0.25">
      <c r="A127" s="9" t="s">
        <v>3788</v>
      </c>
      <c r="B127" s="9">
        <v>2</v>
      </c>
    </row>
    <row r="128" spans="1:2" ht="15" customHeight="1" x14ac:dyDescent="0.25">
      <c r="A128" s="9" t="s">
        <v>3789</v>
      </c>
      <c r="B128" s="9">
        <v>3</v>
      </c>
    </row>
    <row r="129" spans="1:2" ht="15" customHeight="1" x14ac:dyDescent="0.25">
      <c r="A129" s="9" t="s">
        <v>3790</v>
      </c>
      <c r="B129" s="9">
        <v>3</v>
      </c>
    </row>
    <row r="130" spans="1:2" ht="15" customHeight="1" x14ac:dyDescent="0.25">
      <c r="A130" s="9" t="s">
        <v>3791</v>
      </c>
      <c r="B130" s="9">
        <v>6</v>
      </c>
    </row>
    <row r="131" spans="1:2" ht="15" customHeight="1" x14ac:dyDescent="0.25">
      <c r="A131" s="9" t="s">
        <v>3792</v>
      </c>
      <c r="B131" s="9">
        <v>4</v>
      </c>
    </row>
    <row r="132" spans="1:2" ht="15" customHeight="1" x14ac:dyDescent="0.25">
      <c r="A132" s="9" t="s">
        <v>3793</v>
      </c>
      <c r="B132" s="9">
        <v>3</v>
      </c>
    </row>
    <row r="134" spans="1:2" ht="15" customHeight="1" x14ac:dyDescent="0.2">
      <c r="A134" s="9" t="s">
        <v>3760</v>
      </c>
      <c r="B134" s="9">
        <f>B126+B129*B127+B130*B128</f>
        <v>24</v>
      </c>
    </row>
    <row r="136" spans="1:2" ht="15" customHeight="1" x14ac:dyDescent="0.25">
      <c r="A136" s="8" t="s">
        <v>3794</v>
      </c>
    </row>
    <row r="137" spans="1:2" ht="15" customHeight="1" x14ac:dyDescent="0.25">
      <c r="A137" s="8" t="s">
        <v>3795</v>
      </c>
    </row>
    <row r="138" spans="1:2" ht="15" customHeight="1" x14ac:dyDescent="0.2">
      <c r="A138" s="9" t="s">
        <v>1454</v>
      </c>
    </row>
    <row r="139" spans="1:2" ht="15" customHeight="1" x14ac:dyDescent="0.2">
      <c r="A139" s="9" t="s">
        <v>1455</v>
      </c>
    </row>
    <row r="140" spans="1:2" ht="15" customHeight="1" x14ac:dyDescent="0.2">
      <c r="A140" s="9" t="s">
        <v>1456</v>
      </c>
    </row>
    <row r="141" spans="1:2" ht="15" customHeight="1" x14ac:dyDescent="0.2">
      <c r="A141" s="9" t="s">
        <v>1457</v>
      </c>
    </row>
    <row r="143" spans="1:2" ht="15" customHeight="1" x14ac:dyDescent="0.2">
      <c r="A143" s="9" t="s">
        <v>110</v>
      </c>
    </row>
    <row r="145" spans="1:2" ht="15" customHeight="1" x14ac:dyDescent="0.2">
      <c r="A145" s="9" t="s">
        <v>3796</v>
      </c>
    </row>
    <row r="146" spans="1:2" ht="15" customHeight="1" x14ac:dyDescent="0.2">
      <c r="A146" s="9" t="s">
        <v>3797</v>
      </c>
    </row>
    <row r="147" spans="1:2" ht="15" customHeight="1" x14ac:dyDescent="0.2">
      <c r="A147" s="9" t="s">
        <v>3798</v>
      </c>
    </row>
    <row r="149" spans="1:2" ht="15" customHeight="1" x14ac:dyDescent="0.2">
      <c r="A149" s="25" t="s">
        <v>13</v>
      </c>
      <c r="B149" s="9">
        <v>0</v>
      </c>
    </row>
    <row r="150" spans="1:2" ht="15" customHeight="1" x14ac:dyDescent="0.25">
      <c r="A150" s="9" t="s">
        <v>3788</v>
      </c>
      <c r="B150" s="9">
        <v>2</v>
      </c>
    </row>
    <row r="151" spans="1:2" ht="15" customHeight="1" x14ac:dyDescent="0.25">
      <c r="A151" s="9" t="s">
        <v>3789</v>
      </c>
      <c r="B151" s="9">
        <v>3</v>
      </c>
    </row>
    <row r="152" spans="1:2" ht="15" customHeight="1" x14ac:dyDescent="0.25">
      <c r="A152" s="9" t="s">
        <v>3790</v>
      </c>
      <c r="B152" s="9">
        <v>3</v>
      </c>
    </row>
    <row r="153" spans="1:2" ht="15" customHeight="1" x14ac:dyDescent="0.25">
      <c r="A153" s="9" t="s">
        <v>3791</v>
      </c>
      <c r="B153" s="9">
        <v>6</v>
      </c>
    </row>
    <row r="154" spans="1:2" ht="15" customHeight="1" x14ac:dyDescent="0.25">
      <c r="A154" s="9" t="s">
        <v>3792</v>
      </c>
      <c r="B154" s="9">
        <v>4</v>
      </c>
    </row>
    <row r="155" spans="1:2" ht="15" customHeight="1" x14ac:dyDescent="0.25">
      <c r="A155" s="9" t="s">
        <v>3793</v>
      </c>
      <c r="B155" s="9">
        <v>3</v>
      </c>
    </row>
    <row r="157" spans="1:2" ht="15" customHeight="1" x14ac:dyDescent="0.2">
      <c r="A157" s="9" t="s">
        <v>3799</v>
      </c>
      <c r="B157" s="9">
        <f>B150*B154^2+B151*B155^2</f>
        <v>59</v>
      </c>
    </row>
    <row r="158" spans="1:2" ht="15" customHeight="1" x14ac:dyDescent="0.2">
      <c r="A158" s="9" t="s">
        <v>3800</v>
      </c>
      <c r="B158" s="51">
        <f>SQRT(B157)</f>
        <v>7.6811457478686078</v>
      </c>
    </row>
    <row r="159" spans="1:2" ht="15" customHeight="1" x14ac:dyDescent="0.2">
      <c r="B159" s="51"/>
    </row>
    <row r="160" spans="1:2" ht="15" customHeight="1" x14ac:dyDescent="0.25">
      <c r="A160" s="8" t="s">
        <v>3801</v>
      </c>
      <c r="B160" s="51"/>
    </row>
    <row r="161" spans="1:2" ht="15" customHeight="1" x14ac:dyDescent="0.2">
      <c r="A161" s="9" t="s">
        <v>3802</v>
      </c>
      <c r="B161" s="51"/>
    </row>
    <row r="162" spans="1:2" ht="15" customHeight="1" x14ac:dyDescent="0.2">
      <c r="A162" s="9" t="s">
        <v>3803</v>
      </c>
      <c r="B162" s="51"/>
    </row>
    <row r="163" spans="1:2" ht="15" customHeight="1" x14ac:dyDescent="0.2">
      <c r="A163" s="9" t="s">
        <v>3804</v>
      </c>
      <c r="B163" s="51"/>
    </row>
    <row r="164" spans="1:2" ht="15" customHeight="1" x14ac:dyDescent="0.2">
      <c r="A164" s="9" t="s">
        <v>3805</v>
      </c>
      <c r="B164" s="51"/>
    </row>
    <row r="165" spans="1:2" ht="15" customHeight="1" x14ac:dyDescent="0.2">
      <c r="B165" s="51"/>
    </row>
    <row r="166" spans="1:2" ht="15" customHeight="1" x14ac:dyDescent="0.2">
      <c r="A166" s="9" t="s">
        <v>88</v>
      </c>
      <c r="B166" s="51"/>
    </row>
    <row r="167" spans="1:2" ht="15" customHeight="1" x14ac:dyDescent="0.2">
      <c r="B167" s="51"/>
    </row>
    <row r="168" spans="1:2" ht="15" customHeight="1" x14ac:dyDescent="0.2">
      <c r="A168" s="9" t="s">
        <v>3806</v>
      </c>
      <c r="B168" s="51"/>
    </row>
    <row r="169" spans="1:2" ht="15" customHeight="1" x14ac:dyDescent="0.2">
      <c r="B169" s="51"/>
    </row>
    <row r="170" spans="1:2" ht="15" customHeight="1" x14ac:dyDescent="0.25">
      <c r="A170" s="8" t="s">
        <v>3807</v>
      </c>
      <c r="B170" s="51"/>
    </row>
    <row r="171" spans="1:2" ht="15" customHeight="1" x14ac:dyDescent="0.2">
      <c r="A171" s="9" t="s">
        <v>3808</v>
      </c>
      <c r="B171" s="51"/>
    </row>
    <row r="172" spans="1:2" ht="15" customHeight="1" x14ac:dyDescent="0.2">
      <c r="A172" s="9" t="s">
        <v>3809</v>
      </c>
      <c r="B172" s="51"/>
    </row>
    <row r="173" spans="1:2" ht="15" customHeight="1" x14ac:dyDescent="0.2">
      <c r="A173" s="9" t="s">
        <v>3810</v>
      </c>
      <c r="B173" s="51"/>
    </row>
    <row r="174" spans="1:2" ht="15" customHeight="1" x14ac:dyDescent="0.2">
      <c r="A174" s="9" t="s">
        <v>3811</v>
      </c>
      <c r="B174" s="51"/>
    </row>
    <row r="175" spans="1:2" ht="15" customHeight="1" x14ac:dyDescent="0.2">
      <c r="B175" s="51"/>
    </row>
    <row r="176" spans="1:2" ht="15" customHeight="1" x14ac:dyDescent="0.2">
      <c r="A176" s="9" t="s">
        <v>98</v>
      </c>
      <c r="B176" s="51"/>
    </row>
    <row r="177" spans="1:2" ht="15" customHeight="1" x14ac:dyDescent="0.2">
      <c r="B177" s="51"/>
    </row>
    <row r="178" spans="1:2" ht="15" customHeight="1" x14ac:dyDescent="0.2">
      <c r="A178" s="9" t="s">
        <v>3812</v>
      </c>
      <c r="B178" s="51"/>
    </row>
    <row r="179" spans="1:2" ht="15" customHeight="1" x14ac:dyDescent="0.2">
      <c r="B179" s="51"/>
    </row>
    <row r="180" spans="1:2" ht="15" customHeight="1" x14ac:dyDescent="0.25">
      <c r="A180" s="8" t="s">
        <v>3813</v>
      </c>
      <c r="B180" s="51"/>
    </row>
    <row r="181" spans="1:2" ht="15" customHeight="1" x14ac:dyDescent="0.2">
      <c r="A181" s="9" t="s">
        <v>3814</v>
      </c>
      <c r="B181" s="51"/>
    </row>
    <row r="182" spans="1:2" ht="15" customHeight="1" x14ac:dyDescent="0.2">
      <c r="A182" s="9" t="s">
        <v>3815</v>
      </c>
      <c r="B182" s="51"/>
    </row>
    <row r="183" spans="1:2" ht="15" customHeight="1" x14ac:dyDescent="0.2">
      <c r="A183" s="9" t="s">
        <v>3816</v>
      </c>
      <c r="B183" s="51"/>
    </row>
    <row r="184" spans="1:2" ht="15" customHeight="1" x14ac:dyDescent="0.2">
      <c r="A184" s="9" t="s">
        <v>3817</v>
      </c>
      <c r="B184" s="51"/>
    </row>
    <row r="185" spans="1:2" ht="15" customHeight="1" x14ac:dyDescent="0.2">
      <c r="B185" s="51"/>
    </row>
    <row r="186" spans="1:2" ht="15" customHeight="1" x14ac:dyDescent="0.2">
      <c r="A186" s="9" t="s">
        <v>110</v>
      </c>
      <c r="B186" s="51"/>
    </row>
    <row r="187" spans="1:2" ht="15" customHeight="1" x14ac:dyDescent="0.2">
      <c r="B187" s="51"/>
    </row>
    <row r="188" spans="1:2" ht="15" customHeight="1" x14ac:dyDescent="0.2">
      <c r="A188" s="9" t="s">
        <v>3818</v>
      </c>
      <c r="B188" s="51"/>
    </row>
    <row r="189" spans="1:2" ht="15" customHeight="1" x14ac:dyDescent="0.2">
      <c r="B189" s="51"/>
    </row>
    <row r="190" spans="1:2" ht="15" customHeight="1" x14ac:dyDescent="0.2">
      <c r="A190" s="8" t="s">
        <v>1458</v>
      </c>
      <c r="B190" s="51"/>
    </row>
    <row r="191" spans="1:2" ht="15" customHeight="1" x14ac:dyDescent="0.2">
      <c r="A191" s="9" t="s">
        <v>1459</v>
      </c>
      <c r="B191" s="51"/>
    </row>
    <row r="192" spans="1:2" ht="15" customHeight="1" x14ac:dyDescent="0.2">
      <c r="A192" s="9" t="s">
        <v>1460</v>
      </c>
      <c r="B192" s="51"/>
    </row>
    <row r="193" spans="1:2" ht="15" customHeight="1" x14ac:dyDescent="0.2">
      <c r="A193" s="9" t="s">
        <v>1461</v>
      </c>
      <c r="B193" s="51"/>
    </row>
    <row r="194" spans="1:2" ht="15" customHeight="1" x14ac:dyDescent="0.2">
      <c r="A194" s="9" t="s">
        <v>1462</v>
      </c>
      <c r="B194" s="51"/>
    </row>
    <row r="195" spans="1:2" ht="15" customHeight="1" x14ac:dyDescent="0.2">
      <c r="B195" s="51"/>
    </row>
    <row r="196" spans="1:2" ht="15" customHeight="1" x14ac:dyDescent="0.2">
      <c r="A196" s="9" t="s">
        <v>88</v>
      </c>
      <c r="B196" s="51"/>
    </row>
    <row r="197" spans="1:2" ht="15" customHeight="1" x14ac:dyDescent="0.2">
      <c r="B197" s="51"/>
    </row>
    <row r="198" spans="1:2" ht="15" customHeight="1" x14ac:dyDescent="0.2">
      <c r="A198" s="9" t="s">
        <v>1463</v>
      </c>
      <c r="B198" s="51"/>
    </row>
    <row r="199" spans="1:2" ht="15" customHeight="1" x14ac:dyDescent="0.2">
      <c r="B199" s="51"/>
    </row>
    <row r="200" spans="1:2" ht="15" customHeight="1" x14ac:dyDescent="0.2">
      <c r="A200" s="8" t="s">
        <v>1464</v>
      </c>
      <c r="B200" s="51"/>
    </row>
    <row r="201" spans="1:2" ht="15" customHeight="1" x14ac:dyDescent="0.2">
      <c r="A201" s="9" t="s">
        <v>3819</v>
      </c>
      <c r="B201" s="51"/>
    </row>
    <row r="202" spans="1:2" ht="15" customHeight="1" x14ac:dyDescent="0.2">
      <c r="A202" s="9" t="s">
        <v>3820</v>
      </c>
      <c r="B202" s="51"/>
    </row>
    <row r="203" spans="1:2" ht="15" customHeight="1" x14ac:dyDescent="0.2">
      <c r="A203" s="9" t="s">
        <v>3821</v>
      </c>
      <c r="B203" s="51"/>
    </row>
    <row r="204" spans="1:2" ht="15" customHeight="1" x14ac:dyDescent="0.2">
      <c r="A204" s="9" t="s">
        <v>1480</v>
      </c>
      <c r="B204" s="51"/>
    </row>
    <row r="205" spans="1:2" ht="15" customHeight="1" x14ac:dyDescent="0.2">
      <c r="B205" s="51"/>
    </row>
    <row r="206" spans="1:2" ht="15" customHeight="1" x14ac:dyDescent="0.2">
      <c r="A206" s="9" t="s">
        <v>98</v>
      </c>
      <c r="B206" s="51"/>
    </row>
    <row r="207" spans="1:2" ht="15" customHeight="1" x14ac:dyDescent="0.2">
      <c r="B207" s="51"/>
    </row>
    <row r="208" spans="1:2" ht="15" customHeight="1" x14ac:dyDescent="0.2">
      <c r="A208" s="9" t="s">
        <v>3822</v>
      </c>
      <c r="B208" s="51"/>
    </row>
    <row r="209" spans="1:2" ht="15" customHeight="1" x14ac:dyDescent="0.2">
      <c r="B209" s="51"/>
    </row>
    <row r="210" spans="1:2" ht="15" customHeight="1" x14ac:dyDescent="0.2">
      <c r="A210" s="8" t="s">
        <v>1465</v>
      </c>
      <c r="B210" s="51"/>
    </row>
    <row r="211" spans="1:2" ht="15" customHeight="1" x14ac:dyDescent="0.2">
      <c r="A211" s="8" t="s">
        <v>1466</v>
      </c>
      <c r="B211" s="51"/>
    </row>
    <row r="212" spans="1:2" ht="15" customHeight="1" x14ac:dyDescent="0.2">
      <c r="A212" s="9" t="s">
        <v>1467</v>
      </c>
      <c r="B212" s="51"/>
    </row>
    <row r="213" spans="1:2" ht="15" customHeight="1" x14ac:dyDescent="0.2">
      <c r="A213" s="9" t="s">
        <v>1468</v>
      </c>
      <c r="B213" s="51"/>
    </row>
    <row r="214" spans="1:2" ht="15" customHeight="1" x14ac:dyDescent="0.2">
      <c r="A214" s="9" t="s">
        <v>1469</v>
      </c>
      <c r="B214" s="51"/>
    </row>
    <row r="215" spans="1:2" ht="15" customHeight="1" x14ac:dyDescent="0.2">
      <c r="A215" s="9" t="s">
        <v>1470</v>
      </c>
      <c r="B215" s="51"/>
    </row>
    <row r="216" spans="1:2" ht="15" customHeight="1" x14ac:dyDescent="0.2">
      <c r="B216" s="51"/>
    </row>
    <row r="217" spans="1:2" ht="15" customHeight="1" x14ac:dyDescent="0.2">
      <c r="A217" s="9" t="s">
        <v>98</v>
      </c>
      <c r="B217" s="51"/>
    </row>
    <row r="218" spans="1:2" ht="15" customHeight="1" x14ac:dyDescent="0.2">
      <c r="B218" s="51"/>
    </row>
    <row r="219" spans="1:2" ht="15" customHeight="1" x14ac:dyDescent="0.2">
      <c r="A219" s="9" t="s">
        <v>1471</v>
      </c>
      <c r="B219" s="51"/>
    </row>
    <row r="221" spans="1:2" ht="15" customHeight="1" x14ac:dyDescent="0.2">
      <c r="A221" s="48" t="s">
        <v>1472</v>
      </c>
      <c r="B221" s="21">
        <v>0.12</v>
      </c>
    </row>
    <row r="222" spans="1:2" ht="15" customHeight="1" x14ac:dyDescent="0.2">
      <c r="A222" s="48" t="s">
        <v>190</v>
      </c>
      <c r="B222" s="21">
        <v>0.25</v>
      </c>
    </row>
    <row r="223" spans="1:2" ht="15" customHeight="1" x14ac:dyDescent="0.25">
      <c r="A223" s="9" t="s">
        <v>3638</v>
      </c>
      <c r="B223" s="12">
        <v>20</v>
      </c>
    </row>
    <row r="224" spans="1:2" ht="15" customHeight="1" x14ac:dyDescent="0.2">
      <c r="A224" s="25" t="s">
        <v>85</v>
      </c>
      <c r="B224" s="9">
        <v>365</v>
      </c>
    </row>
    <row r="226" spans="1:2" ht="15" customHeight="1" x14ac:dyDescent="0.2">
      <c r="A226" s="9" t="s">
        <v>3823</v>
      </c>
      <c r="B226" s="15">
        <f>B223*B222*SQRT(1/B224)</f>
        <v>0.26171196129510682</v>
      </c>
    </row>
    <row r="228" spans="1:2" ht="15" customHeight="1" x14ac:dyDescent="0.2">
      <c r="A228" s="8" t="s">
        <v>1473</v>
      </c>
    </row>
    <row r="229" spans="1:2" ht="15" customHeight="1" x14ac:dyDescent="0.2">
      <c r="A229" s="8" t="s">
        <v>1474</v>
      </c>
    </row>
    <row r="230" spans="1:2" ht="15" customHeight="1" x14ac:dyDescent="0.2">
      <c r="A230" s="9" t="s">
        <v>1475</v>
      </c>
    </row>
    <row r="231" spans="1:2" ht="15" customHeight="1" x14ac:dyDescent="0.2">
      <c r="A231" s="9" t="s">
        <v>1476</v>
      </c>
    </row>
    <row r="232" spans="1:2" ht="15" customHeight="1" x14ac:dyDescent="0.2">
      <c r="A232" s="9" t="s">
        <v>1477</v>
      </c>
    </row>
    <row r="233" spans="1:2" ht="15" customHeight="1" x14ac:dyDescent="0.2">
      <c r="A233" s="9" t="s">
        <v>1478</v>
      </c>
    </row>
    <row r="235" spans="1:2" ht="15" customHeight="1" x14ac:dyDescent="0.2">
      <c r="A235" s="9" t="s">
        <v>88</v>
      </c>
    </row>
    <row r="237" spans="1:2" ht="15" customHeight="1" x14ac:dyDescent="0.2">
      <c r="A237" s="9" t="s">
        <v>1479</v>
      </c>
    </row>
    <row r="238" spans="1:2" ht="15" customHeight="1" x14ac:dyDescent="0.2">
      <c r="A238" s="9" t="s">
        <v>3824</v>
      </c>
    </row>
    <row r="239" spans="1:2" ht="15" customHeight="1" x14ac:dyDescent="0.2">
      <c r="A239" s="9" t="s">
        <v>1481</v>
      </c>
    </row>
    <row r="241" spans="1:2" ht="15" customHeight="1" x14ac:dyDescent="0.2">
      <c r="A241" s="48" t="s">
        <v>1472</v>
      </c>
      <c r="B241" s="21">
        <v>0.12</v>
      </c>
    </row>
    <row r="242" spans="1:2" ht="15" customHeight="1" x14ac:dyDescent="0.2">
      <c r="A242" s="48" t="s">
        <v>190</v>
      </c>
      <c r="B242" s="21">
        <v>0.25</v>
      </c>
    </row>
    <row r="243" spans="1:2" ht="15" customHeight="1" x14ac:dyDescent="0.25">
      <c r="A243" s="9" t="s">
        <v>3638</v>
      </c>
      <c r="B243" s="12">
        <v>20</v>
      </c>
    </row>
    <row r="244" spans="1:2" ht="15" customHeight="1" x14ac:dyDescent="0.2">
      <c r="A244" s="25" t="s">
        <v>85</v>
      </c>
      <c r="B244" s="9">
        <v>365</v>
      </c>
    </row>
    <row r="245" spans="1:2" ht="15" customHeight="1" x14ac:dyDescent="0.2">
      <c r="A245" s="48" t="s">
        <v>127</v>
      </c>
      <c r="B245" s="20">
        <v>2.5000000000000001E-2</v>
      </c>
    </row>
    <row r="246" spans="1:2" ht="15" customHeight="1" x14ac:dyDescent="0.2">
      <c r="A246" s="48"/>
      <c r="B246" s="21"/>
    </row>
    <row r="247" spans="1:2" ht="15" customHeight="1" x14ac:dyDescent="0.2">
      <c r="A247" s="9" t="s">
        <v>3823</v>
      </c>
      <c r="B247" s="15">
        <f>B243*B242*SQRT(1/B244)</f>
        <v>0.26171196129510682</v>
      </c>
    </row>
    <row r="248" spans="1:2" ht="15" customHeight="1" x14ac:dyDescent="0.2">
      <c r="A248" s="9" t="s">
        <v>3825</v>
      </c>
      <c r="B248" s="18">
        <f>_xlfn.NORM.S.INV(1-B245)</f>
        <v>1.9599639845400536</v>
      </c>
    </row>
    <row r="249" spans="1:2" ht="15" customHeight="1" x14ac:dyDescent="0.2">
      <c r="A249" s="25" t="s">
        <v>55</v>
      </c>
      <c r="B249" s="15">
        <f>B243+B248*B247</f>
        <v>20.512946018461751</v>
      </c>
    </row>
    <row r="250" spans="1:2" ht="15" customHeight="1" x14ac:dyDescent="0.2">
      <c r="A250" s="25"/>
      <c r="B250" s="15"/>
    </row>
    <row r="251" spans="1:2" ht="15" customHeight="1" x14ac:dyDescent="0.2">
      <c r="A251" s="8" t="s">
        <v>1482</v>
      </c>
      <c r="B251" s="15"/>
    </row>
    <row r="252" spans="1:2" ht="15" customHeight="1" x14ac:dyDescent="0.2">
      <c r="A252" s="9" t="s">
        <v>3826</v>
      </c>
      <c r="B252" s="15"/>
    </row>
    <row r="253" spans="1:2" ht="15" customHeight="1" x14ac:dyDescent="0.2">
      <c r="A253" s="9" t="s">
        <v>3313</v>
      </c>
      <c r="B253" s="15"/>
    </row>
    <row r="254" spans="1:2" ht="15" customHeight="1" x14ac:dyDescent="0.2">
      <c r="A254" s="9" t="s">
        <v>1483</v>
      </c>
      <c r="B254" s="15"/>
    </row>
    <row r="255" spans="1:2" ht="15" customHeight="1" x14ac:dyDescent="0.2">
      <c r="A255" s="9" t="s">
        <v>3314</v>
      </c>
      <c r="B255" s="15"/>
    </row>
    <row r="256" spans="1:2" ht="15" customHeight="1" x14ac:dyDescent="0.2">
      <c r="B256" s="15"/>
    </row>
    <row r="257" spans="1:2" ht="15" customHeight="1" x14ac:dyDescent="0.2">
      <c r="A257" s="9" t="s">
        <v>110</v>
      </c>
      <c r="B257" s="15"/>
    </row>
    <row r="258" spans="1:2" ht="15" customHeight="1" x14ac:dyDescent="0.2">
      <c r="B258" s="15"/>
    </row>
    <row r="259" spans="1:2" ht="15" customHeight="1" x14ac:dyDescent="0.2">
      <c r="A259" s="9" t="s">
        <v>1484</v>
      </c>
      <c r="B259" s="15"/>
    </row>
    <row r="260" spans="1:2" ht="15" customHeight="1" x14ac:dyDescent="0.2">
      <c r="A260" s="25"/>
      <c r="B260" s="15"/>
    </row>
    <row r="261" spans="1:2" ht="15" customHeight="1" x14ac:dyDescent="0.25">
      <c r="A261" s="8" t="s">
        <v>3827</v>
      </c>
      <c r="B261" s="15"/>
    </row>
    <row r="262" spans="1:2" ht="15" customHeight="1" x14ac:dyDescent="0.25">
      <c r="A262" s="8" t="s">
        <v>3828</v>
      </c>
      <c r="B262" s="15"/>
    </row>
    <row r="263" spans="1:2" ht="15" customHeight="1" x14ac:dyDescent="0.2">
      <c r="A263" s="9" t="s">
        <v>3829</v>
      </c>
      <c r="B263" s="15"/>
    </row>
    <row r="264" spans="1:2" ht="15" customHeight="1" x14ac:dyDescent="0.2">
      <c r="A264" s="9" t="s">
        <v>3830</v>
      </c>
      <c r="B264" s="15"/>
    </row>
    <row r="265" spans="1:2" ht="15" customHeight="1" x14ac:dyDescent="0.2">
      <c r="A265" s="9" t="s">
        <v>3831</v>
      </c>
      <c r="B265" s="15"/>
    </row>
    <row r="266" spans="1:2" ht="15" customHeight="1" x14ac:dyDescent="0.2">
      <c r="A266" s="9" t="s">
        <v>3832</v>
      </c>
      <c r="B266" s="15"/>
    </row>
    <row r="267" spans="1:2" ht="15" customHeight="1" x14ac:dyDescent="0.2">
      <c r="B267" s="15"/>
    </row>
    <row r="268" spans="1:2" ht="15" customHeight="1" x14ac:dyDescent="0.2">
      <c r="A268" s="9" t="s">
        <v>80</v>
      </c>
      <c r="B268" s="15"/>
    </row>
    <row r="269" spans="1:2" ht="15" customHeight="1" x14ac:dyDescent="0.2">
      <c r="B269" s="15"/>
    </row>
    <row r="270" spans="1:2" ht="15" customHeight="1" x14ac:dyDescent="0.2">
      <c r="A270" s="9" t="s">
        <v>3833</v>
      </c>
      <c r="B270" s="15"/>
    </row>
    <row r="272" spans="1:2" ht="15" customHeight="1" x14ac:dyDescent="0.25">
      <c r="A272" s="8" t="s">
        <v>3834</v>
      </c>
    </row>
    <row r="273" spans="1:1" ht="15" customHeight="1" x14ac:dyDescent="0.25">
      <c r="A273" s="8" t="s">
        <v>3835</v>
      </c>
    </row>
    <row r="274" spans="1:1" ht="15" customHeight="1" x14ac:dyDescent="0.2">
      <c r="A274" s="9" t="s">
        <v>1485</v>
      </c>
    </row>
    <row r="275" spans="1:1" ht="15" customHeight="1" x14ac:dyDescent="0.2">
      <c r="A275" s="9" t="s">
        <v>1486</v>
      </c>
    </row>
    <row r="276" spans="1:1" ht="15" customHeight="1" x14ac:dyDescent="0.2">
      <c r="A276" s="9" t="s">
        <v>1487</v>
      </c>
    </row>
    <row r="277" spans="1:1" ht="15" customHeight="1" x14ac:dyDescent="0.2">
      <c r="A277" s="9" t="s">
        <v>1488</v>
      </c>
    </row>
    <row r="279" spans="1:1" ht="15" customHeight="1" x14ac:dyDescent="0.2">
      <c r="A279" s="9" t="s">
        <v>88</v>
      </c>
    </row>
    <row r="281" spans="1:1" ht="15" customHeight="1" x14ac:dyDescent="0.2">
      <c r="A281" s="9" t="s">
        <v>3836</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3">
    <tabColor rgb="FF536878"/>
    <pageSetUpPr fitToPage="1"/>
  </sheetPr>
  <dimension ref="A1:P261"/>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3.28515625" style="9" customWidth="1"/>
    <col min="2" max="2" width="11.5703125" style="9" customWidth="1"/>
    <col min="3" max="3" width="9.42578125" style="9" customWidth="1"/>
    <col min="4" max="4" width="9.7109375" style="9" customWidth="1"/>
    <col min="5" max="7" width="9.42578125" style="9" customWidth="1"/>
    <col min="8" max="16384" width="9.140625" style="9"/>
  </cols>
  <sheetData>
    <row r="1" spans="1:16" ht="15" customHeight="1" x14ac:dyDescent="0.2">
      <c r="A1" s="75" t="s">
        <v>1011</v>
      </c>
      <c r="B1" s="76"/>
      <c r="C1" s="76"/>
      <c r="D1" s="76"/>
      <c r="E1" s="76"/>
      <c r="F1" s="76"/>
      <c r="G1" s="76"/>
      <c r="H1" s="76"/>
      <c r="I1" s="76"/>
      <c r="J1" s="76"/>
      <c r="K1" s="76"/>
      <c r="L1" s="76"/>
      <c r="M1" s="76"/>
      <c r="N1" s="76"/>
      <c r="O1" s="76"/>
      <c r="P1" s="76"/>
    </row>
    <row r="3" spans="1:16" ht="15" customHeight="1" x14ac:dyDescent="0.2">
      <c r="A3" s="8" t="s">
        <v>1490</v>
      </c>
    </row>
    <row r="4" spans="1:16" ht="15" customHeight="1" x14ac:dyDescent="0.2">
      <c r="A4" s="26" t="s">
        <v>146</v>
      </c>
    </row>
    <row r="5" spans="1:16" ht="15" customHeight="1" x14ac:dyDescent="0.2">
      <c r="A5" s="26" t="s">
        <v>147</v>
      </c>
    </row>
    <row r="6" spans="1:16" ht="15" customHeight="1" x14ac:dyDescent="0.2">
      <c r="A6" s="26" t="s">
        <v>148</v>
      </c>
    </row>
    <row r="7" spans="1:16" ht="15" customHeight="1" x14ac:dyDescent="0.2">
      <c r="A7" s="9" t="s">
        <v>5</v>
      </c>
    </row>
    <row r="8" spans="1:16" ht="15" customHeight="1" x14ac:dyDescent="0.2">
      <c r="B8" s="49"/>
      <c r="C8" s="49"/>
    </row>
    <row r="9" spans="1:16" ht="15" customHeight="1" x14ac:dyDescent="0.2">
      <c r="A9" s="9" t="s">
        <v>88</v>
      </c>
      <c r="B9" s="15"/>
      <c r="C9" s="15"/>
    </row>
    <row r="11" spans="1:16" ht="15" customHeight="1" x14ac:dyDescent="0.2">
      <c r="A11" s="9" t="s">
        <v>1489</v>
      </c>
    </row>
    <row r="13" spans="1:16" ht="15" customHeight="1" x14ac:dyDescent="0.2">
      <c r="A13" s="8" t="s">
        <v>1491</v>
      </c>
    </row>
    <row r="14" spans="1:16" ht="15" customHeight="1" x14ac:dyDescent="0.2">
      <c r="A14" s="9" t="s">
        <v>149</v>
      </c>
      <c r="B14" s="15"/>
      <c r="C14" s="46"/>
      <c r="D14" s="16"/>
      <c r="E14" s="50"/>
      <c r="F14" s="16"/>
      <c r="G14" s="46"/>
      <c r="H14" s="15"/>
    </row>
    <row r="15" spans="1:16" ht="15" customHeight="1" x14ac:dyDescent="0.2">
      <c r="A15" s="9" t="s">
        <v>150</v>
      </c>
      <c r="B15" s="15"/>
    </row>
    <row r="16" spans="1:16" ht="15" customHeight="1" x14ac:dyDescent="0.2">
      <c r="A16" s="9" t="s">
        <v>151</v>
      </c>
      <c r="B16" s="15"/>
      <c r="C16" s="46"/>
      <c r="E16" s="50"/>
      <c r="F16" s="16"/>
      <c r="G16" s="46"/>
      <c r="H16" s="16"/>
    </row>
    <row r="17" spans="1:8" ht="15" customHeight="1" x14ac:dyDescent="0.2">
      <c r="A17" s="9" t="s">
        <v>152</v>
      </c>
      <c r="B17" s="15"/>
      <c r="C17" s="46"/>
      <c r="E17" s="50"/>
      <c r="F17" s="16"/>
      <c r="G17" s="46"/>
      <c r="H17" s="16"/>
    </row>
    <row r="18" spans="1:8" ht="15" customHeight="1" x14ac:dyDescent="0.2">
      <c r="B18" s="15"/>
      <c r="C18" s="46"/>
      <c r="E18" s="50"/>
      <c r="F18" s="16"/>
      <c r="G18" s="46"/>
      <c r="H18" s="16"/>
    </row>
    <row r="19" spans="1:8" ht="15" customHeight="1" x14ac:dyDescent="0.2">
      <c r="A19" s="9" t="s">
        <v>110</v>
      </c>
      <c r="B19" s="15"/>
      <c r="C19" s="46"/>
      <c r="E19" s="50"/>
      <c r="F19" s="16"/>
      <c r="G19" s="46"/>
      <c r="H19" s="16"/>
    </row>
    <row r="20" spans="1:8" ht="15" customHeight="1" x14ac:dyDescent="0.2">
      <c r="B20" s="15"/>
      <c r="C20" s="46"/>
      <c r="E20" s="50"/>
      <c r="F20" s="16"/>
      <c r="G20" s="46"/>
      <c r="H20" s="16"/>
    </row>
    <row r="21" spans="1:8" ht="15" customHeight="1" x14ac:dyDescent="0.2">
      <c r="A21" s="9" t="s">
        <v>3719</v>
      </c>
      <c r="B21" s="15"/>
      <c r="C21" s="46"/>
      <c r="E21" s="50"/>
      <c r="F21" s="16"/>
      <c r="G21" s="46"/>
      <c r="H21" s="16"/>
    </row>
    <row r="22" spans="1:8" ht="15" customHeight="1" x14ac:dyDescent="0.2">
      <c r="B22" s="15"/>
      <c r="C22" s="46"/>
      <c r="E22" s="50"/>
      <c r="F22" s="16"/>
      <c r="G22" s="46"/>
      <c r="H22" s="16"/>
    </row>
    <row r="23" spans="1:8" ht="15" customHeight="1" x14ac:dyDescent="0.2">
      <c r="A23" s="8" t="s">
        <v>1492</v>
      </c>
      <c r="B23" s="15"/>
      <c r="C23" s="46"/>
      <c r="E23" s="50"/>
      <c r="F23" s="16"/>
      <c r="G23" s="46"/>
      <c r="H23" s="16"/>
    </row>
    <row r="24" spans="1:8" ht="15" customHeight="1" x14ac:dyDescent="0.2">
      <c r="A24" s="26" t="s">
        <v>153</v>
      </c>
      <c r="B24" s="46"/>
      <c r="D24" s="50"/>
      <c r="E24" s="16"/>
      <c r="F24" s="46"/>
      <c r="G24" s="16"/>
    </row>
    <row r="25" spans="1:8" ht="15" customHeight="1" x14ac:dyDescent="0.2">
      <c r="A25" s="26" t="s">
        <v>154</v>
      </c>
      <c r="B25" s="46"/>
      <c r="D25" s="50"/>
      <c r="E25" s="16"/>
      <c r="F25" s="46"/>
      <c r="G25" s="16"/>
    </row>
    <row r="26" spans="1:8" ht="15" customHeight="1" x14ac:dyDescent="0.2">
      <c r="A26" s="26" t="s">
        <v>155</v>
      </c>
      <c r="B26" s="46"/>
      <c r="D26" s="50"/>
      <c r="E26" s="16"/>
      <c r="F26" s="46"/>
      <c r="G26" s="16"/>
    </row>
    <row r="27" spans="1:8" ht="15" customHeight="1" x14ac:dyDescent="0.2">
      <c r="A27" s="26" t="s">
        <v>156</v>
      </c>
      <c r="B27" s="46"/>
      <c r="D27" s="50"/>
      <c r="E27" s="16"/>
      <c r="F27" s="46"/>
      <c r="G27" s="16"/>
    </row>
    <row r="29" spans="1:8" ht="15" customHeight="1" x14ac:dyDescent="0.2">
      <c r="A29" s="9" t="s">
        <v>80</v>
      </c>
      <c r="B29" s="15"/>
    </row>
    <row r="30" spans="1:8" ht="15" customHeight="1" x14ac:dyDescent="0.2">
      <c r="B30" s="15"/>
    </row>
    <row r="31" spans="1:8" ht="15" customHeight="1" x14ac:dyDescent="0.2">
      <c r="A31" s="9" t="s">
        <v>3720</v>
      </c>
      <c r="B31" s="15"/>
    </row>
    <row r="32" spans="1:8" ht="15" customHeight="1" x14ac:dyDescent="0.2">
      <c r="A32" s="9" t="s">
        <v>3721</v>
      </c>
      <c r="B32" s="15"/>
    </row>
    <row r="34" spans="1:2" ht="15" customHeight="1" x14ac:dyDescent="0.2">
      <c r="A34" s="8" t="s">
        <v>1493</v>
      </c>
    </row>
    <row r="35" spans="1:2" ht="15" customHeight="1" x14ac:dyDescent="0.2">
      <c r="A35" s="29" t="s">
        <v>157</v>
      </c>
    </row>
    <row r="36" spans="1:2" ht="15" customHeight="1" x14ac:dyDescent="0.2">
      <c r="A36" s="29" t="s">
        <v>158</v>
      </c>
    </row>
    <row r="37" spans="1:2" ht="15" customHeight="1" x14ac:dyDescent="0.2">
      <c r="A37" s="29" t="s">
        <v>159</v>
      </c>
    </row>
    <row r="38" spans="1:2" ht="15" customHeight="1" x14ac:dyDescent="0.2">
      <c r="A38" s="29" t="s">
        <v>160</v>
      </c>
    </row>
    <row r="39" spans="1:2" ht="15" customHeight="1" x14ac:dyDescent="0.2">
      <c r="A39" s="29"/>
    </row>
    <row r="40" spans="1:2" ht="15" customHeight="1" x14ac:dyDescent="0.2">
      <c r="A40" s="29" t="s">
        <v>88</v>
      </c>
    </row>
    <row r="41" spans="1:2" ht="15" customHeight="1" x14ac:dyDescent="0.2">
      <c r="A41" s="29"/>
    </row>
    <row r="42" spans="1:2" ht="15" customHeight="1" x14ac:dyDescent="0.2">
      <c r="A42" s="9" t="s">
        <v>1499</v>
      </c>
    </row>
    <row r="43" spans="1:2" ht="15" customHeight="1" x14ac:dyDescent="0.2">
      <c r="A43" s="8"/>
    </row>
    <row r="44" spans="1:2" ht="15" customHeight="1" x14ac:dyDescent="0.25">
      <c r="A44" s="25" t="s">
        <v>3451</v>
      </c>
      <c r="B44" s="12">
        <v>100</v>
      </c>
    </row>
    <row r="45" spans="1:2" ht="15" customHeight="1" x14ac:dyDescent="0.2">
      <c r="A45" s="25" t="s">
        <v>190</v>
      </c>
      <c r="B45" s="21">
        <v>0.2</v>
      </c>
    </row>
    <row r="46" spans="1:2" ht="15" customHeight="1" x14ac:dyDescent="0.2">
      <c r="A46" s="25" t="s">
        <v>83</v>
      </c>
      <c r="B46" s="16">
        <f>1/52</f>
        <v>1.9230769230769232E-2</v>
      </c>
    </row>
    <row r="48" spans="1:2" ht="15" customHeight="1" x14ac:dyDescent="0.2">
      <c r="A48" s="25" t="s">
        <v>3722</v>
      </c>
      <c r="B48" s="15">
        <f>B44*B45*SQRT(B46)</f>
        <v>2.773500981126146</v>
      </c>
    </row>
    <row r="50" spans="1:1" ht="15" customHeight="1" x14ac:dyDescent="0.25">
      <c r="A50" s="8" t="s">
        <v>3723</v>
      </c>
    </row>
    <row r="51" spans="1:1" ht="15" customHeight="1" x14ac:dyDescent="0.25">
      <c r="A51" s="26" t="s">
        <v>3724</v>
      </c>
    </row>
    <row r="52" spans="1:1" ht="15" customHeight="1" x14ac:dyDescent="0.25">
      <c r="A52" s="26" t="s">
        <v>3725</v>
      </c>
    </row>
    <row r="53" spans="1:1" ht="15" customHeight="1" x14ac:dyDescent="0.25">
      <c r="A53" s="26" t="s">
        <v>3726</v>
      </c>
    </row>
    <row r="54" spans="1:1" ht="15" customHeight="1" x14ac:dyDescent="0.25">
      <c r="A54" s="26" t="s">
        <v>3727</v>
      </c>
    </row>
    <row r="56" spans="1:1" ht="15" customHeight="1" x14ac:dyDescent="0.2">
      <c r="A56" s="9" t="s">
        <v>88</v>
      </c>
    </row>
    <row r="58" spans="1:1" ht="15" customHeight="1" x14ac:dyDescent="0.25">
      <c r="A58" s="9" t="s">
        <v>3728</v>
      </c>
    </row>
    <row r="60" spans="1:1" ht="15" customHeight="1" x14ac:dyDescent="0.2">
      <c r="A60" s="8" t="s">
        <v>1494</v>
      </c>
    </row>
    <row r="61" spans="1:1" ht="15" customHeight="1" x14ac:dyDescent="0.2">
      <c r="A61" s="26" t="s">
        <v>3729</v>
      </c>
    </row>
    <row r="62" spans="1:1" ht="15" customHeight="1" x14ac:dyDescent="0.2">
      <c r="A62" s="26" t="s">
        <v>1500</v>
      </c>
    </row>
    <row r="63" spans="1:1" ht="15" customHeight="1" x14ac:dyDescent="0.2">
      <c r="A63" s="26" t="s">
        <v>3730</v>
      </c>
    </row>
    <row r="64" spans="1:1" ht="15" customHeight="1" x14ac:dyDescent="0.2">
      <c r="A64" s="26" t="s">
        <v>5</v>
      </c>
    </row>
    <row r="66" spans="1:1" ht="15" customHeight="1" x14ac:dyDescent="0.2">
      <c r="A66" s="9" t="s">
        <v>110</v>
      </c>
    </row>
    <row r="68" spans="1:1" ht="15" customHeight="1" x14ac:dyDescent="0.2">
      <c r="A68" s="9" t="s">
        <v>1501</v>
      </c>
    </row>
    <row r="70" spans="1:1" ht="15" customHeight="1" x14ac:dyDescent="0.2">
      <c r="A70" s="8" t="s">
        <v>1495</v>
      </c>
    </row>
    <row r="71" spans="1:1" ht="15" customHeight="1" x14ac:dyDescent="0.2">
      <c r="A71" s="26" t="s">
        <v>161</v>
      </c>
    </row>
    <row r="72" spans="1:1" ht="15" customHeight="1" x14ac:dyDescent="0.2">
      <c r="A72" s="26" t="s">
        <v>162</v>
      </c>
    </row>
    <row r="73" spans="1:1" ht="15" customHeight="1" x14ac:dyDescent="0.2">
      <c r="A73" s="26" t="s">
        <v>163</v>
      </c>
    </row>
    <row r="74" spans="1:1" ht="15" customHeight="1" x14ac:dyDescent="0.2">
      <c r="A74" s="26" t="s">
        <v>164</v>
      </c>
    </row>
    <row r="76" spans="1:1" ht="15" customHeight="1" x14ac:dyDescent="0.2">
      <c r="A76" s="9" t="s">
        <v>88</v>
      </c>
    </row>
    <row r="78" spans="1:1" ht="15" customHeight="1" x14ac:dyDescent="0.2">
      <c r="A78" s="9" t="s">
        <v>1502</v>
      </c>
    </row>
    <row r="80" spans="1:1" ht="15" customHeight="1" x14ac:dyDescent="0.2">
      <c r="A80" s="8" t="s">
        <v>1496</v>
      </c>
    </row>
    <row r="81" spans="1:1" ht="15" customHeight="1" x14ac:dyDescent="0.2">
      <c r="A81" s="26" t="s">
        <v>4017</v>
      </c>
    </row>
    <row r="82" spans="1:1" ht="15" customHeight="1" x14ac:dyDescent="0.2">
      <c r="A82" s="26" t="s">
        <v>3731</v>
      </c>
    </row>
    <row r="83" spans="1:1" ht="15" customHeight="1" x14ac:dyDescent="0.2">
      <c r="A83" s="26" t="s">
        <v>3732</v>
      </c>
    </row>
    <row r="84" spans="1:1" ht="15" customHeight="1" x14ac:dyDescent="0.2">
      <c r="A84" s="26" t="s">
        <v>3733</v>
      </c>
    </row>
    <row r="86" spans="1:1" ht="15" customHeight="1" x14ac:dyDescent="0.2">
      <c r="A86" s="9" t="s">
        <v>98</v>
      </c>
    </row>
    <row r="88" spans="1:1" ht="15" customHeight="1" x14ac:dyDescent="0.2">
      <c r="A88" s="9" t="s">
        <v>1503</v>
      </c>
    </row>
    <row r="89" spans="1:1" ht="15" customHeight="1" x14ac:dyDescent="0.2">
      <c r="A89" s="9" t="s">
        <v>1504</v>
      </c>
    </row>
    <row r="91" spans="1:1" ht="15" customHeight="1" x14ac:dyDescent="0.2">
      <c r="A91" s="8" t="s">
        <v>1497</v>
      </c>
    </row>
    <row r="92" spans="1:1" ht="15" customHeight="1" x14ac:dyDescent="0.2">
      <c r="A92" s="26" t="s">
        <v>3734</v>
      </c>
    </row>
    <row r="93" spans="1:1" ht="15" customHeight="1" x14ac:dyDescent="0.2">
      <c r="A93" s="26" t="s">
        <v>3735</v>
      </c>
    </row>
    <row r="94" spans="1:1" ht="15" customHeight="1" x14ac:dyDescent="0.2">
      <c r="A94" s="26" t="s">
        <v>3736</v>
      </c>
    </row>
    <row r="95" spans="1:1" ht="15" customHeight="1" x14ac:dyDescent="0.2">
      <c r="A95" s="26" t="s">
        <v>1505</v>
      </c>
    </row>
    <row r="97" spans="1:1" ht="15" customHeight="1" x14ac:dyDescent="0.2">
      <c r="A97" s="9" t="s">
        <v>110</v>
      </c>
    </row>
    <row r="99" spans="1:1" ht="15" customHeight="1" x14ac:dyDescent="0.2">
      <c r="A99" s="9" t="s">
        <v>1506</v>
      </c>
    </row>
    <row r="101" spans="1:1" ht="15" customHeight="1" x14ac:dyDescent="0.2">
      <c r="A101" s="8" t="s">
        <v>1498</v>
      </c>
    </row>
    <row r="102" spans="1:1" ht="15" customHeight="1" x14ac:dyDescent="0.2">
      <c r="A102" s="26" t="s">
        <v>1514</v>
      </c>
    </row>
    <row r="103" spans="1:1" ht="15" customHeight="1" x14ac:dyDescent="0.2">
      <c r="A103" s="26" t="s">
        <v>1515</v>
      </c>
    </row>
    <row r="104" spans="1:1" ht="15" customHeight="1" x14ac:dyDescent="0.2">
      <c r="A104" s="26" t="s">
        <v>1516</v>
      </c>
    </row>
    <row r="105" spans="1:1" ht="15" customHeight="1" x14ac:dyDescent="0.2">
      <c r="A105" s="26" t="s">
        <v>165</v>
      </c>
    </row>
    <row r="107" spans="1:1" ht="15" customHeight="1" x14ac:dyDescent="0.2">
      <c r="A107" s="9" t="s">
        <v>98</v>
      </c>
    </row>
    <row r="109" spans="1:1" ht="15" customHeight="1" x14ac:dyDescent="0.2">
      <c r="A109" s="9" t="s">
        <v>1507</v>
      </c>
    </row>
    <row r="111" spans="1:1" ht="15" customHeight="1" x14ac:dyDescent="0.2">
      <c r="A111" s="8" t="s">
        <v>1508</v>
      </c>
    </row>
    <row r="112" spans="1:1" ht="15" customHeight="1" x14ac:dyDescent="0.2">
      <c r="A112" s="9" t="s">
        <v>1509</v>
      </c>
    </row>
    <row r="113" spans="1:1" ht="15" customHeight="1" x14ac:dyDescent="0.2">
      <c r="A113" s="9" t="s">
        <v>1510</v>
      </c>
    </row>
    <row r="114" spans="1:1" ht="15" customHeight="1" x14ac:dyDescent="0.2">
      <c r="A114" s="9" t="s">
        <v>1511</v>
      </c>
    </row>
    <row r="115" spans="1:1" ht="15" customHeight="1" x14ac:dyDescent="0.2">
      <c r="A115" s="9" t="s">
        <v>1512</v>
      </c>
    </row>
    <row r="117" spans="1:1" ht="15" customHeight="1" x14ac:dyDescent="0.2">
      <c r="A117" s="9" t="s">
        <v>80</v>
      </c>
    </row>
    <row r="119" spans="1:1" ht="15" customHeight="1" x14ac:dyDescent="0.2">
      <c r="A119" s="9" t="s">
        <v>1513</v>
      </c>
    </row>
    <row r="121" spans="1:1" ht="15" customHeight="1" x14ac:dyDescent="0.2">
      <c r="A121" s="8" t="s">
        <v>1517</v>
      </c>
    </row>
    <row r="122" spans="1:1" ht="15" customHeight="1" x14ac:dyDescent="0.2">
      <c r="A122" s="9" t="s">
        <v>1518</v>
      </c>
    </row>
    <row r="123" spans="1:1" ht="15" customHeight="1" x14ac:dyDescent="0.2">
      <c r="A123" s="9" t="s">
        <v>1519</v>
      </c>
    </row>
    <row r="124" spans="1:1" ht="15" customHeight="1" x14ac:dyDescent="0.2">
      <c r="A124" s="9" t="s">
        <v>1520</v>
      </c>
    </row>
    <row r="125" spans="1:1" ht="15" customHeight="1" x14ac:dyDescent="0.2">
      <c r="A125" s="9" t="s">
        <v>1521</v>
      </c>
    </row>
    <row r="127" spans="1:1" ht="15" customHeight="1" x14ac:dyDescent="0.2">
      <c r="A127" s="9" t="s">
        <v>88</v>
      </c>
    </row>
    <row r="129" spans="1:2" ht="15" customHeight="1" x14ac:dyDescent="0.2">
      <c r="A129" s="9" t="s">
        <v>3737</v>
      </c>
    </row>
    <row r="131" spans="1:2" ht="15" customHeight="1" x14ac:dyDescent="0.2">
      <c r="A131" s="25" t="s">
        <v>1472</v>
      </c>
      <c r="B131" s="21">
        <v>0.1</v>
      </c>
    </row>
    <row r="132" spans="1:2" ht="15" customHeight="1" x14ac:dyDescent="0.2">
      <c r="A132" s="25" t="s">
        <v>190</v>
      </c>
      <c r="B132" s="21">
        <v>0.2</v>
      </c>
    </row>
    <row r="134" spans="1:2" ht="15" customHeight="1" x14ac:dyDescent="0.2">
      <c r="A134" s="25" t="s">
        <v>3738</v>
      </c>
      <c r="B134" s="21">
        <f>B131-B132^2/2</f>
        <v>0.08</v>
      </c>
    </row>
    <row r="136" spans="1:2" ht="15" customHeight="1" x14ac:dyDescent="0.2">
      <c r="A136" s="8" t="s">
        <v>1522</v>
      </c>
    </row>
    <row r="137" spans="1:2" ht="15" customHeight="1" x14ac:dyDescent="0.2">
      <c r="A137" s="9" t="s">
        <v>1523</v>
      </c>
    </row>
    <row r="138" spans="1:2" ht="15" customHeight="1" x14ac:dyDescent="0.2">
      <c r="A138" s="9" t="s">
        <v>1524</v>
      </c>
    </row>
    <row r="139" spans="1:2" ht="15" customHeight="1" x14ac:dyDescent="0.2">
      <c r="A139" s="9" t="s">
        <v>1525</v>
      </c>
    </row>
    <row r="140" spans="1:2" ht="15" customHeight="1" x14ac:dyDescent="0.2">
      <c r="A140" s="9" t="s">
        <v>1526</v>
      </c>
    </row>
    <row r="142" spans="1:2" ht="15" customHeight="1" x14ac:dyDescent="0.2">
      <c r="A142" s="9" t="s">
        <v>110</v>
      </c>
    </row>
    <row r="144" spans="1:2" ht="15" customHeight="1" x14ac:dyDescent="0.2">
      <c r="A144" s="9" t="s">
        <v>1528</v>
      </c>
    </row>
    <row r="146" spans="1:2" ht="15" customHeight="1" x14ac:dyDescent="0.2">
      <c r="A146" s="9" t="s">
        <v>1527</v>
      </c>
    </row>
    <row r="148" spans="1:2" ht="15" customHeight="1" x14ac:dyDescent="0.25">
      <c r="A148" s="9" t="s">
        <v>3739</v>
      </c>
      <c r="B148" s="9">
        <v>1.02</v>
      </c>
    </row>
    <row r="149" spans="1:2" ht="15" customHeight="1" x14ac:dyDescent="0.25">
      <c r="A149" s="9" t="s">
        <v>3740</v>
      </c>
      <c r="B149" s="9">
        <v>1.1200000000000001</v>
      </c>
    </row>
    <row r="150" spans="1:2" ht="15" customHeight="1" x14ac:dyDescent="0.25">
      <c r="A150" s="9" t="s">
        <v>3741</v>
      </c>
      <c r="B150" s="9">
        <v>0.9</v>
      </c>
    </row>
    <row r="152" spans="1:2" ht="15" customHeight="1" x14ac:dyDescent="0.2">
      <c r="A152" s="9" t="s">
        <v>1529</v>
      </c>
      <c r="B152" s="9">
        <f>B148*B149*B150</f>
        <v>1.0281600000000002</v>
      </c>
    </row>
    <row r="153" spans="1:2" ht="15" customHeight="1" x14ac:dyDescent="0.2">
      <c r="A153" s="25" t="s">
        <v>100</v>
      </c>
      <c r="B153" s="1">
        <f>B152^(1/3)-1</f>
        <v>9.2999102252337984E-3</v>
      </c>
    </row>
    <row r="155" spans="1:2" ht="15" customHeight="1" x14ac:dyDescent="0.2">
      <c r="A155" s="8" t="s">
        <v>1530</v>
      </c>
    </row>
    <row r="156" spans="1:2" ht="15" customHeight="1" x14ac:dyDescent="0.2">
      <c r="A156" s="9" t="s">
        <v>1531</v>
      </c>
    </row>
    <row r="157" spans="1:2" ht="15" customHeight="1" x14ac:dyDescent="0.2">
      <c r="A157" s="9" t="s">
        <v>1532</v>
      </c>
    </row>
    <row r="158" spans="1:2" ht="15" customHeight="1" x14ac:dyDescent="0.2">
      <c r="A158" s="9" t="s">
        <v>1533</v>
      </c>
    </row>
    <row r="159" spans="1:2" ht="15" customHeight="1" x14ac:dyDescent="0.2">
      <c r="A159" s="9" t="s">
        <v>1534</v>
      </c>
    </row>
    <row r="161" spans="1:1" ht="15" customHeight="1" x14ac:dyDescent="0.2">
      <c r="A161" s="9" t="s">
        <v>80</v>
      </c>
    </row>
    <row r="163" spans="1:1" ht="15" customHeight="1" x14ac:dyDescent="0.2">
      <c r="A163" s="9" t="s">
        <v>1535</v>
      </c>
    </row>
    <row r="164" spans="1:1" ht="15" customHeight="1" x14ac:dyDescent="0.2">
      <c r="A164" s="9" t="s">
        <v>1536</v>
      </c>
    </row>
    <row r="166" spans="1:1" ht="15" customHeight="1" x14ac:dyDescent="0.25">
      <c r="A166" s="8" t="s">
        <v>3742</v>
      </c>
    </row>
    <row r="167" spans="1:1" ht="15" customHeight="1" x14ac:dyDescent="0.2">
      <c r="A167" s="9" t="s">
        <v>1537</v>
      </c>
    </row>
    <row r="168" spans="1:1" ht="15" customHeight="1" x14ac:dyDescent="0.2">
      <c r="A168" s="9" t="s">
        <v>1538</v>
      </c>
    </row>
    <row r="169" spans="1:1" ht="15" customHeight="1" x14ac:dyDescent="0.2">
      <c r="A169" s="9" t="s">
        <v>1539</v>
      </c>
    </row>
    <row r="170" spans="1:1" ht="15" customHeight="1" x14ac:dyDescent="0.2">
      <c r="A170" s="9" t="s">
        <v>1540</v>
      </c>
    </row>
    <row r="172" spans="1:1" ht="15" customHeight="1" x14ac:dyDescent="0.2">
      <c r="A172" s="9" t="s">
        <v>110</v>
      </c>
    </row>
    <row r="174" spans="1:1" ht="15" customHeight="1" x14ac:dyDescent="0.2">
      <c r="A174" s="9" t="s">
        <v>1541</v>
      </c>
    </row>
    <row r="176" spans="1:1" ht="15" customHeight="1" x14ac:dyDescent="0.2">
      <c r="A176" s="8" t="s">
        <v>1542</v>
      </c>
    </row>
    <row r="177" spans="1:1" ht="15" customHeight="1" x14ac:dyDescent="0.2">
      <c r="A177" s="9" t="s">
        <v>1543</v>
      </c>
    </row>
    <row r="178" spans="1:1" ht="15" customHeight="1" x14ac:dyDescent="0.2">
      <c r="A178" s="9" t="s">
        <v>1544</v>
      </c>
    </row>
    <row r="179" spans="1:1" ht="15" customHeight="1" x14ac:dyDescent="0.2">
      <c r="A179" s="9" t="s">
        <v>1545</v>
      </c>
    </row>
    <row r="180" spans="1:1" ht="15" customHeight="1" x14ac:dyDescent="0.2">
      <c r="A180" s="9" t="s">
        <v>1546</v>
      </c>
    </row>
    <row r="182" spans="1:1" ht="15" customHeight="1" x14ac:dyDescent="0.2">
      <c r="A182" s="9" t="s">
        <v>110</v>
      </c>
    </row>
    <row r="184" spans="1:1" ht="15" customHeight="1" x14ac:dyDescent="0.2">
      <c r="A184" s="9" t="s">
        <v>1547</v>
      </c>
    </row>
    <row r="186" spans="1:1" ht="15" customHeight="1" x14ac:dyDescent="0.2">
      <c r="A186" s="8" t="s">
        <v>1548</v>
      </c>
    </row>
    <row r="187" spans="1:1" ht="15" customHeight="1" x14ac:dyDescent="0.2">
      <c r="A187" s="9" t="s">
        <v>3743</v>
      </c>
    </row>
    <row r="188" spans="1:1" ht="15" customHeight="1" x14ac:dyDescent="0.2">
      <c r="A188" s="9" t="s">
        <v>3744</v>
      </c>
    </row>
    <row r="189" spans="1:1" ht="15" customHeight="1" x14ac:dyDescent="0.2">
      <c r="A189" s="9" t="s">
        <v>3745</v>
      </c>
    </row>
    <row r="190" spans="1:1" ht="15" customHeight="1" x14ac:dyDescent="0.2">
      <c r="A190" s="9" t="s">
        <v>3746</v>
      </c>
    </row>
    <row r="192" spans="1:1" ht="15" customHeight="1" x14ac:dyDescent="0.2">
      <c r="A192" s="9" t="s">
        <v>88</v>
      </c>
    </row>
    <row r="194" spans="1:2" ht="15" customHeight="1" x14ac:dyDescent="0.2">
      <c r="A194" s="9" t="s">
        <v>3711</v>
      </c>
    </row>
    <row r="196" spans="1:2" ht="15" customHeight="1" x14ac:dyDescent="0.25">
      <c r="A196" s="9" t="s">
        <v>3747</v>
      </c>
    </row>
    <row r="198" spans="1:2" ht="15" customHeight="1" x14ac:dyDescent="0.25">
      <c r="A198" s="9" t="s">
        <v>3638</v>
      </c>
      <c r="B198" s="12">
        <v>20</v>
      </c>
    </row>
    <row r="199" spans="1:2" ht="15" customHeight="1" x14ac:dyDescent="0.2">
      <c r="A199" s="25" t="s">
        <v>82</v>
      </c>
      <c r="B199" s="12">
        <v>20</v>
      </c>
    </row>
    <row r="200" spans="1:2" ht="15" customHeight="1" x14ac:dyDescent="0.2">
      <c r="A200" s="25" t="s">
        <v>99</v>
      </c>
      <c r="B200" s="21">
        <v>0.06</v>
      </c>
    </row>
    <row r="201" spans="1:2" ht="15" customHeight="1" x14ac:dyDescent="0.2">
      <c r="A201" s="25" t="s">
        <v>190</v>
      </c>
      <c r="B201" s="21">
        <v>0.2</v>
      </c>
    </row>
    <row r="202" spans="1:2" ht="15" customHeight="1" x14ac:dyDescent="0.2">
      <c r="A202" s="25" t="s">
        <v>83</v>
      </c>
      <c r="B202" s="9">
        <f>3/12</f>
        <v>0.25</v>
      </c>
    </row>
    <row r="204" spans="1:2" ht="15" customHeight="1" x14ac:dyDescent="0.2">
      <c r="A204" s="25" t="s">
        <v>3674</v>
      </c>
      <c r="B204" s="13">
        <f>B199*EXP(-B200*B202)</f>
        <v>19.702238792061252</v>
      </c>
    </row>
    <row r="205" spans="1:2" ht="15" customHeight="1" x14ac:dyDescent="0.25">
      <c r="A205" s="25" t="s">
        <v>3639</v>
      </c>
      <c r="B205" s="9">
        <f>(LN(B198/B199)+(B200+B201^2/2)*B202)/(B201*SQRT(B202))</f>
        <v>0.19999999999999998</v>
      </c>
    </row>
    <row r="206" spans="1:2" ht="15" customHeight="1" x14ac:dyDescent="0.25">
      <c r="A206" s="25" t="s">
        <v>3675</v>
      </c>
      <c r="B206" s="9">
        <f>B205-B201*SQRT(B202)</f>
        <v>9.9999999999999978E-2</v>
      </c>
    </row>
    <row r="208" spans="1:2" ht="15" customHeight="1" x14ac:dyDescent="0.2">
      <c r="A208" s="8" t="s">
        <v>1549</v>
      </c>
    </row>
    <row r="209" spans="1:2" ht="15" customHeight="1" x14ac:dyDescent="0.2">
      <c r="A209" s="9" t="s">
        <v>3748</v>
      </c>
    </row>
    <row r="210" spans="1:2" ht="15" customHeight="1" x14ac:dyDescent="0.2">
      <c r="A210" s="9" t="s">
        <v>3749</v>
      </c>
    </row>
    <row r="211" spans="1:2" ht="15" customHeight="1" x14ac:dyDescent="0.2">
      <c r="A211" s="9" t="s">
        <v>3750</v>
      </c>
    </row>
    <row r="212" spans="1:2" ht="15" customHeight="1" x14ac:dyDescent="0.2">
      <c r="A212" s="9" t="s">
        <v>3751</v>
      </c>
    </row>
    <row r="214" spans="1:2" ht="15" customHeight="1" x14ac:dyDescent="0.2">
      <c r="A214" s="9" t="s">
        <v>80</v>
      </c>
    </row>
    <row r="216" spans="1:2" ht="15" customHeight="1" x14ac:dyDescent="0.2">
      <c r="A216" s="9" t="s">
        <v>3718</v>
      </c>
    </row>
    <row r="218" spans="1:2" ht="15" customHeight="1" x14ac:dyDescent="0.25">
      <c r="A218" s="9" t="s">
        <v>3752</v>
      </c>
    </row>
    <row r="220" spans="1:2" ht="15" customHeight="1" x14ac:dyDescent="0.25">
      <c r="A220" s="9" t="s">
        <v>3638</v>
      </c>
      <c r="B220" s="12">
        <v>20</v>
      </c>
    </row>
    <row r="221" spans="1:2" ht="15" customHeight="1" x14ac:dyDescent="0.2">
      <c r="A221" s="25" t="s">
        <v>82</v>
      </c>
      <c r="B221" s="12">
        <v>20</v>
      </c>
    </row>
    <row r="222" spans="1:2" ht="15" customHeight="1" x14ac:dyDescent="0.2">
      <c r="A222" s="25" t="s">
        <v>99</v>
      </c>
      <c r="B222" s="21">
        <v>0.06</v>
      </c>
    </row>
    <row r="223" spans="1:2" ht="15" customHeight="1" x14ac:dyDescent="0.2">
      <c r="A223" s="25" t="s">
        <v>190</v>
      </c>
      <c r="B223" s="21">
        <v>0.2</v>
      </c>
    </row>
    <row r="224" spans="1:2" ht="15" customHeight="1" x14ac:dyDescent="0.2">
      <c r="A224" s="25" t="s">
        <v>83</v>
      </c>
      <c r="B224" s="9">
        <f>3/12</f>
        <v>0.25</v>
      </c>
    </row>
    <row r="226" spans="1:2" ht="15" customHeight="1" x14ac:dyDescent="0.2">
      <c r="A226" s="25" t="s">
        <v>3674</v>
      </c>
      <c r="B226" s="13">
        <f>B221*EXP(-B222*B224)</f>
        <v>19.702238792061252</v>
      </c>
    </row>
    <row r="227" spans="1:2" ht="15" customHeight="1" x14ac:dyDescent="0.25">
      <c r="A227" s="25" t="s">
        <v>3639</v>
      </c>
      <c r="B227" s="9">
        <f>(LN(B220/B221)+(B222+B223^2/2)*B224)/(B223*SQRT(B224))</f>
        <v>0.19999999999999998</v>
      </c>
    </row>
    <row r="228" spans="1:2" ht="15" customHeight="1" x14ac:dyDescent="0.25">
      <c r="A228" s="25" t="s">
        <v>3675</v>
      </c>
      <c r="B228" s="9">
        <f>B227-B223*SQRT(B224)</f>
        <v>9.9999999999999978E-2</v>
      </c>
    </row>
    <row r="230" spans="1:2" ht="15" customHeight="1" x14ac:dyDescent="0.2">
      <c r="A230" s="8" t="s">
        <v>1550</v>
      </c>
    </row>
    <row r="231" spans="1:2" ht="15" customHeight="1" x14ac:dyDescent="0.2">
      <c r="A231" s="9" t="s">
        <v>1551</v>
      </c>
    </row>
    <row r="232" spans="1:2" ht="15" customHeight="1" x14ac:dyDescent="0.2">
      <c r="A232" s="9" t="s">
        <v>1552</v>
      </c>
    </row>
    <row r="233" spans="1:2" ht="15" customHeight="1" x14ac:dyDescent="0.2">
      <c r="A233" s="9" t="s">
        <v>1553</v>
      </c>
    </row>
    <row r="234" spans="1:2" ht="15" customHeight="1" x14ac:dyDescent="0.2">
      <c r="A234" s="9" t="s">
        <v>1554</v>
      </c>
    </row>
    <row r="236" spans="1:2" ht="15" customHeight="1" x14ac:dyDescent="0.2">
      <c r="A236" s="9" t="s">
        <v>110</v>
      </c>
    </row>
    <row r="238" spans="1:2" ht="15" customHeight="1" x14ac:dyDescent="0.2">
      <c r="A238" s="9" t="s">
        <v>1556</v>
      </c>
    </row>
    <row r="239" spans="1:2" ht="15" customHeight="1" x14ac:dyDescent="0.2">
      <c r="A239" s="9" t="s">
        <v>1557</v>
      </c>
    </row>
    <row r="241" spans="1:7" ht="15" customHeight="1" x14ac:dyDescent="0.2">
      <c r="B241" s="9">
        <v>1</v>
      </c>
      <c r="C241" s="9">
        <v>2</v>
      </c>
      <c r="D241" s="9">
        <v>3</v>
      </c>
      <c r="E241" s="9">
        <v>4</v>
      </c>
      <c r="F241" s="9">
        <v>5</v>
      </c>
      <c r="G241" s="9">
        <v>6</v>
      </c>
    </row>
    <row r="242" spans="1:7" ht="15" customHeight="1" x14ac:dyDescent="0.2">
      <c r="A242" s="25" t="s">
        <v>1555</v>
      </c>
      <c r="B242" s="12">
        <v>20</v>
      </c>
      <c r="C242" s="12">
        <v>22</v>
      </c>
      <c r="D242" s="12">
        <v>19</v>
      </c>
      <c r="E242" s="12">
        <v>21</v>
      </c>
      <c r="F242" s="12">
        <v>24</v>
      </c>
      <c r="G242" s="12">
        <v>24</v>
      </c>
    </row>
    <row r="243" spans="1:7" ht="15" customHeight="1" x14ac:dyDescent="0.25">
      <c r="A243" s="9" t="s">
        <v>3753</v>
      </c>
      <c r="C243" s="9">
        <f>C242/B242</f>
        <v>1.1000000000000001</v>
      </c>
      <c r="D243" s="9">
        <f t="shared" ref="D243:G243" si="0">D242/C242</f>
        <v>0.86363636363636365</v>
      </c>
      <c r="E243" s="9">
        <f t="shared" si="0"/>
        <v>1.1052631578947369</v>
      </c>
      <c r="F243" s="9">
        <f t="shared" si="0"/>
        <v>1.1428571428571428</v>
      </c>
      <c r="G243" s="9">
        <f t="shared" si="0"/>
        <v>1</v>
      </c>
    </row>
    <row r="244" spans="1:7" ht="15" customHeight="1" x14ac:dyDescent="0.25">
      <c r="A244" s="9" t="s">
        <v>3754</v>
      </c>
      <c r="C244" s="1">
        <f>LN(C243)</f>
        <v>9.5310179804324935E-2</v>
      </c>
      <c r="D244" s="1">
        <f t="shared" ref="D244:G244" si="1">LN(D243)</f>
        <v>-0.14660347419187539</v>
      </c>
      <c r="E244" s="1">
        <f t="shared" si="1"/>
        <v>0.10008345855698263</v>
      </c>
      <c r="F244" s="1">
        <f t="shared" si="1"/>
        <v>0.13353139262452257</v>
      </c>
      <c r="G244" s="1">
        <f t="shared" si="1"/>
        <v>0</v>
      </c>
    </row>
    <row r="245" spans="1:7" ht="15" customHeight="1" x14ac:dyDescent="0.25">
      <c r="A245" s="25" t="s">
        <v>3755</v>
      </c>
      <c r="B245" s="1">
        <f>_xlfn.STDEV.S(C244:G244)</f>
        <v>0.11377138315288035</v>
      </c>
    </row>
    <row r="246" spans="1:7" ht="15" customHeight="1" x14ac:dyDescent="0.2">
      <c r="A246" s="25" t="s">
        <v>190</v>
      </c>
      <c r="B246" s="2">
        <f>B245*SQRT(52)</f>
        <v>0.82041711127633987</v>
      </c>
    </row>
    <row r="248" spans="1:7" ht="15" customHeight="1" x14ac:dyDescent="0.2">
      <c r="A248" s="8" t="s">
        <v>1558</v>
      </c>
    </row>
    <row r="249" spans="1:7" ht="15" customHeight="1" x14ac:dyDescent="0.2">
      <c r="A249" s="9" t="s">
        <v>1559</v>
      </c>
    </row>
    <row r="250" spans="1:7" ht="15" customHeight="1" x14ac:dyDescent="0.2">
      <c r="A250" s="9" t="s">
        <v>1560</v>
      </c>
    </row>
    <row r="251" spans="1:7" ht="15" customHeight="1" x14ac:dyDescent="0.2">
      <c r="A251" s="9" t="s">
        <v>1561</v>
      </c>
    </row>
    <row r="252" spans="1:7" ht="15" customHeight="1" x14ac:dyDescent="0.2">
      <c r="A252" s="9" t="s">
        <v>1562</v>
      </c>
    </row>
    <row r="254" spans="1:7" ht="15" customHeight="1" x14ac:dyDescent="0.2">
      <c r="A254" s="9" t="s">
        <v>98</v>
      </c>
    </row>
    <row r="256" spans="1:7" ht="15" customHeight="1" x14ac:dyDescent="0.2">
      <c r="A256" s="9" t="s">
        <v>1563</v>
      </c>
    </row>
    <row r="258" spans="1:2" ht="15" customHeight="1" x14ac:dyDescent="0.2">
      <c r="A258" s="25" t="s">
        <v>190</v>
      </c>
      <c r="B258" s="21">
        <v>0.18</v>
      </c>
    </row>
    <row r="260" spans="1:2" ht="15" customHeight="1" x14ac:dyDescent="0.2">
      <c r="A260" s="9" t="s">
        <v>1564</v>
      </c>
      <c r="B260" s="16">
        <f>SQRT(1/12)</f>
        <v>0.28867513459481287</v>
      </c>
    </row>
    <row r="261" spans="1:2" ht="15" customHeight="1" x14ac:dyDescent="0.25">
      <c r="A261" s="25" t="s">
        <v>3756</v>
      </c>
      <c r="B261" s="4">
        <f>B258*B260</f>
        <v>5.1961524227066312E-2</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4">
    <tabColor rgb="FF536878"/>
    <pageSetUpPr fitToPage="1"/>
  </sheetPr>
  <dimension ref="A1:P204"/>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1012</v>
      </c>
      <c r="B1" s="76"/>
      <c r="C1" s="76"/>
      <c r="D1" s="76"/>
      <c r="E1" s="76"/>
      <c r="F1" s="76"/>
      <c r="G1" s="76"/>
      <c r="H1" s="76"/>
      <c r="I1" s="76"/>
      <c r="J1" s="76"/>
      <c r="K1" s="76"/>
      <c r="L1" s="76"/>
      <c r="M1" s="76"/>
      <c r="N1" s="76"/>
      <c r="O1" s="76"/>
      <c r="P1" s="76"/>
    </row>
    <row r="3" spans="1:16" ht="15" customHeight="1" x14ac:dyDescent="0.2">
      <c r="A3" s="8" t="s">
        <v>1565</v>
      </c>
    </row>
    <row r="4" spans="1:16" ht="15" customHeight="1" x14ac:dyDescent="0.2">
      <c r="A4" s="9" t="s">
        <v>1566</v>
      </c>
    </row>
    <row r="5" spans="1:16" ht="15" customHeight="1" x14ac:dyDescent="0.2">
      <c r="A5" s="9" t="s">
        <v>1567</v>
      </c>
    </row>
    <row r="6" spans="1:16" ht="15" customHeight="1" x14ac:dyDescent="0.2">
      <c r="A6" s="9" t="s">
        <v>1568</v>
      </c>
    </row>
    <row r="7" spans="1:16" ht="15" customHeight="1" x14ac:dyDescent="0.2">
      <c r="A7" s="9" t="s">
        <v>1569</v>
      </c>
    </row>
    <row r="9" spans="1:16" ht="15" customHeight="1" x14ac:dyDescent="0.2">
      <c r="A9" s="9" t="s">
        <v>88</v>
      </c>
    </row>
    <row r="11" spans="1:16" ht="15" customHeight="1" x14ac:dyDescent="0.2">
      <c r="A11" s="9" t="s">
        <v>1570</v>
      </c>
    </row>
    <row r="12" spans="1:16" ht="15" customHeight="1" x14ac:dyDescent="0.2">
      <c r="A12" s="9" t="s">
        <v>1571</v>
      </c>
    </row>
    <row r="13" spans="1:16" ht="15" customHeight="1" x14ac:dyDescent="0.2">
      <c r="A13" s="8"/>
    </row>
    <row r="14" spans="1:16" s="8" customFormat="1" ht="15" customHeight="1" x14ac:dyDescent="0.2">
      <c r="A14" s="8" t="s">
        <v>1572</v>
      </c>
    </row>
    <row r="15" spans="1:16" ht="15" customHeight="1" x14ac:dyDescent="0.2">
      <c r="A15" s="9" t="s">
        <v>1573</v>
      </c>
    </row>
    <row r="16" spans="1:16" ht="15" customHeight="1" x14ac:dyDescent="0.2">
      <c r="A16" s="9" t="s">
        <v>1574</v>
      </c>
    </row>
    <row r="17" spans="1:1" ht="15" customHeight="1" x14ac:dyDescent="0.2">
      <c r="A17" s="9" t="s">
        <v>1575</v>
      </c>
    </row>
    <row r="18" spans="1:1" ht="15" customHeight="1" x14ac:dyDescent="0.2">
      <c r="A18" s="9" t="s">
        <v>1576</v>
      </c>
    </row>
    <row r="20" spans="1:1" ht="15" customHeight="1" x14ac:dyDescent="0.2">
      <c r="A20" s="9" t="s">
        <v>88</v>
      </c>
    </row>
    <row r="22" spans="1:1" ht="15" customHeight="1" x14ac:dyDescent="0.2">
      <c r="A22" s="9" t="s">
        <v>1577</v>
      </c>
    </row>
    <row r="24" spans="1:1" ht="15" customHeight="1" x14ac:dyDescent="0.2">
      <c r="A24" s="8" t="s">
        <v>1578</v>
      </c>
    </row>
    <row r="25" spans="1:1" ht="15" customHeight="1" x14ac:dyDescent="0.2">
      <c r="A25" s="9" t="s">
        <v>1579</v>
      </c>
    </row>
    <row r="26" spans="1:1" ht="15" customHeight="1" x14ac:dyDescent="0.2">
      <c r="A26" s="9" t="s">
        <v>1580</v>
      </c>
    </row>
    <row r="27" spans="1:1" ht="15" customHeight="1" x14ac:dyDescent="0.2">
      <c r="A27" s="9" t="s">
        <v>1581</v>
      </c>
    </row>
    <row r="28" spans="1:1" ht="15" customHeight="1" x14ac:dyDescent="0.2">
      <c r="A28" s="9" t="s">
        <v>1582</v>
      </c>
    </row>
    <row r="30" spans="1:1" ht="15" customHeight="1" x14ac:dyDescent="0.2">
      <c r="A30" s="9" t="s">
        <v>80</v>
      </c>
    </row>
    <row r="32" spans="1:1" ht="15" customHeight="1" x14ac:dyDescent="0.2">
      <c r="A32" s="9" t="s">
        <v>1583</v>
      </c>
    </row>
    <row r="34" spans="1:1" ht="15" customHeight="1" x14ac:dyDescent="0.2">
      <c r="A34" s="8" t="s">
        <v>1584</v>
      </c>
    </row>
    <row r="35" spans="1:1" ht="15" customHeight="1" x14ac:dyDescent="0.2">
      <c r="A35" s="9" t="s">
        <v>1585</v>
      </c>
    </row>
    <row r="36" spans="1:1" ht="15" customHeight="1" x14ac:dyDescent="0.2">
      <c r="A36" s="9" t="s">
        <v>1586</v>
      </c>
    </row>
    <row r="37" spans="1:1" ht="15" customHeight="1" x14ac:dyDescent="0.2">
      <c r="A37" s="9" t="s">
        <v>1587</v>
      </c>
    </row>
    <row r="38" spans="1:1" ht="15" customHeight="1" x14ac:dyDescent="0.2">
      <c r="A38" s="9" t="s">
        <v>1588</v>
      </c>
    </row>
    <row r="40" spans="1:1" ht="15" customHeight="1" x14ac:dyDescent="0.2">
      <c r="A40" s="9" t="s">
        <v>110</v>
      </c>
    </row>
    <row r="42" spans="1:1" ht="15" customHeight="1" x14ac:dyDescent="0.2">
      <c r="A42" s="9" t="s">
        <v>1589</v>
      </c>
    </row>
    <row r="44" spans="1:1" ht="15" customHeight="1" x14ac:dyDescent="0.2">
      <c r="A44" s="8" t="s">
        <v>1590</v>
      </c>
    </row>
    <row r="45" spans="1:1" ht="15" customHeight="1" x14ac:dyDescent="0.2">
      <c r="A45" s="9" t="s">
        <v>1591</v>
      </c>
    </row>
    <row r="46" spans="1:1" ht="15" customHeight="1" x14ac:dyDescent="0.2">
      <c r="A46" s="9" t="s">
        <v>1593</v>
      </c>
    </row>
    <row r="47" spans="1:1" ht="15" customHeight="1" x14ac:dyDescent="0.2">
      <c r="A47" s="9" t="s">
        <v>1594</v>
      </c>
    </row>
    <row r="48" spans="1:1" ht="15" customHeight="1" x14ac:dyDescent="0.2">
      <c r="A48" s="9" t="s">
        <v>1595</v>
      </c>
    </row>
    <row r="50" spans="1:1" ht="15" customHeight="1" x14ac:dyDescent="0.2">
      <c r="A50" s="9" t="s">
        <v>110</v>
      </c>
    </row>
    <row r="52" spans="1:1" ht="15" customHeight="1" x14ac:dyDescent="0.2">
      <c r="A52" s="9" t="s">
        <v>1592</v>
      </c>
    </row>
    <row r="54" spans="1:1" ht="15" customHeight="1" x14ac:dyDescent="0.2">
      <c r="A54" s="8" t="s">
        <v>1596</v>
      </c>
    </row>
    <row r="55" spans="1:1" ht="15" customHeight="1" x14ac:dyDescent="0.2">
      <c r="A55" s="9" t="s">
        <v>1591</v>
      </c>
    </row>
    <row r="56" spans="1:1" ht="15" customHeight="1" x14ac:dyDescent="0.2">
      <c r="A56" s="9" t="s">
        <v>1593</v>
      </c>
    </row>
    <row r="57" spans="1:1" ht="15" customHeight="1" x14ac:dyDescent="0.2">
      <c r="A57" s="9" t="s">
        <v>1594</v>
      </c>
    </row>
    <row r="58" spans="1:1" ht="15" customHeight="1" x14ac:dyDescent="0.2">
      <c r="A58" s="9" t="s">
        <v>1595</v>
      </c>
    </row>
    <row r="60" spans="1:1" ht="15" customHeight="1" x14ac:dyDescent="0.2">
      <c r="A60" s="9" t="s">
        <v>98</v>
      </c>
    </row>
    <row r="62" spans="1:1" ht="15" customHeight="1" x14ac:dyDescent="0.2">
      <c r="A62" s="9" t="s">
        <v>3425</v>
      </c>
    </row>
    <row r="64" spans="1:1" ht="15" customHeight="1" x14ac:dyDescent="0.2">
      <c r="A64" s="8" t="s">
        <v>1597</v>
      </c>
    </row>
    <row r="65" spans="1:1" ht="15" customHeight="1" x14ac:dyDescent="0.2">
      <c r="A65" s="9" t="s">
        <v>1598</v>
      </c>
    </row>
    <row r="66" spans="1:1" ht="15" customHeight="1" x14ac:dyDescent="0.2">
      <c r="A66" s="9" t="s">
        <v>1599</v>
      </c>
    </row>
    <row r="67" spans="1:1" ht="15" customHeight="1" x14ac:dyDescent="0.2">
      <c r="A67" s="9" t="s">
        <v>1600</v>
      </c>
    </row>
    <row r="68" spans="1:1" ht="15" customHeight="1" x14ac:dyDescent="0.2">
      <c r="A68" s="9" t="s">
        <v>1601</v>
      </c>
    </row>
    <row r="70" spans="1:1" ht="15" customHeight="1" x14ac:dyDescent="0.2">
      <c r="A70" s="9" t="s">
        <v>88</v>
      </c>
    </row>
    <row r="72" spans="1:1" ht="15" customHeight="1" x14ac:dyDescent="0.2">
      <c r="A72" s="9" t="s">
        <v>1602</v>
      </c>
    </row>
    <row r="74" spans="1:1" ht="15" customHeight="1" x14ac:dyDescent="0.2">
      <c r="A74" s="8" t="s">
        <v>1603</v>
      </c>
    </row>
    <row r="75" spans="1:1" ht="15" customHeight="1" x14ac:dyDescent="0.2">
      <c r="A75" s="9" t="s">
        <v>1604</v>
      </c>
    </row>
    <row r="76" spans="1:1" ht="15" customHeight="1" x14ac:dyDescent="0.2">
      <c r="A76" s="9" t="s">
        <v>1605</v>
      </c>
    </row>
    <row r="77" spans="1:1" ht="15" customHeight="1" x14ac:dyDescent="0.2">
      <c r="A77" s="9" t="s">
        <v>1606</v>
      </c>
    </row>
    <row r="78" spans="1:1" ht="15" customHeight="1" x14ac:dyDescent="0.2">
      <c r="A78" s="9" t="s">
        <v>1607</v>
      </c>
    </row>
    <row r="80" spans="1:1" ht="15" customHeight="1" x14ac:dyDescent="0.2">
      <c r="A80" s="9" t="s">
        <v>110</v>
      </c>
    </row>
    <row r="82" spans="1:1" ht="15" customHeight="1" x14ac:dyDescent="0.2">
      <c r="A82" s="9" t="s">
        <v>1608</v>
      </c>
    </row>
    <row r="84" spans="1:1" ht="15" customHeight="1" x14ac:dyDescent="0.2">
      <c r="A84" s="8" t="s">
        <v>1609</v>
      </c>
    </row>
    <row r="85" spans="1:1" ht="15" customHeight="1" x14ac:dyDescent="0.2">
      <c r="A85" s="9" t="s">
        <v>1610</v>
      </c>
    </row>
    <row r="86" spans="1:1" ht="15" customHeight="1" x14ac:dyDescent="0.2">
      <c r="A86" s="9" t="s">
        <v>1611</v>
      </c>
    </row>
    <row r="87" spans="1:1" ht="15" customHeight="1" x14ac:dyDescent="0.2">
      <c r="A87" s="9" t="s">
        <v>1612</v>
      </c>
    </row>
    <row r="88" spans="1:1" ht="15" customHeight="1" x14ac:dyDescent="0.2">
      <c r="A88" s="9" t="s">
        <v>1613</v>
      </c>
    </row>
    <row r="90" spans="1:1" ht="15" customHeight="1" x14ac:dyDescent="0.2">
      <c r="A90" s="9" t="s">
        <v>80</v>
      </c>
    </row>
    <row r="92" spans="1:1" ht="15" customHeight="1" x14ac:dyDescent="0.2">
      <c r="A92" s="9" t="s">
        <v>1614</v>
      </c>
    </row>
    <row r="94" spans="1:1" ht="15" customHeight="1" x14ac:dyDescent="0.2">
      <c r="A94" s="8" t="s">
        <v>1615</v>
      </c>
    </row>
    <row r="95" spans="1:1" ht="15" customHeight="1" x14ac:dyDescent="0.2">
      <c r="A95" s="9" t="s">
        <v>1616</v>
      </c>
    </row>
    <row r="96" spans="1:1" ht="15" customHeight="1" x14ac:dyDescent="0.2">
      <c r="A96" s="9" t="s">
        <v>1617</v>
      </c>
    </row>
    <row r="97" spans="1:1" ht="15" customHeight="1" x14ac:dyDescent="0.2">
      <c r="A97" s="9" t="s">
        <v>1618</v>
      </c>
    </row>
    <row r="98" spans="1:1" ht="15" customHeight="1" x14ac:dyDescent="0.2">
      <c r="A98" s="9" t="s">
        <v>1619</v>
      </c>
    </row>
    <row r="100" spans="1:1" ht="15" customHeight="1" x14ac:dyDescent="0.2">
      <c r="A100" s="9" t="s">
        <v>88</v>
      </c>
    </row>
    <row r="102" spans="1:1" ht="15" customHeight="1" x14ac:dyDescent="0.2">
      <c r="A102" s="9" t="s">
        <v>1620</v>
      </c>
    </row>
    <row r="104" spans="1:1" ht="15" customHeight="1" x14ac:dyDescent="0.2">
      <c r="A104" s="8" t="s">
        <v>1621</v>
      </c>
    </row>
    <row r="105" spans="1:1" ht="15" customHeight="1" x14ac:dyDescent="0.2">
      <c r="A105" s="9" t="s">
        <v>1622</v>
      </c>
    </row>
    <row r="106" spans="1:1" ht="15" customHeight="1" x14ac:dyDescent="0.2">
      <c r="A106" s="9" t="s">
        <v>1623</v>
      </c>
    </row>
    <row r="107" spans="1:1" ht="15" customHeight="1" x14ac:dyDescent="0.2">
      <c r="A107" s="9" t="s">
        <v>1624</v>
      </c>
    </row>
    <row r="108" spans="1:1" ht="15" customHeight="1" x14ac:dyDescent="0.2">
      <c r="A108" s="9" t="s">
        <v>1625</v>
      </c>
    </row>
    <row r="110" spans="1:1" ht="15" customHeight="1" x14ac:dyDescent="0.2">
      <c r="A110" s="9" t="s">
        <v>88</v>
      </c>
    </row>
    <row r="112" spans="1:1" ht="15" customHeight="1" x14ac:dyDescent="0.2">
      <c r="A112" s="9" t="s">
        <v>1626</v>
      </c>
    </row>
    <row r="114" spans="1:1" ht="15" customHeight="1" x14ac:dyDescent="0.2">
      <c r="A114" s="8" t="s">
        <v>1627</v>
      </c>
    </row>
    <row r="115" spans="1:1" ht="15" customHeight="1" x14ac:dyDescent="0.2">
      <c r="A115" s="9" t="s">
        <v>1628</v>
      </c>
    </row>
    <row r="116" spans="1:1" ht="15" customHeight="1" x14ac:dyDescent="0.2">
      <c r="A116" s="9" t="s">
        <v>1629</v>
      </c>
    </row>
    <row r="117" spans="1:1" ht="15" customHeight="1" x14ac:dyDescent="0.2">
      <c r="A117" s="9" t="s">
        <v>1630</v>
      </c>
    </row>
    <row r="118" spans="1:1" ht="15" customHeight="1" x14ac:dyDescent="0.2">
      <c r="A118" s="9" t="s">
        <v>1631</v>
      </c>
    </row>
    <row r="120" spans="1:1" ht="15" customHeight="1" x14ac:dyDescent="0.2">
      <c r="A120" s="9" t="s">
        <v>110</v>
      </c>
    </row>
    <row r="122" spans="1:1" ht="15" customHeight="1" x14ac:dyDescent="0.2">
      <c r="A122" s="9" t="s">
        <v>1632</v>
      </c>
    </row>
    <row r="124" spans="1:1" ht="15" customHeight="1" x14ac:dyDescent="0.2">
      <c r="A124" s="8" t="s">
        <v>1633</v>
      </c>
    </row>
    <row r="125" spans="1:1" ht="15" customHeight="1" x14ac:dyDescent="0.2">
      <c r="A125" s="9" t="s">
        <v>1634</v>
      </c>
    </row>
    <row r="126" spans="1:1" ht="15" customHeight="1" x14ac:dyDescent="0.2">
      <c r="A126" s="9" t="s">
        <v>1635</v>
      </c>
    </row>
    <row r="127" spans="1:1" ht="15" customHeight="1" x14ac:dyDescent="0.2">
      <c r="A127" s="9" t="s">
        <v>1636</v>
      </c>
    </row>
    <row r="128" spans="1:1" ht="15" customHeight="1" x14ac:dyDescent="0.2">
      <c r="A128" s="9" t="s">
        <v>1637</v>
      </c>
    </row>
    <row r="130" spans="1:1" ht="15" customHeight="1" x14ac:dyDescent="0.2">
      <c r="A130" s="9" t="s">
        <v>98</v>
      </c>
    </row>
    <row r="132" spans="1:1" ht="15" customHeight="1" x14ac:dyDescent="0.2">
      <c r="A132" s="9" t="s">
        <v>3426</v>
      </c>
    </row>
    <row r="134" spans="1:1" ht="15" customHeight="1" x14ac:dyDescent="0.2">
      <c r="A134" s="8" t="s">
        <v>1638</v>
      </c>
    </row>
    <row r="135" spans="1:1" ht="15" customHeight="1" x14ac:dyDescent="0.2">
      <c r="A135" s="9" t="s">
        <v>1639</v>
      </c>
    </row>
    <row r="136" spans="1:1" ht="15" customHeight="1" x14ac:dyDescent="0.2">
      <c r="A136" s="9" t="s">
        <v>1640</v>
      </c>
    </row>
    <row r="137" spans="1:1" ht="15" customHeight="1" x14ac:dyDescent="0.2">
      <c r="A137" s="9" t="s">
        <v>1641</v>
      </c>
    </row>
    <row r="138" spans="1:1" ht="15" customHeight="1" x14ac:dyDescent="0.2">
      <c r="A138" s="9" t="s">
        <v>1642</v>
      </c>
    </row>
    <row r="140" spans="1:1" ht="15" customHeight="1" x14ac:dyDescent="0.2">
      <c r="A140" s="9" t="s">
        <v>88</v>
      </c>
    </row>
    <row r="142" spans="1:1" ht="15" customHeight="1" x14ac:dyDescent="0.2">
      <c r="A142" s="9" t="s">
        <v>1643</v>
      </c>
    </row>
    <row r="143" spans="1:1" ht="15" customHeight="1" x14ac:dyDescent="0.2">
      <c r="A143" s="9" t="s">
        <v>1644</v>
      </c>
    </row>
    <row r="144" spans="1:1" ht="15" customHeight="1" x14ac:dyDescent="0.2">
      <c r="A144" s="9" t="s">
        <v>1645</v>
      </c>
    </row>
    <row r="146" spans="1:1" ht="15" customHeight="1" x14ac:dyDescent="0.2">
      <c r="A146" s="8" t="s">
        <v>1646</v>
      </c>
    </row>
    <row r="147" spans="1:1" ht="15" customHeight="1" x14ac:dyDescent="0.2">
      <c r="A147" s="9" t="s">
        <v>1647</v>
      </c>
    </row>
    <row r="148" spans="1:1" ht="15" customHeight="1" x14ac:dyDescent="0.2">
      <c r="A148" s="9" t="s">
        <v>1648</v>
      </c>
    </row>
    <row r="149" spans="1:1" ht="15" customHeight="1" x14ac:dyDescent="0.2">
      <c r="A149" s="9" t="s">
        <v>1649</v>
      </c>
    </row>
    <row r="150" spans="1:1" ht="15" customHeight="1" x14ac:dyDescent="0.2">
      <c r="A150" s="9" t="s">
        <v>5</v>
      </c>
    </row>
    <row r="152" spans="1:1" ht="15" customHeight="1" x14ac:dyDescent="0.2">
      <c r="A152" s="9" t="s">
        <v>80</v>
      </c>
    </row>
    <row r="154" spans="1:1" ht="15" customHeight="1" x14ac:dyDescent="0.2">
      <c r="A154" s="9" t="s">
        <v>1650</v>
      </c>
    </row>
    <row r="156" spans="1:1" ht="15" customHeight="1" x14ac:dyDescent="0.2">
      <c r="A156" s="8" t="s">
        <v>1651</v>
      </c>
    </row>
    <row r="157" spans="1:1" ht="15" customHeight="1" x14ac:dyDescent="0.2">
      <c r="A157" s="9" t="s">
        <v>1652</v>
      </c>
    </row>
    <row r="158" spans="1:1" ht="15" customHeight="1" x14ac:dyDescent="0.2">
      <c r="A158" s="9" t="s">
        <v>1653</v>
      </c>
    </row>
    <row r="159" spans="1:1" ht="15" customHeight="1" x14ac:dyDescent="0.2">
      <c r="A159" s="9" t="s">
        <v>1654</v>
      </c>
    </row>
    <row r="160" spans="1:1" ht="15" customHeight="1" x14ac:dyDescent="0.2">
      <c r="A160" s="9" t="s">
        <v>1655</v>
      </c>
    </row>
    <row r="162" spans="1:1" ht="15" customHeight="1" x14ac:dyDescent="0.2">
      <c r="A162" s="9" t="s">
        <v>98</v>
      </c>
    </row>
    <row r="164" spans="1:1" ht="15" customHeight="1" x14ac:dyDescent="0.2">
      <c r="A164" s="9" t="s">
        <v>1656</v>
      </c>
    </row>
    <row r="166" spans="1:1" ht="15" customHeight="1" x14ac:dyDescent="0.2">
      <c r="A166" s="8" t="s">
        <v>1657</v>
      </c>
    </row>
    <row r="167" spans="1:1" ht="15" customHeight="1" x14ac:dyDescent="0.2">
      <c r="A167" s="9" t="s">
        <v>1658</v>
      </c>
    </row>
    <row r="168" spans="1:1" ht="15" customHeight="1" x14ac:dyDescent="0.2">
      <c r="A168" s="9" t="s">
        <v>1659</v>
      </c>
    </row>
    <row r="169" spans="1:1" ht="15" customHeight="1" x14ac:dyDescent="0.2">
      <c r="A169" s="9" t="s">
        <v>1660</v>
      </c>
    </row>
    <row r="170" spans="1:1" ht="15" customHeight="1" x14ac:dyDescent="0.2">
      <c r="A170" s="9" t="s">
        <v>1661</v>
      </c>
    </row>
    <row r="172" spans="1:1" ht="15" customHeight="1" x14ac:dyDescent="0.2">
      <c r="A172" s="9" t="s">
        <v>80</v>
      </c>
    </row>
    <row r="174" spans="1:1" ht="15" customHeight="1" x14ac:dyDescent="0.2">
      <c r="A174" s="9" t="s">
        <v>1662</v>
      </c>
    </row>
    <row r="176" spans="1:1" ht="15" customHeight="1" x14ac:dyDescent="0.2">
      <c r="A176" s="8" t="s">
        <v>1663</v>
      </c>
    </row>
    <row r="177" spans="1:1" ht="15" customHeight="1" x14ac:dyDescent="0.2">
      <c r="A177" s="9" t="s">
        <v>1664</v>
      </c>
    </row>
    <row r="178" spans="1:1" ht="15" customHeight="1" x14ac:dyDescent="0.2">
      <c r="A178" s="9" t="s">
        <v>1665</v>
      </c>
    </row>
    <row r="179" spans="1:1" ht="15" customHeight="1" x14ac:dyDescent="0.2">
      <c r="A179" s="9" t="s">
        <v>1666</v>
      </c>
    </row>
    <row r="180" spans="1:1" ht="15" customHeight="1" x14ac:dyDescent="0.2">
      <c r="A180" s="9" t="s">
        <v>1667</v>
      </c>
    </row>
    <row r="182" spans="1:1" ht="15" customHeight="1" x14ac:dyDescent="0.2">
      <c r="A182" s="9" t="s">
        <v>88</v>
      </c>
    </row>
    <row r="184" spans="1:1" ht="15" customHeight="1" x14ac:dyDescent="0.2">
      <c r="A184" s="9" t="s">
        <v>1668</v>
      </c>
    </row>
    <row r="186" spans="1:1" ht="15" customHeight="1" x14ac:dyDescent="0.2">
      <c r="A186" s="8" t="s">
        <v>1669</v>
      </c>
    </row>
    <row r="187" spans="1:1" ht="15" customHeight="1" x14ac:dyDescent="0.2">
      <c r="A187" s="9" t="s">
        <v>1670</v>
      </c>
    </row>
    <row r="188" spans="1:1" ht="15" customHeight="1" x14ac:dyDescent="0.2">
      <c r="A188" s="9" t="s">
        <v>1671</v>
      </c>
    </row>
    <row r="189" spans="1:1" ht="15" customHeight="1" x14ac:dyDescent="0.2">
      <c r="A189" s="9" t="s">
        <v>1672</v>
      </c>
    </row>
    <row r="190" spans="1:1" ht="15" customHeight="1" x14ac:dyDescent="0.2">
      <c r="A190" s="9" t="s">
        <v>1673</v>
      </c>
    </row>
    <row r="192" spans="1:1" ht="15" customHeight="1" x14ac:dyDescent="0.2">
      <c r="A192" s="9" t="s">
        <v>98</v>
      </c>
    </row>
    <row r="194" spans="1:1" ht="15" customHeight="1" x14ac:dyDescent="0.2">
      <c r="A194" s="9" t="s">
        <v>1674</v>
      </c>
    </row>
    <row r="196" spans="1:1" ht="15" customHeight="1" x14ac:dyDescent="0.2">
      <c r="A196" s="8" t="s">
        <v>1675</v>
      </c>
    </row>
    <row r="197" spans="1:1" ht="15" customHeight="1" x14ac:dyDescent="0.2">
      <c r="A197" s="9" t="s">
        <v>1676</v>
      </c>
    </row>
    <row r="198" spans="1:1" ht="15" customHeight="1" x14ac:dyDescent="0.2">
      <c r="A198" s="9" t="s">
        <v>1677</v>
      </c>
    </row>
    <row r="199" spans="1:1" ht="15" customHeight="1" x14ac:dyDescent="0.2">
      <c r="A199" s="9" t="s">
        <v>1678</v>
      </c>
    </row>
    <row r="200" spans="1:1" ht="15" customHeight="1" x14ac:dyDescent="0.2">
      <c r="A200" s="9" t="s">
        <v>839</v>
      </c>
    </row>
    <row r="202" spans="1:1" ht="15" customHeight="1" x14ac:dyDescent="0.2">
      <c r="A202" s="9" t="s">
        <v>110</v>
      </c>
    </row>
    <row r="204" spans="1:1" ht="15" customHeight="1" x14ac:dyDescent="0.2">
      <c r="A204" s="9" t="s">
        <v>1679</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5">
    <tabColor rgb="FF536878"/>
    <pageSetUpPr fitToPage="1"/>
  </sheetPr>
  <dimension ref="A1:P335"/>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10.7109375" style="9" customWidth="1"/>
    <col min="3" max="16384" width="9.140625" style="9"/>
  </cols>
  <sheetData>
    <row r="1" spans="1:16" ht="15" customHeight="1" x14ac:dyDescent="0.2">
      <c r="A1" s="75" t="s">
        <v>1013</v>
      </c>
      <c r="B1" s="76"/>
      <c r="C1" s="76"/>
      <c r="D1" s="76"/>
      <c r="E1" s="76"/>
      <c r="F1" s="76"/>
      <c r="G1" s="76"/>
      <c r="H1" s="76"/>
      <c r="I1" s="76"/>
      <c r="J1" s="76"/>
      <c r="K1" s="76"/>
      <c r="L1" s="76"/>
      <c r="M1" s="76"/>
      <c r="N1" s="76"/>
      <c r="O1" s="76"/>
      <c r="P1" s="76"/>
    </row>
    <row r="3" spans="1:16" ht="15" customHeight="1" x14ac:dyDescent="0.25">
      <c r="A3" s="8" t="s">
        <v>3678</v>
      </c>
      <c r="B3" s="12"/>
    </row>
    <row r="4" spans="1:16" ht="15" customHeight="1" x14ac:dyDescent="0.2">
      <c r="A4" s="26" t="s">
        <v>141</v>
      </c>
    </row>
    <row r="5" spans="1:16" ht="15" customHeight="1" x14ac:dyDescent="0.2">
      <c r="A5" s="26" t="s">
        <v>3679</v>
      </c>
    </row>
    <row r="6" spans="1:16" ht="15" customHeight="1" x14ac:dyDescent="0.2">
      <c r="A6" s="26" t="s">
        <v>3680</v>
      </c>
    </row>
    <row r="7" spans="1:16" ht="15" customHeight="1" x14ac:dyDescent="0.2">
      <c r="A7" s="26" t="s">
        <v>3681</v>
      </c>
    </row>
    <row r="8" spans="1:16" ht="15" customHeight="1" x14ac:dyDescent="0.2">
      <c r="B8" s="12"/>
    </row>
    <row r="9" spans="1:16" ht="15" customHeight="1" x14ac:dyDescent="0.2">
      <c r="A9" s="9" t="s">
        <v>88</v>
      </c>
      <c r="B9" s="12"/>
    </row>
    <row r="10" spans="1:16" ht="15" customHeight="1" x14ac:dyDescent="0.2">
      <c r="B10" s="12"/>
    </row>
    <row r="11" spans="1:16" ht="15" customHeight="1" x14ac:dyDescent="0.25">
      <c r="A11" s="9" t="s">
        <v>3682</v>
      </c>
      <c r="B11" s="12"/>
    </row>
    <row r="12" spans="1:16" ht="15" customHeight="1" x14ac:dyDescent="0.2">
      <c r="B12" s="12"/>
    </row>
    <row r="13" spans="1:16" ht="15" customHeight="1" x14ac:dyDescent="0.2">
      <c r="A13" s="8" t="s">
        <v>1680</v>
      </c>
      <c r="B13" s="12"/>
    </row>
    <row r="14" spans="1:16" ht="15" customHeight="1" x14ac:dyDescent="0.2">
      <c r="A14" s="26" t="s">
        <v>3683</v>
      </c>
    </row>
    <row r="15" spans="1:16" ht="15" customHeight="1" x14ac:dyDescent="0.2">
      <c r="A15" s="26" t="s">
        <v>3679</v>
      </c>
    </row>
    <row r="16" spans="1:16" ht="15" customHeight="1" x14ac:dyDescent="0.2">
      <c r="A16" s="26" t="s">
        <v>3680</v>
      </c>
    </row>
    <row r="17" spans="1:2" ht="15" customHeight="1" x14ac:dyDescent="0.2">
      <c r="A17" s="26" t="s">
        <v>3681</v>
      </c>
    </row>
    <row r="18" spans="1:2" ht="15" customHeight="1" x14ac:dyDescent="0.2">
      <c r="A18" s="8"/>
      <c r="B18" s="12"/>
    </row>
    <row r="19" spans="1:2" ht="15" customHeight="1" x14ac:dyDescent="0.2">
      <c r="A19" s="26" t="s">
        <v>110</v>
      </c>
      <c r="B19" s="12"/>
    </row>
    <row r="20" spans="1:2" ht="15" customHeight="1" x14ac:dyDescent="0.2">
      <c r="A20" s="26"/>
      <c r="B20" s="12"/>
    </row>
    <row r="21" spans="1:2" ht="15" customHeight="1" x14ac:dyDescent="0.25">
      <c r="A21" s="9" t="s">
        <v>3684</v>
      </c>
      <c r="B21" s="12"/>
    </row>
    <row r="22" spans="1:2" ht="15" customHeight="1" x14ac:dyDescent="0.2">
      <c r="B22" s="12"/>
    </row>
    <row r="23" spans="1:2" ht="15" customHeight="1" x14ac:dyDescent="0.2">
      <c r="A23" s="8" t="s">
        <v>1682</v>
      </c>
      <c r="B23" s="12"/>
    </row>
    <row r="24" spans="1:2" ht="15" customHeight="1" x14ac:dyDescent="0.2">
      <c r="A24" s="9" t="s">
        <v>1683</v>
      </c>
      <c r="B24" s="12"/>
    </row>
    <row r="25" spans="1:2" ht="15" customHeight="1" x14ac:dyDescent="0.2">
      <c r="A25" s="9" t="s">
        <v>1684</v>
      </c>
      <c r="B25" s="12"/>
    </row>
    <row r="26" spans="1:2" ht="15" customHeight="1" x14ac:dyDescent="0.2">
      <c r="A26" s="9" t="s">
        <v>1685</v>
      </c>
      <c r="B26" s="12"/>
    </row>
    <row r="27" spans="1:2" ht="15" customHeight="1" x14ac:dyDescent="0.2">
      <c r="A27" s="9" t="s">
        <v>5</v>
      </c>
      <c r="B27" s="12"/>
    </row>
    <row r="28" spans="1:2" ht="15" customHeight="1" x14ac:dyDescent="0.2">
      <c r="B28" s="12"/>
    </row>
    <row r="29" spans="1:2" ht="15" customHeight="1" x14ac:dyDescent="0.2">
      <c r="A29" s="9" t="s">
        <v>88</v>
      </c>
      <c r="B29" s="12"/>
    </row>
    <row r="30" spans="1:2" ht="15" customHeight="1" x14ac:dyDescent="0.2">
      <c r="B30" s="12"/>
    </row>
    <row r="31" spans="1:2" ht="15" customHeight="1" x14ac:dyDescent="0.25">
      <c r="A31" s="9" t="s">
        <v>3685</v>
      </c>
      <c r="B31" s="12"/>
    </row>
    <row r="32" spans="1:2" ht="15" customHeight="1" x14ac:dyDescent="0.2">
      <c r="B32" s="12"/>
    </row>
    <row r="33" spans="1:2" ht="15" customHeight="1" x14ac:dyDescent="0.25">
      <c r="A33" s="8" t="s">
        <v>3686</v>
      </c>
      <c r="B33" s="12"/>
    </row>
    <row r="34" spans="1:2" ht="15" customHeight="1" x14ac:dyDescent="0.25">
      <c r="A34" s="8" t="s">
        <v>3687</v>
      </c>
      <c r="B34" s="12"/>
    </row>
    <row r="35" spans="1:2" ht="15" customHeight="1" x14ac:dyDescent="0.2">
      <c r="A35" s="9" t="s">
        <v>3688</v>
      </c>
      <c r="B35" s="12"/>
    </row>
    <row r="36" spans="1:2" ht="15" customHeight="1" x14ac:dyDescent="0.2">
      <c r="A36" s="9" t="s">
        <v>3689</v>
      </c>
      <c r="B36" s="12"/>
    </row>
    <row r="37" spans="1:2" ht="15" customHeight="1" x14ac:dyDescent="0.2">
      <c r="A37" s="9" t="s">
        <v>3690</v>
      </c>
      <c r="B37" s="12"/>
    </row>
    <row r="38" spans="1:2" ht="15" customHeight="1" x14ac:dyDescent="0.2">
      <c r="A38" s="9" t="s">
        <v>3691</v>
      </c>
      <c r="B38" s="12"/>
    </row>
    <row r="39" spans="1:2" ht="15" customHeight="1" x14ac:dyDescent="0.2">
      <c r="B39" s="12"/>
    </row>
    <row r="40" spans="1:2" ht="15" customHeight="1" x14ac:dyDescent="0.2">
      <c r="A40" s="9" t="s">
        <v>98</v>
      </c>
      <c r="B40" s="12"/>
    </row>
    <row r="41" spans="1:2" ht="15" customHeight="1" x14ac:dyDescent="0.2">
      <c r="B41" s="12"/>
    </row>
    <row r="42" spans="1:2" ht="15" customHeight="1" x14ac:dyDescent="0.25">
      <c r="A42" s="9" t="s">
        <v>3692</v>
      </c>
      <c r="B42" s="12"/>
    </row>
    <row r="43" spans="1:2" ht="15" customHeight="1" x14ac:dyDescent="0.2">
      <c r="B43" s="12"/>
    </row>
    <row r="44" spans="1:2" ht="15" customHeight="1" x14ac:dyDescent="0.2">
      <c r="A44" s="8" t="s">
        <v>1686</v>
      </c>
      <c r="B44" s="12"/>
    </row>
    <row r="45" spans="1:2" ht="15" customHeight="1" x14ac:dyDescent="0.2">
      <c r="A45" s="8" t="s">
        <v>1687</v>
      </c>
      <c r="B45" s="12"/>
    </row>
    <row r="46" spans="1:2" ht="15" customHeight="1" x14ac:dyDescent="0.2">
      <c r="A46" s="8" t="s">
        <v>1702</v>
      </c>
      <c r="B46" s="12"/>
    </row>
    <row r="47" spans="1:2" ht="15" customHeight="1" x14ac:dyDescent="0.2">
      <c r="A47" s="9" t="s">
        <v>1688</v>
      </c>
      <c r="B47" s="12"/>
    </row>
    <row r="48" spans="1:2" ht="15" customHeight="1" x14ac:dyDescent="0.2">
      <c r="A48" s="9" t="s">
        <v>3260</v>
      </c>
      <c r="B48" s="12"/>
    </row>
    <row r="49" spans="1:2" ht="15" customHeight="1" x14ac:dyDescent="0.2">
      <c r="A49" s="9" t="s">
        <v>1690</v>
      </c>
      <c r="B49" s="12"/>
    </row>
    <row r="50" spans="1:2" ht="15" customHeight="1" x14ac:dyDescent="0.2">
      <c r="A50" s="9" t="s">
        <v>3261</v>
      </c>
      <c r="B50" s="12"/>
    </row>
    <row r="51" spans="1:2" ht="15" customHeight="1" x14ac:dyDescent="0.2">
      <c r="B51" s="12"/>
    </row>
    <row r="52" spans="1:2" ht="15" customHeight="1" x14ac:dyDescent="0.2">
      <c r="A52" s="9" t="s">
        <v>88</v>
      </c>
      <c r="B52" s="12"/>
    </row>
    <row r="53" spans="1:2" ht="15" customHeight="1" x14ac:dyDescent="0.2">
      <c r="B53" s="12"/>
    </row>
    <row r="54" spans="1:2" ht="15" customHeight="1" x14ac:dyDescent="0.2">
      <c r="A54" s="9" t="s">
        <v>3259</v>
      </c>
      <c r="B54" s="12"/>
    </row>
    <row r="55" spans="1:2" ht="15" customHeight="1" x14ac:dyDescent="0.2">
      <c r="B55" s="12"/>
    </row>
    <row r="56" spans="1:2" ht="15" customHeight="1" x14ac:dyDescent="0.25">
      <c r="A56" s="25" t="s">
        <v>3693</v>
      </c>
      <c r="B56" s="12">
        <v>10000000</v>
      </c>
    </row>
    <row r="57" spans="1:2" ht="15" customHeight="1" x14ac:dyDescent="0.2">
      <c r="A57" s="25" t="s">
        <v>83</v>
      </c>
      <c r="B57" s="9">
        <v>0.5</v>
      </c>
    </row>
    <row r="58" spans="1:2" ht="15" customHeight="1" x14ac:dyDescent="0.2">
      <c r="A58" s="9" t="s">
        <v>145</v>
      </c>
      <c r="B58" s="12">
        <v>9500000</v>
      </c>
    </row>
    <row r="59" spans="1:2" ht="15" customHeight="1" x14ac:dyDescent="0.25">
      <c r="A59" s="25" t="s">
        <v>3451</v>
      </c>
      <c r="B59" s="12">
        <v>500</v>
      </c>
    </row>
    <row r="60" spans="1:2" ht="15" customHeight="1" x14ac:dyDescent="0.2">
      <c r="A60" s="9" t="s">
        <v>6</v>
      </c>
      <c r="B60" s="19">
        <v>100</v>
      </c>
    </row>
    <row r="61" spans="1:2" ht="15" customHeight="1" x14ac:dyDescent="0.2">
      <c r="A61" s="25" t="s">
        <v>99</v>
      </c>
      <c r="B61" s="21">
        <v>0.1</v>
      </c>
    </row>
    <row r="62" spans="1:2" ht="15" customHeight="1" x14ac:dyDescent="0.25">
      <c r="A62" s="25" t="s">
        <v>3694</v>
      </c>
      <c r="B62" s="21">
        <v>0</v>
      </c>
    </row>
    <row r="63" spans="1:2" ht="15" customHeight="1" x14ac:dyDescent="0.25">
      <c r="A63" s="25" t="s">
        <v>3695</v>
      </c>
      <c r="B63" s="21">
        <v>0</v>
      </c>
    </row>
    <row r="64" spans="1:2" ht="15" customHeight="1" x14ac:dyDescent="0.2">
      <c r="A64" s="25" t="s">
        <v>1700</v>
      </c>
      <c r="B64" s="19">
        <v>1</v>
      </c>
    </row>
    <row r="65" spans="1:2" ht="15" customHeight="1" x14ac:dyDescent="0.2">
      <c r="A65" s="25" t="s">
        <v>1701</v>
      </c>
      <c r="B65" s="19">
        <v>0</v>
      </c>
    </row>
    <row r="66" spans="1:2" ht="15" customHeight="1" x14ac:dyDescent="0.2">
      <c r="B66" s="19"/>
    </row>
    <row r="67" spans="1:2" ht="15" customHeight="1" x14ac:dyDescent="0.2">
      <c r="A67" s="25" t="s">
        <v>178</v>
      </c>
      <c r="B67" s="19">
        <f>(B64-B65)*B56/(B60*B59)</f>
        <v>200</v>
      </c>
    </row>
    <row r="68" spans="1:2" ht="15" customHeight="1" x14ac:dyDescent="0.2">
      <c r="B68" s="12"/>
    </row>
    <row r="69" spans="1:2" ht="15" customHeight="1" x14ac:dyDescent="0.2">
      <c r="A69" s="8" t="s">
        <v>1692</v>
      </c>
      <c r="B69" s="12"/>
    </row>
    <row r="70" spans="1:2" ht="15" customHeight="1" x14ac:dyDescent="0.2">
      <c r="A70" s="8" t="s">
        <v>1693</v>
      </c>
      <c r="B70" s="12"/>
    </row>
    <row r="71" spans="1:2" ht="15" customHeight="1" x14ac:dyDescent="0.2">
      <c r="A71" s="8" t="s">
        <v>1703</v>
      </c>
      <c r="B71" s="12"/>
    </row>
    <row r="72" spans="1:2" ht="15" customHeight="1" x14ac:dyDescent="0.2">
      <c r="A72" s="9" t="s">
        <v>1694</v>
      </c>
      <c r="B72" s="12"/>
    </row>
    <row r="73" spans="1:2" ht="15" customHeight="1" x14ac:dyDescent="0.2">
      <c r="A73" s="9" t="s">
        <v>1695</v>
      </c>
      <c r="B73" s="12"/>
    </row>
    <row r="74" spans="1:2" ht="15" customHeight="1" x14ac:dyDescent="0.2">
      <c r="A74" s="9" t="s">
        <v>1696</v>
      </c>
      <c r="B74" s="12"/>
    </row>
    <row r="75" spans="1:2" ht="15" customHeight="1" x14ac:dyDescent="0.2">
      <c r="A75" s="9" t="s">
        <v>1697</v>
      </c>
      <c r="B75" s="12"/>
    </row>
    <row r="76" spans="1:2" ht="15" customHeight="1" x14ac:dyDescent="0.2">
      <c r="B76" s="12"/>
    </row>
    <row r="77" spans="1:2" ht="15" customHeight="1" x14ac:dyDescent="0.2">
      <c r="A77" s="9" t="s">
        <v>98</v>
      </c>
      <c r="B77" s="12"/>
    </row>
    <row r="78" spans="1:2" ht="15" customHeight="1" x14ac:dyDescent="0.2">
      <c r="B78" s="12"/>
    </row>
    <row r="79" spans="1:2" ht="15" customHeight="1" x14ac:dyDescent="0.2">
      <c r="A79" s="9" t="s">
        <v>1698</v>
      </c>
      <c r="B79" s="12"/>
    </row>
    <row r="80" spans="1:2" ht="15" customHeight="1" x14ac:dyDescent="0.2">
      <c r="B80" s="12"/>
    </row>
    <row r="81" spans="1:2" ht="15" customHeight="1" x14ac:dyDescent="0.25">
      <c r="A81" s="25" t="s">
        <v>3693</v>
      </c>
      <c r="B81" s="12">
        <v>10000000</v>
      </c>
    </row>
    <row r="82" spans="1:2" ht="15" customHeight="1" x14ac:dyDescent="0.2">
      <c r="A82" s="25" t="s">
        <v>83</v>
      </c>
      <c r="B82" s="9">
        <v>0.5</v>
      </c>
    </row>
    <row r="83" spans="1:2" ht="15" customHeight="1" x14ac:dyDescent="0.2">
      <c r="A83" s="9" t="s">
        <v>145</v>
      </c>
      <c r="B83" s="12">
        <v>9500000</v>
      </c>
    </row>
    <row r="84" spans="1:2" ht="15" customHeight="1" x14ac:dyDescent="0.25">
      <c r="A84" s="25" t="s">
        <v>3451</v>
      </c>
      <c r="B84" s="12">
        <v>500</v>
      </c>
    </row>
    <row r="85" spans="1:2" ht="15" customHeight="1" x14ac:dyDescent="0.2">
      <c r="A85" s="25" t="s">
        <v>99</v>
      </c>
      <c r="B85" s="21">
        <v>0.1</v>
      </c>
    </row>
    <row r="86" spans="1:2" ht="15" customHeight="1" x14ac:dyDescent="0.2">
      <c r="A86" s="25" t="s">
        <v>1700</v>
      </c>
      <c r="B86" s="19">
        <v>1</v>
      </c>
    </row>
    <row r="87" spans="1:2" ht="15" customHeight="1" x14ac:dyDescent="0.2">
      <c r="B87" s="19"/>
    </row>
    <row r="88" spans="1:2" ht="15" customHeight="1" x14ac:dyDescent="0.2">
      <c r="A88" s="25" t="s">
        <v>82</v>
      </c>
      <c r="B88" s="12">
        <f>B84*(1+(B83/B81-1-(1-B86)*B85*B82)/B86)</f>
        <v>475</v>
      </c>
    </row>
    <row r="89" spans="1:2" ht="15" customHeight="1" x14ac:dyDescent="0.2">
      <c r="B89" s="12"/>
    </row>
    <row r="90" spans="1:2" ht="15" customHeight="1" x14ac:dyDescent="0.2">
      <c r="B90" s="12"/>
    </row>
    <row r="91" spans="1:2" ht="15" customHeight="1" x14ac:dyDescent="0.2">
      <c r="A91" s="8" t="s">
        <v>1699</v>
      </c>
      <c r="B91" s="12"/>
    </row>
    <row r="92" spans="1:2" ht="15" customHeight="1" x14ac:dyDescent="0.2">
      <c r="A92" s="8" t="s">
        <v>1687</v>
      </c>
      <c r="B92" s="12"/>
    </row>
    <row r="93" spans="1:2" ht="15" customHeight="1" x14ac:dyDescent="0.2">
      <c r="A93" s="8" t="s">
        <v>1704</v>
      </c>
      <c r="B93" s="12"/>
    </row>
    <row r="94" spans="1:2" ht="15" customHeight="1" x14ac:dyDescent="0.2">
      <c r="A94" s="9" t="s">
        <v>1688</v>
      </c>
      <c r="B94" s="12"/>
    </row>
    <row r="95" spans="1:2" ht="15" customHeight="1" x14ac:dyDescent="0.2">
      <c r="A95" s="9" t="s">
        <v>1689</v>
      </c>
      <c r="B95" s="12"/>
    </row>
    <row r="96" spans="1:2" ht="15" customHeight="1" x14ac:dyDescent="0.2">
      <c r="A96" s="9" t="s">
        <v>1690</v>
      </c>
      <c r="B96" s="12"/>
    </row>
    <row r="97" spans="1:2" ht="15" customHeight="1" x14ac:dyDescent="0.2">
      <c r="A97" s="9" t="s">
        <v>1691</v>
      </c>
      <c r="B97" s="12"/>
    </row>
    <row r="98" spans="1:2" ht="15" customHeight="1" x14ac:dyDescent="0.2">
      <c r="B98" s="12"/>
    </row>
    <row r="99" spans="1:2" ht="15" customHeight="1" x14ac:dyDescent="0.2">
      <c r="A99" s="9" t="s">
        <v>110</v>
      </c>
      <c r="B99" s="12"/>
    </row>
    <row r="100" spans="1:2" ht="15" customHeight="1" x14ac:dyDescent="0.2">
      <c r="B100" s="12"/>
    </row>
    <row r="101" spans="1:2" ht="15" customHeight="1" x14ac:dyDescent="0.2">
      <c r="A101" s="9" t="s">
        <v>3272</v>
      </c>
      <c r="B101" s="12"/>
    </row>
    <row r="102" spans="1:2" ht="15" customHeight="1" x14ac:dyDescent="0.2">
      <c r="B102" s="12"/>
    </row>
    <row r="103" spans="1:2" ht="15" customHeight="1" x14ac:dyDescent="0.25">
      <c r="A103" s="25" t="s">
        <v>3693</v>
      </c>
      <c r="B103" s="12">
        <v>10000000</v>
      </c>
    </row>
    <row r="104" spans="1:2" ht="15" customHeight="1" x14ac:dyDescent="0.2">
      <c r="A104" s="25" t="s">
        <v>83</v>
      </c>
      <c r="B104" s="9">
        <v>0.5</v>
      </c>
    </row>
    <row r="105" spans="1:2" ht="15" customHeight="1" x14ac:dyDescent="0.2">
      <c r="A105" s="9" t="s">
        <v>145</v>
      </c>
      <c r="B105" s="12">
        <v>9500000</v>
      </c>
    </row>
    <row r="106" spans="1:2" ht="15" customHeight="1" x14ac:dyDescent="0.25">
      <c r="A106" s="25" t="s">
        <v>3451</v>
      </c>
      <c r="B106" s="12">
        <v>500</v>
      </c>
    </row>
    <row r="107" spans="1:2" ht="15" customHeight="1" x14ac:dyDescent="0.2">
      <c r="A107" s="9" t="s">
        <v>6</v>
      </c>
      <c r="B107" s="19">
        <v>100</v>
      </c>
    </row>
    <row r="108" spans="1:2" ht="15" customHeight="1" x14ac:dyDescent="0.2">
      <c r="A108" s="25" t="s">
        <v>99</v>
      </c>
      <c r="B108" s="21">
        <v>0.1</v>
      </c>
    </row>
    <row r="109" spans="1:2" ht="15" customHeight="1" x14ac:dyDescent="0.2">
      <c r="A109" s="25" t="s">
        <v>1700</v>
      </c>
      <c r="B109" s="19">
        <v>0.5</v>
      </c>
    </row>
    <row r="110" spans="1:2" ht="15" customHeight="1" x14ac:dyDescent="0.2">
      <c r="B110" s="19"/>
    </row>
    <row r="111" spans="1:2" ht="15" customHeight="1" x14ac:dyDescent="0.2">
      <c r="A111" s="25" t="s">
        <v>178</v>
      </c>
      <c r="B111" s="12">
        <f>B109*B103/(B106*B107)</f>
        <v>100</v>
      </c>
    </row>
    <row r="113" spans="1:2" ht="15" customHeight="1" x14ac:dyDescent="0.2">
      <c r="A113" s="8" t="s">
        <v>1705</v>
      </c>
      <c r="B113" s="12"/>
    </row>
    <row r="114" spans="1:2" ht="15" customHeight="1" x14ac:dyDescent="0.2">
      <c r="A114" s="8" t="s">
        <v>1687</v>
      </c>
      <c r="B114" s="12"/>
    </row>
    <row r="115" spans="1:2" ht="15" customHeight="1" x14ac:dyDescent="0.2">
      <c r="A115" s="8" t="s">
        <v>1706</v>
      </c>
      <c r="B115" s="12"/>
    </row>
    <row r="116" spans="1:2" ht="15" customHeight="1" x14ac:dyDescent="0.2">
      <c r="A116" s="8" t="s">
        <v>1707</v>
      </c>
      <c r="B116" s="12"/>
    </row>
    <row r="117" spans="1:2" ht="15" customHeight="1" x14ac:dyDescent="0.2">
      <c r="A117" s="9" t="s">
        <v>1708</v>
      </c>
      <c r="B117" s="12"/>
    </row>
    <row r="118" spans="1:2" ht="15" customHeight="1" x14ac:dyDescent="0.2">
      <c r="A118" s="9" t="s">
        <v>1709</v>
      </c>
      <c r="B118" s="12"/>
    </row>
    <row r="119" spans="1:2" ht="15" customHeight="1" x14ac:dyDescent="0.2">
      <c r="A119" s="9" t="s">
        <v>1710</v>
      </c>
      <c r="B119" s="12"/>
    </row>
    <row r="120" spans="1:2" ht="15" customHeight="1" x14ac:dyDescent="0.2">
      <c r="A120" s="9" t="s">
        <v>1711</v>
      </c>
      <c r="B120" s="12"/>
    </row>
    <row r="121" spans="1:2" ht="15" customHeight="1" x14ac:dyDescent="0.2">
      <c r="B121" s="12"/>
    </row>
    <row r="122" spans="1:2" ht="15" customHeight="1" x14ac:dyDescent="0.2">
      <c r="A122" s="9" t="s">
        <v>110</v>
      </c>
      <c r="B122" s="12"/>
    </row>
    <row r="123" spans="1:2" ht="15" customHeight="1" x14ac:dyDescent="0.2">
      <c r="B123" s="12"/>
    </row>
    <row r="124" spans="1:2" ht="15" customHeight="1" x14ac:dyDescent="0.2">
      <c r="A124" s="9" t="s">
        <v>1712</v>
      </c>
      <c r="B124" s="12"/>
    </row>
    <row r="125" spans="1:2" ht="15" customHeight="1" x14ac:dyDescent="0.2">
      <c r="A125" s="9" t="s">
        <v>1713</v>
      </c>
      <c r="B125" s="12"/>
    </row>
    <row r="126" spans="1:2" ht="15" customHeight="1" x14ac:dyDescent="0.2">
      <c r="A126" s="9" t="s">
        <v>1714</v>
      </c>
      <c r="B126" s="12"/>
    </row>
    <row r="127" spans="1:2" ht="15" customHeight="1" x14ac:dyDescent="0.2">
      <c r="B127" s="12"/>
    </row>
    <row r="128" spans="1:2" ht="15" customHeight="1" x14ac:dyDescent="0.25">
      <c r="A128" s="25" t="s">
        <v>3693</v>
      </c>
      <c r="B128" s="12">
        <v>10000000</v>
      </c>
    </row>
    <row r="129" spans="1:2" ht="15" customHeight="1" x14ac:dyDescent="0.2">
      <c r="A129" s="25" t="s">
        <v>83</v>
      </c>
      <c r="B129" s="9">
        <v>0.5</v>
      </c>
    </row>
    <row r="130" spans="1:2" ht="15" customHeight="1" x14ac:dyDescent="0.2">
      <c r="A130" s="9" t="s">
        <v>145</v>
      </c>
      <c r="B130" s="12">
        <v>9500000</v>
      </c>
    </row>
    <row r="131" spans="1:2" ht="15" customHeight="1" x14ac:dyDescent="0.25">
      <c r="A131" s="25" t="s">
        <v>3451</v>
      </c>
      <c r="B131" s="12">
        <v>500</v>
      </c>
    </row>
    <row r="132" spans="1:2" ht="15" customHeight="1" x14ac:dyDescent="0.2">
      <c r="A132" s="25" t="s">
        <v>99</v>
      </c>
      <c r="B132" s="21">
        <v>0.1</v>
      </c>
    </row>
    <row r="133" spans="1:2" ht="15" customHeight="1" x14ac:dyDescent="0.2">
      <c r="A133" s="25" t="s">
        <v>1700</v>
      </c>
      <c r="B133" s="19">
        <v>0.5</v>
      </c>
    </row>
    <row r="134" spans="1:2" ht="15" customHeight="1" x14ac:dyDescent="0.2">
      <c r="B134" s="19"/>
    </row>
    <row r="135" spans="1:2" ht="15" customHeight="1" x14ac:dyDescent="0.2">
      <c r="A135" s="25" t="s">
        <v>82</v>
      </c>
      <c r="B135" s="12">
        <f>B131*(1+(B130/B128-1-(1-B133)*B132*B129)/B133)</f>
        <v>424.99999999999994</v>
      </c>
    </row>
    <row r="137" spans="1:2" ht="15" customHeight="1" x14ac:dyDescent="0.2">
      <c r="A137" s="8" t="s">
        <v>1681</v>
      </c>
    </row>
    <row r="138" spans="1:2" ht="15" customHeight="1" x14ac:dyDescent="0.25">
      <c r="A138" s="8" t="s">
        <v>3696</v>
      </c>
    </row>
    <row r="139" spans="1:2" ht="15" customHeight="1" x14ac:dyDescent="0.2">
      <c r="A139" s="8" t="s">
        <v>1715</v>
      </c>
    </row>
    <row r="140" spans="1:2" ht="15" customHeight="1" x14ac:dyDescent="0.2">
      <c r="A140" s="9" t="s">
        <v>1716</v>
      </c>
    </row>
    <row r="141" spans="1:2" ht="15" customHeight="1" x14ac:dyDescent="0.2">
      <c r="A141" s="9" t="s">
        <v>1717</v>
      </c>
    </row>
    <row r="142" spans="1:2" ht="15" customHeight="1" x14ac:dyDescent="0.2">
      <c r="A142" s="9" t="s">
        <v>1718</v>
      </c>
    </row>
    <row r="143" spans="1:2" ht="15" customHeight="1" x14ac:dyDescent="0.2">
      <c r="A143" s="9" t="s">
        <v>1719</v>
      </c>
    </row>
    <row r="145" spans="1:2" ht="15" customHeight="1" x14ac:dyDescent="0.2">
      <c r="A145" s="9" t="s">
        <v>110</v>
      </c>
    </row>
    <row r="147" spans="1:2" ht="15" customHeight="1" x14ac:dyDescent="0.25">
      <c r="A147" s="9" t="s">
        <v>3697</v>
      </c>
    </row>
    <row r="148" spans="1:2" ht="15" customHeight="1" x14ac:dyDescent="0.25">
      <c r="A148" s="9" t="s">
        <v>3698</v>
      </c>
    </row>
    <row r="149" spans="1:2" ht="15" customHeight="1" x14ac:dyDescent="0.2">
      <c r="A149" s="8"/>
    </row>
    <row r="150" spans="1:2" ht="15" customHeight="1" x14ac:dyDescent="0.25">
      <c r="A150" s="25" t="s">
        <v>3451</v>
      </c>
      <c r="B150" s="12">
        <v>1000</v>
      </c>
    </row>
    <row r="151" spans="1:2" ht="15" customHeight="1" x14ac:dyDescent="0.2">
      <c r="A151" s="25" t="s">
        <v>82</v>
      </c>
      <c r="B151" s="12">
        <v>1050</v>
      </c>
    </row>
    <row r="152" spans="1:2" ht="15" customHeight="1" x14ac:dyDescent="0.2">
      <c r="A152" s="25" t="s">
        <v>83</v>
      </c>
      <c r="B152" s="9">
        <v>0.5</v>
      </c>
    </row>
    <row r="153" spans="1:2" ht="15" customHeight="1" x14ac:dyDescent="0.2">
      <c r="A153" s="25" t="s">
        <v>56</v>
      </c>
      <c r="B153" s="21">
        <v>0.02</v>
      </c>
    </row>
    <row r="154" spans="1:2" ht="15" customHeight="1" x14ac:dyDescent="0.2">
      <c r="A154" s="25" t="s">
        <v>99</v>
      </c>
      <c r="B154" s="21">
        <v>0.04</v>
      </c>
    </row>
    <row r="156" spans="1:2" ht="15" customHeight="1" x14ac:dyDescent="0.2">
      <c r="A156" s="9" t="s">
        <v>145</v>
      </c>
      <c r="B156" s="15">
        <f>B151*EXP(-B154*B152)-B150*EXP(-B153*B152)</f>
        <v>39.158773222924992</v>
      </c>
    </row>
    <row r="158" spans="1:2" ht="15" customHeight="1" x14ac:dyDescent="0.25">
      <c r="A158" s="8" t="s">
        <v>3699</v>
      </c>
    </row>
    <row r="159" spans="1:2" ht="15" customHeight="1" x14ac:dyDescent="0.2">
      <c r="A159" s="9" t="s">
        <v>16</v>
      </c>
    </row>
    <row r="160" spans="1:2" ht="15" customHeight="1" x14ac:dyDescent="0.2">
      <c r="A160" s="9" t="s">
        <v>3700</v>
      </c>
    </row>
    <row r="161" spans="1:2" ht="15" customHeight="1" x14ac:dyDescent="0.2">
      <c r="A161" s="9" t="s">
        <v>1720</v>
      </c>
    </row>
    <row r="162" spans="1:2" ht="15" customHeight="1" x14ac:dyDescent="0.2">
      <c r="A162" s="9" t="s">
        <v>1721</v>
      </c>
    </row>
    <row r="163" spans="1:2" ht="15" customHeight="1" x14ac:dyDescent="0.2">
      <c r="A163" s="9" t="s">
        <v>1722</v>
      </c>
    </row>
    <row r="164" spans="1:2" ht="15" customHeight="1" x14ac:dyDescent="0.2">
      <c r="A164" s="9" t="s">
        <v>1723</v>
      </c>
    </row>
    <row r="166" spans="1:2" ht="15" customHeight="1" x14ac:dyDescent="0.2">
      <c r="A166" s="9" t="s">
        <v>80</v>
      </c>
    </row>
    <row r="168" spans="1:2" ht="15" customHeight="1" x14ac:dyDescent="0.25">
      <c r="A168" s="9" t="s">
        <v>3701</v>
      </c>
    </row>
    <row r="169" spans="1:2" ht="15" customHeight="1" x14ac:dyDescent="0.25">
      <c r="A169" s="9" t="s">
        <v>3702</v>
      </c>
    </row>
    <row r="171" spans="1:2" ht="15" customHeight="1" x14ac:dyDescent="0.25">
      <c r="A171" s="25" t="s">
        <v>3451</v>
      </c>
      <c r="B171" s="17">
        <v>1</v>
      </c>
    </row>
    <row r="172" spans="1:2" ht="15" customHeight="1" x14ac:dyDescent="0.2">
      <c r="A172" s="25" t="s">
        <v>82</v>
      </c>
      <c r="B172" s="17">
        <v>0.91</v>
      </c>
    </row>
    <row r="173" spans="1:2" ht="15" customHeight="1" x14ac:dyDescent="0.2">
      <c r="A173" s="25" t="s">
        <v>83</v>
      </c>
      <c r="B173" s="9">
        <v>1</v>
      </c>
    </row>
    <row r="174" spans="1:2" ht="15" customHeight="1" x14ac:dyDescent="0.2">
      <c r="A174" s="25" t="s">
        <v>99</v>
      </c>
      <c r="B174" s="21">
        <v>0.05</v>
      </c>
    </row>
    <row r="175" spans="1:2" ht="15" customHeight="1" x14ac:dyDescent="0.25">
      <c r="A175" s="25" t="s">
        <v>3703</v>
      </c>
      <c r="B175" s="21">
        <v>0.03</v>
      </c>
    </row>
    <row r="177" spans="1:2" ht="15" customHeight="1" x14ac:dyDescent="0.2">
      <c r="A177" s="9" t="s">
        <v>145</v>
      </c>
      <c r="B177" s="17">
        <f>B171*EXP(-B175*B173)-B172*EXP(-B174*B173)</f>
        <v>0.10482675725285839</v>
      </c>
    </row>
    <row r="179" spans="1:2" ht="15" customHeight="1" x14ac:dyDescent="0.2">
      <c r="A179" s="8" t="s">
        <v>1724</v>
      </c>
    </row>
    <row r="180" spans="1:2" ht="15" customHeight="1" x14ac:dyDescent="0.2">
      <c r="A180" s="9" t="s">
        <v>1725</v>
      </c>
    </row>
    <row r="181" spans="1:2" ht="15" customHeight="1" x14ac:dyDescent="0.2">
      <c r="A181" s="9" t="s">
        <v>1726</v>
      </c>
    </row>
    <row r="182" spans="1:2" ht="15" customHeight="1" x14ac:dyDescent="0.2">
      <c r="A182" s="9" t="s">
        <v>1727</v>
      </c>
    </row>
    <row r="183" spans="1:2" ht="15" customHeight="1" x14ac:dyDescent="0.2">
      <c r="A183" s="9" t="s">
        <v>839</v>
      </c>
    </row>
    <row r="185" spans="1:2" ht="15" customHeight="1" x14ac:dyDescent="0.2">
      <c r="A185" s="9" t="s">
        <v>110</v>
      </c>
    </row>
    <row r="187" spans="1:2" ht="15" customHeight="1" x14ac:dyDescent="0.2">
      <c r="A187" s="9" t="s">
        <v>1728</v>
      </c>
    </row>
    <row r="189" spans="1:2" ht="15" customHeight="1" x14ac:dyDescent="0.2">
      <c r="A189" s="8" t="s">
        <v>1729</v>
      </c>
    </row>
    <row r="190" spans="1:2" ht="15" customHeight="1" x14ac:dyDescent="0.2">
      <c r="A190" s="9" t="s">
        <v>1730</v>
      </c>
    </row>
    <row r="191" spans="1:2" ht="15" customHeight="1" x14ac:dyDescent="0.2">
      <c r="A191" s="9" t="s">
        <v>1731</v>
      </c>
    </row>
    <row r="192" spans="1:2" ht="15" customHeight="1" x14ac:dyDescent="0.2">
      <c r="A192" s="9" t="s">
        <v>1732</v>
      </c>
    </row>
    <row r="193" spans="1:1" ht="15" customHeight="1" x14ac:dyDescent="0.2">
      <c r="A193" s="9" t="s">
        <v>1733</v>
      </c>
    </row>
    <row r="195" spans="1:1" ht="15" customHeight="1" x14ac:dyDescent="0.2">
      <c r="A195" s="9" t="s">
        <v>98</v>
      </c>
    </row>
    <row r="197" spans="1:1" ht="15" customHeight="1" x14ac:dyDescent="0.2">
      <c r="A197" s="9" t="s">
        <v>1734</v>
      </c>
    </row>
    <row r="199" spans="1:1" ht="15" customHeight="1" x14ac:dyDescent="0.25">
      <c r="A199" s="8" t="s">
        <v>3704</v>
      </c>
    </row>
    <row r="200" spans="1:1" ht="15" customHeight="1" x14ac:dyDescent="0.2">
      <c r="A200" s="8" t="s">
        <v>1735</v>
      </c>
    </row>
    <row r="201" spans="1:1" ht="15" customHeight="1" x14ac:dyDescent="0.2">
      <c r="A201" s="9" t="s">
        <v>1736</v>
      </c>
    </row>
    <row r="202" spans="1:1" ht="15" customHeight="1" x14ac:dyDescent="0.2">
      <c r="A202" s="9" t="s">
        <v>1737</v>
      </c>
    </row>
    <row r="203" spans="1:1" ht="15" customHeight="1" x14ac:dyDescent="0.2">
      <c r="A203" s="9" t="s">
        <v>1738</v>
      </c>
    </row>
    <row r="204" spans="1:1" ht="15" customHeight="1" x14ac:dyDescent="0.2">
      <c r="A204" s="9" t="s">
        <v>1739</v>
      </c>
    </row>
    <row r="206" spans="1:1" ht="15" customHeight="1" x14ac:dyDescent="0.2">
      <c r="A206" s="9" t="s">
        <v>80</v>
      </c>
    </row>
    <row r="208" spans="1:1" ht="15" customHeight="1" x14ac:dyDescent="0.2">
      <c r="A208" s="9" t="s">
        <v>3705</v>
      </c>
    </row>
    <row r="210" spans="1:2" ht="15" customHeight="1" x14ac:dyDescent="0.2">
      <c r="A210" s="9" t="s">
        <v>1740</v>
      </c>
    </row>
    <row r="212" spans="1:2" ht="15" customHeight="1" x14ac:dyDescent="0.2">
      <c r="A212" s="48" t="s">
        <v>190</v>
      </c>
      <c r="B212" s="21">
        <v>0.12</v>
      </c>
    </row>
    <row r="213" spans="1:2" ht="15" customHeight="1" x14ac:dyDescent="0.2">
      <c r="A213" s="9" t="s">
        <v>3706</v>
      </c>
      <c r="B213" s="9">
        <f>3/12</f>
        <v>0.25</v>
      </c>
    </row>
    <row r="214" spans="1:2" ht="15" customHeight="1" x14ac:dyDescent="0.2">
      <c r="A214" s="25" t="s">
        <v>99</v>
      </c>
      <c r="B214" s="21">
        <v>0.04</v>
      </c>
    </row>
    <row r="215" spans="1:2" ht="15" customHeight="1" x14ac:dyDescent="0.25">
      <c r="A215" s="25" t="s">
        <v>3703</v>
      </c>
      <c r="B215" s="21">
        <v>0.06</v>
      </c>
    </row>
    <row r="217" spans="1:2" ht="15" customHeight="1" x14ac:dyDescent="0.2">
      <c r="A217" s="25" t="s">
        <v>55</v>
      </c>
      <c r="B217" s="16">
        <f>EXP(B212*SQRT(B213))</f>
        <v>1.0618365465453596</v>
      </c>
    </row>
    <row r="218" spans="1:2" ht="15" customHeight="1" x14ac:dyDescent="0.2">
      <c r="A218" s="25" t="s">
        <v>102</v>
      </c>
      <c r="B218" s="16">
        <f>1/B217</f>
        <v>0.94176453358424872</v>
      </c>
    </row>
    <row r="219" spans="1:2" ht="15" customHeight="1" x14ac:dyDescent="0.2">
      <c r="A219" s="25" t="s">
        <v>87</v>
      </c>
      <c r="B219" s="1">
        <f>(EXP((B214-B215)*B213)-B218)/(B217-B218)</f>
        <v>0.44346675212049302</v>
      </c>
    </row>
    <row r="221" spans="1:2" ht="15" customHeight="1" x14ac:dyDescent="0.2">
      <c r="A221" s="8" t="s">
        <v>1741</v>
      </c>
    </row>
    <row r="222" spans="1:2" ht="15" customHeight="1" x14ac:dyDescent="0.2">
      <c r="A222" s="8" t="s">
        <v>1742</v>
      </c>
    </row>
    <row r="223" spans="1:2" ht="15" customHeight="1" x14ac:dyDescent="0.2">
      <c r="A223" s="9" t="s">
        <v>1743</v>
      </c>
    </row>
    <row r="224" spans="1:2" ht="15" customHeight="1" x14ac:dyDescent="0.2">
      <c r="A224" s="9" t="s">
        <v>1744</v>
      </c>
    </row>
    <row r="225" spans="1:2" ht="15" customHeight="1" x14ac:dyDescent="0.2">
      <c r="A225" s="9" t="s">
        <v>1745</v>
      </c>
    </row>
    <row r="226" spans="1:2" ht="15" customHeight="1" x14ac:dyDescent="0.2">
      <c r="A226" s="9" t="s">
        <v>1746</v>
      </c>
    </row>
    <row r="228" spans="1:2" ht="15" customHeight="1" x14ac:dyDescent="0.2">
      <c r="A228" s="9" t="s">
        <v>88</v>
      </c>
    </row>
    <row r="230" spans="1:2" ht="15" customHeight="1" x14ac:dyDescent="0.2">
      <c r="A230" s="9" t="s">
        <v>1747</v>
      </c>
    </row>
    <row r="232" spans="1:2" ht="15" customHeight="1" x14ac:dyDescent="0.2">
      <c r="A232" s="9" t="s">
        <v>1748</v>
      </c>
    </row>
    <row r="234" spans="1:2" ht="15" customHeight="1" x14ac:dyDescent="0.2">
      <c r="A234" s="48" t="s">
        <v>190</v>
      </c>
      <c r="B234" s="21">
        <v>0.16</v>
      </c>
    </row>
    <row r="235" spans="1:2" ht="15" customHeight="1" x14ac:dyDescent="0.2">
      <c r="A235" s="9" t="s">
        <v>3706</v>
      </c>
      <c r="B235" s="9">
        <f>1/12</f>
        <v>8.3333333333333329E-2</v>
      </c>
    </row>
    <row r="236" spans="1:2" ht="15" customHeight="1" x14ac:dyDescent="0.2">
      <c r="A236" s="25" t="s">
        <v>99</v>
      </c>
      <c r="B236" s="21">
        <v>0.03</v>
      </c>
    </row>
    <row r="237" spans="1:2" ht="15" customHeight="1" x14ac:dyDescent="0.25">
      <c r="A237" s="25" t="s">
        <v>3703</v>
      </c>
      <c r="B237" s="21">
        <v>0.01</v>
      </c>
    </row>
    <row r="239" spans="1:2" ht="15" customHeight="1" x14ac:dyDescent="0.2">
      <c r="A239" s="25" t="s">
        <v>55</v>
      </c>
      <c r="B239" s="16">
        <f>EXP(B234*SQRT(B235))</f>
        <v>1.0472713020044211</v>
      </c>
    </row>
    <row r="240" spans="1:2" ht="15" customHeight="1" x14ac:dyDescent="0.2">
      <c r="A240" s="25" t="s">
        <v>102</v>
      </c>
      <c r="B240" s="16">
        <f>1/B239</f>
        <v>0.9548624106151421</v>
      </c>
    </row>
    <row r="241" spans="1:2" ht="15" customHeight="1" x14ac:dyDescent="0.2">
      <c r="A241" s="25" t="s">
        <v>87</v>
      </c>
      <c r="B241" s="1">
        <f>(EXP((B236-B237)*B235)-B240)/(B239-B240)</f>
        <v>0.50650586765690997</v>
      </c>
    </row>
    <row r="243" spans="1:2" s="8" customFormat="1" ht="15" customHeight="1" x14ac:dyDescent="0.2">
      <c r="A243" s="8" t="s">
        <v>1749</v>
      </c>
    </row>
    <row r="244" spans="1:2" ht="15" customHeight="1" x14ac:dyDescent="0.2">
      <c r="A244" s="8" t="s">
        <v>1750</v>
      </c>
    </row>
    <row r="245" spans="1:2" ht="15" customHeight="1" x14ac:dyDescent="0.2">
      <c r="A245" s="9" t="s">
        <v>3707</v>
      </c>
    </row>
    <row r="246" spans="1:2" ht="15" customHeight="1" x14ac:dyDescent="0.2">
      <c r="A246" s="9" t="s">
        <v>3708</v>
      </c>
    </row>
    <row r="247" spans="1:2" ht="15" customHeight="1" x14ac:dyDescent="0.2">
      <c r="A247" s="9" t="s">
        <v>3709</v>
      </c>
    </row>
    <row r="248" spans="1:2" ht="15" customHeight="1" x14ac:dyDescent="0.2">
      <c r="A248" s="9" t="s">
        <v>3710</v>
      </c>
    </row>
    <row r="250" spans="1:2" ht="15" customHeight="1" x14ac:dyDescent="0.2">
      <c r="A250" s="9" t="s">
        <v>98</v>
      </c>
    </row>
    <row r="252" spans="1:2" ht="15" customHeight="1" x14ac:dyDescent="0.2">
      <c r="A252" s="9" t="s">
        <v>3711</v>
      </c>
    </row>
    <row r="254" spans="1:2" ht="15" customHeight="1" x14ac:dyDescent="0.25">
      <c r="A254" s="9" t="s">
        <v>3712</v>
      </c>
    </row>
    <row r="255" spans="1:2" ht="15" customHeight="1" x14ac:dyDescent="0.2">
      <c r="A255" s="9" t="s">
        <v>1504</v>
      </c>
    </row>
    <row r="257" spans="1:2" ht="15" customHeight="1" x14ac:dyDescent="0.25">
      <c r="A257" s="9" t="s">
        <v>3638</v>
      </c>
      <c r="B257" s="17">
        <v>1.2</v>
      </c>
    </row>
    <row r="258" spans="1:2" ht="15" customHeight="1" x14ac:dyDescent="0.2">
      <c r="A258" s="25" t="s">
        <v>82</v>
      </c>
      <c r="B258" s="17">
        <v>1.2</v>
      </c>
    </row>
    <row r="259" spans="1:2" ht="15" customHeight="1" x14ac:dyDescent="0.2">
      <c r="A259" s="25" t="s">
        <v>99</v>
      </c>
      <c r="B259" s="21">
        <v>0.02</v>
      </c>
    </row>
    <row r="260" spans="1:2" ht="15" customHeight="1" x14ac:dyDescent="0.25">
      <c r="A260" s="25" t="s">
        <v>3703</v>
      </c>
      <c r="B260" s="21">
        <v>0.05</v>
      </c>
    </row>
    <row r="261" spans="1:2" ht="15" customHeight="1" x14ac:dyDescent="0.2">
      <c r="A261" s="25" t="s">
        <v>190</v>
      </c>
      <c r="B261" s="21">
        <v>0.1</v>
      </c>
    </row>
    <row r="262" spans="1:2" ht="15" customHeight="1" x14ac:dyDescent="0.2">
      <c r="A262" s="25" t="s">
        <v>83</v>
      </c>
      <c r="B262" s="9">
        <v>4</v>
      </c>
    </row>
    <row r="264" spans="1:2" ht="15" customHeight="1" x14ac:dyDescent="0.25">
      <c r="A264" s="25" t="s">
        <v>3713</v>
      </c>
      <c r="B264" s="17">
        <f>B257*EXP(-B260*B262)</f>
        <v>0.9824769036935781</v>
      </c>
    </row>
    <row r="265" spans="1:2" ht="15" customHeight="1" x14ac:dyDescent="0.2">
      <c r="A265" s="25" t="s">
        <v>3674</v>
      </c>
      <c r="B265" s="17">
        <f>B258*EXP(-B259*B262)</f>
        <v>1.107739615663963</v>
      </c>
    </row>
    <row r="266" spans="1:2" ht="15" customHeight="1" x14ac:dyDescent="0.25">
      <c r="A266" s="25" t="s">
        <v>3639</v>
      </c>
      <c r="B266" s="9">
        <f>(LN(B257/B258)+(B259-B260+B261^2/2)*B262)/(B261*SQRT(B262))</f>
        <v>-0.5</v>
      </c>
    </row>
    <row r="267" spans="1:2" ht="15" customHeight="1" x14ac:dyDescent="0.25">
      <c r="A267" s="25" t="s">
        <v>3675</v>
      </c>
      <c r="B267" s="9">
        <f>B266-B261*SQRT(B262)</f>
        <v>-0.7</v>
      </c>
    </row>
    <row r="270" spans="1:2" s="8" customFormat="1" ht="15" customHeight="1" x14ac:dyDescent="0.2">
      <c r="A270" s="8" t="s">
        <v>1751</v>
      </c>
    </row>
    <row r="271" spans="1:2" ht="15" customHeight="1" x14ac:dyDescent="0.2">
      <c r="A271" s="8" t="s">
        <v>1752</v>
      </c>
    </row>
    <row r="272" spans="1:2" ht="15" customHeight="1" x14ac:dyDescent="0.2">
      <c r="A272" s="9" t="s">
        <v>3714</v>
      </c>
    </row>
    <row r="273" spans="1:2" ht="15" customHeight="1" x14ac:dyDescent="0.2">
      <c r="A273" s="9" t="s">
        <v>3715</v>
      </c>
    </row>
    <row r="274" spans="1:2" ht="15" customHeight="1" x14ac:dyDescent="0.2">
      <c r="A274" s="9" t="s">
        <v>3716</v>
      </c>
    </row>
    <row r="275" spans="1:2" ht="15" customHeight="1" x14ac:dyDescent="0.2">
      <c r="A275" s="9" t="s">
        <v>3717</v>
      </c>
    </row>
    <row r="277" spans="1:2" ht="15" customHeight="1" x14ac:dyDescent="0.2">
      <c r="A277" s="9" t="s">
        <v>80</v>
      </c>
    </row>
    <row r="279" spans="1:2" ht="15" customHeight="1" x14ac:dyDescent="0.2">
      <c r="A279" s="9" t="s">
        <v>3718</v>
      </c>
    </row>
    <row r="281" spans="1:2" ht="15" customHeight="1" x14ac:dyDescent="0.25">
      <c r="A281" s="9" t="s">
        <v>3712</v>
      </c>
    </row>
    <row r="282" spans="1:2" ht="15" customHeight="1" x14ac:dyDescent="0.2">
      <c r="A282" s="9" t="s">
        <v>725</v>
      </c>
    </row>
    <row r="284" spans="1:2" ht="15" customHeight="1" x14ac:dyDescent="0.25">
      <c r="A284" s="9" t="s">
        <v>3638</v>
      </c>
      <c r="B284" s="17">
        <v>1.2</v>
      </c>
    </row>
    <row r="285" spans="1:2" ht="15" customHeight="1" x14ac:dyDescent="0.2">
      <c r="A285" s="25" t="s">
        <v>82</v>
      </c>
      <c r="B285" s="17">
        <v>1.2</v>
      </c>
    </row>
    <row r="286" spans="1:2" ht="15" customHeight="1" x14ac:dyDescent="0.2">
      <c r="A286" s="25" t="s">
        <v>99</v>
      </c>
      <c r="B286" s="21">
        <v>0.02</v>
      </c>
    </row>
    <row r="287" spans="1:2" ht="15" customHeight="1" x14ac:dyDescent="0.25">
      <c r="A287" s="25" t="s">
        <v>3703</v>
      </c>
      <c r="B287" s="21">
        <v>0.05</v>
      </c>
    </row>
    <row r="288" spans="1:2" ht="15" customHeight="1" x14ac:dyDescent="0.2">
      <c r="A288" s="25" t="s">
        <v>190</v>
      </c>
      <c r="B288" s="21">
        <v>0.1</v>
      </c>
    </row>
    <row r="289" spans="1:2" ht="15" customHeight="1" x14ac:dyDescent="0.2">
      <c r="A289" s="25" t="s">
        <v>83</v>
      </c>
      <c r="B289" s="9">
        <v>4</v>
      </c>
    </row>
    <row r="291" spans="1:2" ht="15" customHeight="1" x14ac:dyDescent="0.25">
      <c r="A291" s="25" t="s">
        <v>3713</v>
      </c>
      <c r="B291" s="17">
        <f>B284*EXP(-B287*B289)</f>
        <v>0.9824769036935781</v>
      </c>
    </row>
    <row r="292" spans="1:2" ht="15" customHeight="1" x14ac:dyDescent="0.2">
      <c r="A292" s="25" t="s">
        <v>3674</v>
      </c>
      <c r="B292" s="17">
        <f>B285*EXP(-B286*B289)</f>
        <v>1.107739615663963</v>
      </c>
    </row>
    <row r="293" spans="1:2" ht="15" customHeight="1" x14ac:dyDescent="0.25">
      <c r="A293" s="25" t="s">
        <v>3639</v>
      </c>
      <c r="B293" s="9">
        <f>(LN(B284/B285)+(B286-B287+B288^2/2)*B289)/(B288*SQRT(B289))</f>
        <v>-0.5</v>
      </c>
    </row>
    <row r="294" spans="1:2" ht="15" customHeight="1" x14ac:dyDescent="0.25">
      <c r="A294" s="25" t="s">
        <v>3675</v>
      </c>
      <c r="B294" s="9">
        <f>B293-B288*SQRT(B289)</f>
        <v>-0.7</v>
      </c>
    </row>
    <row r="296" spans="1:2" ht="15" customHeight="1" x14ac:dyDescent="0.2">
      <c r="A296" s="8" t="s">
        <v>1753</v>
      </c>
    </row>
    <row r="297" spans="1:2" ht="15" customHeight="1" x14ac:dyDescent="0.2">
      <c r="A297" s="9" t="s">
        <v>1754</v>
      </c>
    </row>
    <row r="298" spans="1:2" ht="15" customHeight="1" x14ac:dyDescent="0.2">
      <c r="A298" s="9" t="s">
        <v>1755</v>
      </c>
    </row>
    <row r="299" spans="1:2" ht="15" customHeight="1" x14ac:dyDescent="0.2">
      <c r="A299" s="9" t="s">
        <v>3408</v>
      </c>
    </row>
    <row r="300" spans="1:2" ht="15" customHeight="1" x14ac:dyDescent="0.2">
      <c r="A300" s="9" t="s">
        <v>1756</v>
      </c>
    </row>
    <row r="302" spans="1:2" ht="15" customHeight="1" x14ac:dyDescent="0.2">
      <c r="A302" s="9" t="s">
        <v>110</v>
      </c>
    </row>
    <row r="304" spans="1:2" ht="15" customHeight="1" x14ac:dyDescent="0.2">
      <c r="A304" s="9" t="s">
        <v>1757</v>
      </c>
    </row>
    <row r="306" spans="1:1" ht="15" customHeight="1" x14ac:dyDescent="0.2">
      <c r="A306" s="8" t="s">
        <v>1758</v>
      </c>
    </row>
    <row r="307" spans="1:1" ht="15" customHeight="1" x14ac:dyDescent="0.2">
      <c r="A307" s="9" t="s">
        <v>1759</v>
      </c>
    </row>
    <row r="308" spans="1:1" ht="15" customHeight="1" x14ac:dyDescent="0.2">
      <c r="A308" s="9" t="s">
        <v>1760</v>
      </c>
    </row>
    <row r="309" spans="1:1" ht="15" customHeight="1" x14ac:dyDescent="0.2">
      <c r="A309" s="9" t="s">
        <v>1761</v>
      </c>
    </row>
    <row r="310" spans="1:1" ht="15" customHeight="1" x14ac:dyDescent="0.2">
      <c r="A310" s="9" t="s">
        <v>1762</v>
      </c>
    </row>
    <row r="312" spans="1:1" ht="15" customHeight="1" x14ac:dyDescent="0.2">
      <c r="A312" s="9" t="s">
        <v>88</v>
      </c>
    </row>
    <row r="314" spans="1:1" ht="15" customHeight="1" x14ac:dyDescent="0.2">
      <c r="A314" s="9" t="s">
        <v>1763</v>
      </c>
    </row>
    <row r="316" spans="1:1" ht="15" customHeight="1" x14ac:dyDescent="0.2">
      <c r="A316" s="8" t="s">
        <v>1764</v>
      </c>
    </row>
    <row r="317" spans="1:1" ht="15" customHeight="1" x14ac:dyDescent="0.2">
      <c r="A317" s="9" t="s">
        <v>1765</v>
      </c>
    </row>
    <row r="318" spans="1:1" ht="15" customHeight="1" x14ac:dyDescent="0.2">
      <c r="A318" s="9" t="s">
        <v>1766</v>
      </c>
    </row>
    <row r="319" spans="1:1" ht="15" customHeight="1" x14ac:dyDescent="0.2">
      <c r="A319" s="9" t="s">
        <v>1767</v>
      </c>
    </row>
    <row r="320" spans="1:1" ht="15" customHeight="1" x14ac:dyDescent="0.2">
      <c r="A320" s="9" t="s">
        <v>1768</v>
      </c>
    </row>
    <row r="322" spans="1:1" ht="15" customHeight="1" x14ac:dyDescent="0.2">
      <c r="A322" s="9" t="s">
        <v>88</v>
      </c>
    </row>
    <row r="324" spans="1:1" ht="15" customHeight="1" x14ac:dyDescent="0.2">
      <c r="A324" s="9" t="s">
        <v>1769</v>
      </c>
    </row>
    <row r="326" spans="1:1" ht="15" customHeight="1" x14ac:dyDescent="0.2">
      <c r="A326" s="8" t="s">
        <v>1770</v>
      </c>
    </row>
    <row r="327" spans="1:1" ht="15" customHeight="1" x14ac:dyDescent="0.2">
      <c r="A327" s="8" t="s">
        <v>1771</v>
      </c>
    </row>
    <row r="328" spans="1:1" ht="15" customHeight="1" x14ac:dyDescent="0.2">
      <c r="A328" s="9" t="s">
        <v>1772</v>
      </c>
    </row>
    <row r="329" spans="1:1" ht="15" customHeight="1" x14ac:dyDescent="0.2">
      <c r="A329" s="9" t="s">
        <v>1773</v>
      </c>
    </row>
    <row r="330" spans="1:1" ht="15" customHeight="1" x14ac:dyDescent="0.2">
      <c r="A330" s="9" t="s">
        <v>1774</v>
      </c>
    </row>
    <row r="331" spans="1:1" ht="15" customHeight="1" x14ac:dyDescent="0.2">
      <c r="A331" s="9" t="s">
        <v>1775</v>
      </c>
    </row>
    <row r="333" spans="1:1" ht="15" customHeight="1" x14ac:dyDescent="0.2">
      <c r="A333" s="9" t="s">
        <v>110</v>
      </c>
    </row>
    <row r="335" spans="1:1" ht="15" customHeight="1" x14ac:dyDescent="0.2">
      <c r="A335" s="9" t="s">
        <v>1776</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6">
    <tabColor rgb="FF536878"/>
    <pageSetUpPr fitToPage="1"/>
  </sheetPr>
  <dimension ref="A1:P264"/>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3256</v>
      </c>
      <c r="B1" s="76"/>
      <c r="C1" s="76"/>
      <c r="D1" s="76"/>
      <c r="E1" s="76"/>
      <c r="F1" s="76"/>
      <c r="G1" s="76"/>
      <c r="H1" s="76"/>
      <c r="I1" s="76"/>
      <c r="J1" s="76"/>
      <c r="K1" s="76"/>
      <c r="L1" s="76"/>
      <c r="M1" s="76"/>
      <c r="N1" s="76"/>
      <c r="O1" s="76"/>
      <c r="P1" s="76"/>
    </row>
    <row r="3" spans="1:16" ht="15" customHeight="1" x14ac:dyDescent="0.2">
      <c r="A3" s="8" t="s">
        <v>1777</v>
      </c>
    </row>
    <row r="4" spans="1:16" ht="15" customHeight="1" x14ac:dyDescent="0.2">
      <c r="A4" s="9" t="s">
        <v>3640</v>
      </c>
    </row>
    <row r="5" spans="1:16" ht="15" customHeight="1" x14ac:dyDescent="0.2">
      <c r="A5" s="9" t="s">
        <v>3641</v>
      </c>
    </row>
    <row r="6" spans="1:16" ht="15" customHeight="1" x14ac:dyDescent="0.2">
      <c r="A6" s="9" t="s">
        <v>3642</v>
      </c>
    </row>
    <row r="7" spans="1:16" ht="15" customHeight="1" x14ac:dyDescent="0.2">
      <c r="A7" s="9" t="s">
        <v>5</v>
      </c>
    </row>
    <row r="9" spans="1:16" ht="15" customHeight="1" x14ac:dyDescent="0.2">
      <c r="A9" s="9" t="s">
        <v>88</v>
      </c>
    </row>
    <row r="11" spans="1:16" ht="15" customHeight="1" x14ac:dyDescent="0.2">
      <c r="A11" s="9" t="s">
        <v>1779</v>
      </c>
    </row>
    <row r="13" spans="1:16" ht="15" customHeight="1" x14ac:dyDescent="0.2">
      <c r="A13" s="8" t="s">
        <v>1778</v>
      </c>
    </row>
    <row r="14" spans="1:16" ht="15" customHeight="1" x14ac:dyDescent="0.2">
      <c r="A14" s="9" t="s">
        <v>3643</v>
      </c>
    </row>
    <row r="15" spans="1:16" ht="15" customHeight="1" x14ac:dyDescent="0.2">
      <c r="A15" s="9" t="s">
        <v>3641</v>
      </c>
    </row>
    <row r="16" spans="1:16" ht="15" customHeight="1" x14ac:dyDescent="0.2">
      <c r="A16" s="9" t="s">
        <v>3642</v>
      </c>
    </row>
    <row r="17" spans="1:1" ht="15" customHeight="1" x14ac:dyDescent="0.2">
      <c r="A17" s="9" t="s">
        <v>5</v>
      </c>
    </row>
    <row r="19" spans="1:1" ht="15" customHeight="1" x14ac:dyDescent="0.2">
      <c r="A19" s="9" t="s">
        <v>80</v>
      </c>
    </row>
    <row r="21" spans="1:1" ht="15" customHeight="1" x14ac:dyDescent="0.2">
      <c r="A21" s="9" t="s">
        <v>1780</v>
      </c>
    </row>
    <row r="23" spans="1:1" ht="15" customHeight="1" x14ac:dyDescent="0.2">
      <c r="A23" s="8" t="s">
        <v>1784</v>
      </c>
    </row>
    <row r="24" spans="1:1" ht="15" customHeight="1" x14ac:dyDescent="0.2">
      <c r="A24" s="9" t="s">
        <v>3644</v>
      </c>
    </row>
    <row r="25" spans="1:1" ht="15" customHeight="1" x14ac:dyDescent="0.2">
      <c r="A25" s="9" t="s">
        <v>3645</v>
      </c>
    </row>
    <row r="26" spans="1:1" ht="15" customHeight="1" x14ac:dyDescent="0.2">
      <c r="A26" s="9" t="s">
        <v>3646</v>
      </c>
    </row>
    <row r="27" spans="1:1" ht="15" customHeight="1" x14ac:dyDescent="0.2">
      <c r="A27" s="9" t="s">
        <v>3647</v>
      </c>
    </row>
    <row r="29" spans="1:1" ht="15" customHeight="1" x14ac:dyDescent="0.2">
      <c r="A29" s="9" t="s">
        <v>80</v>
      </c>
    </row>
    <row r="31" spans="1:1" ht="15" customHeight="1" x14ac:dyDescent="0.2">
      <c r="A31" s="9" t="s">
        <v>1785</v>
      </c>
    </row>
    <row r="32" spans="1:1" ht="15" customHeight="1" x14ac:dyDescent="0.2">
      <c r="A32" s="9" t="s">
        <v>1786</v>
      </c>
    </row>
    <row r="34" spans="1:1" ht="15" customHeight="1" x14ac:dyDescent="0.2">
      <c r="A34" s="8" t="s">
        <v>1781</v>
      </c>
    </row>
    <row r="35" spans="1:1" ht="15" customHeight="1" x14ac:dyDescent="0.2">
      <c r="A35" s="9" t="s">
        <v>3648</v>
      </c>
    </row>
    <row r="36" spans="1:1" ht="15" customHeight="1" x14ac:dyDescent="0.2">
      <c r="A36" s="9" t="s">
        <v>3649</v>
      </c>
    </row>
    <row r="37" spans="1:1" ht="15" customHeight="1" x14ac:dyDescent="0.2">
      <c r="A37" s="9" t="s">
        <v>3650</v>
      </c>
    </row>
    <row r="38" spans="1:1" ht="15" customHeight="1" x14ac:dyDescent="0.2">
      <c r="A38" s="9" t="s">
        <v>3651</v>
      </c>
    </row>
    <row r="40" spans="1:1" ht="15" customHeight="1" x14ac:dyDescent="0.2">
      <c r="A40" s="9" t="s">
        <v>80</v>
      </c>
    </row>
    <row r="42" spans="1:1" ht="15" customHeight="1" x14ac:dyDescent="0.2">
      <c r="A42" s="9" t="s">
        <v>1787</v>
      </c>
    </row>
    <row r="44" spans="1:1" ht="15" customHeight="1" x14ac:dyDescent="0.2">
      <c r="A44" s="8" t="s">
        <v>1788</v>
      </c>
    </row>
    <row r="45" spans="1:1" ht="15" customHeight="1" x14ac:dyDescent="0.2">
      <c r="A45" s="9" t="s">
        <v>1789</v>
      </c>
    </row>
    <row r="46" spans="1:1" ht="15" customHeight="1" x14ac:dyDescent="0.2">
      <c r="A46" s="9" t="s">
        <v>1790</v>
      </c>
    </row>
    <row r="47" spans="1:1" ht="15" customHeight="1" x14ac:dyDescent="0.2">
      <c r="A47" s="9" t="s">
        <v>1791</v>
      </c>
    </row>
    <row r="48" spans="1:1" ht="15" customHeight="1" x14ac:dyDescent="0.2">
      <c r="A48" s="9" t="s">
        <v>1792</v>
      </c>
    </row>
    <row r="50" spans="1:1" ht="15" customHeight="1" x14ac:dyDescent="0.2">
      <c r="A50" s="9" t="s">
        <v>98</v>
      </c>
    </row>
    <row r="52" spans="1:1" ht="15" customHeight="1" x14ac:dyDescent="0.2">
      <c r="A52" s="9" t="s">
        <v>1793</v>
      </c>
    </row>
    <row r="54" spans="1:1" ht="15" customHeight="1" x14ac:dyDescent="0.2">
      <c r="A54" s="8" t="s">
        <v>1782</v>
      </c>
    </row>
    <row r="55" spans="1:1" ht="15" customHeight="1" x14ac:dyDescent="0.2">
      <c r="A55" s="9" t="s">
        <v>3652</v>
      </c>
    </row>
    <row r="56" spans="1:1" ht="15" customHeight="1" x14ac:dyDescent="0.2">
      <c r="A56" s="9" t="s">
        <v>3653</v>
      </c>
    </row>
    <row r="57" spans="1:1" ht="15" customHeight="1" x14ac:dyDescent="0.2">
      <c r="A57" s="9" t="s">
        <v>3654</v>
      </c>
    </row>
    <row r="58" spans="1:1" ht="15" customHeight="1" x14ac:dyDescent="0.2">
      <c r="A58" s="9" t="s">
        <v>5</v>
      </c>
    </row>
    <row r="60" spans="1:1" ht="15" customHeight="1" x14ac:dyDescent="0.2">
      <c r="A60" s="9" t="s">
        <v>98</v>
      </c>
    </row>
    <row r="62" spans="1:1" ht="15" customHeight="1" x14ac:dyDescent="0.2">
      <c r="A62" s="9" t="s">
        <v>1794</v>
      </c>
    </row>
    <row r="64" spans="1:1" ht="15" customHeight="1" x14ac:dyDescent="0.2">
      <c r="A64" s="8" t="s">
        <v>1783</v>
      </c>
    </row>
    <row r="65" spans="1:2" ht="15" customHeight="1" x14ac:dyDescent="0.2">
      <c r="A65" s="8" t="s">
        <v>1795</v>
      </c>
    </row>
    <row r="66" spans="1:2" ht="15" customHeight="1" x14ac:dyDescent="0.2">
      <c r="A66" s="9" t="s">
        <v>1796</v>
      </c>
    </row>
    <row r="67" spans="1:2" ht="15" customHeight="1" x14ac:dyDescent="0.2">
      <c r="A67" s="9" t="s">
        <v>1321</v>
      </c>
    </row>
    <row r="68" spans="1:2" ht="15" customHeight="1" x14ac:dyDescent="0.2">
      <c r="A68" s="9" t="s">
        <v>1797</v>
      </c>
    </row>
    <row r="69" spans="1:2" ht="15" customHeight="1" x14ac:dyDescent="0.2">
      <c r="A69" s="9" t="s">
        <v>1798</v>
      </c>
    </row>
    <row r="71" spans="1:2" ht="15" customHeight="1" x14ac:dyDescent="0.2">
      <c r="A71" s="9" t="s">
        <v>110</v>
      </c>
    </row>
    <row r="73" spans="1:2" ht="15" customHeight="1" x14ac:dyDescent="0.2">
      <c r="A73" s="9" t="s">
        <v>3655</v>
      </c>
    </row>
    <row r="75" spans="1:2" ht="15" customHeight="1" x14ac:dyDescent="0.25">
      <c r="A75" s="25" t="s">
        <v>3656</v>
      </c>
      <c r="B75" s="9">
        <v>40</v>
      </c>
    </row>
    <row r="76" spans="1:2" ht="15" customHeight="1" x14ac:dyDescent="0.25">
      <c r="A76" s="25" t="s">
        <v>3657</v>
      </c>
      <c r="B76" s="9">
        <v>44</v>
      </c>
    </row>
    <row r="77" spans="1:2" ht="15" customHeight="1" x14ac:dyDescent="0.25">
      <c r="A77" s="25" t="s">
        <v>3658</v>
      </c>
      <c r="B77" s="9">
        <v>34</v>
      </c>
    </row>
    <row r="78" spans="1:2" ht="15" customHeight="1" x14ac:dyDescent="0.2">
      <c r="A78" s="25" t="s">
        <v>99</v>
      </c>
      <c r="B78" s="21">
        <v>0.06</v>
      </c>
    </row>
    <row r="79" spans="1:2" ht="15" customHeight="1" x14ac:dyDescent="0.2">
      <c r="A79" s="25"/>
      <c r="B79" s="21"/>
    </row>
    <row r="80" spans="1:2" ht="15" customHeight="1" x14ac:dyDescent="0.2">
      <c r="A80" s="25" t="s">
        <v>55</v>
      </c>
      <c r="B80" s="9">
        <f>B76/B75</f>
        <v>1.1000000000000001</v>
      </c>
    </row>
    <row r="81" spans="1:2" ht="15" customHeight="1" x14ac:dyDescent="0.2">
      <c r="A81" s="25" t="s">
        <v>102</v>
      </c>
      <c r="B81" s="9">
        <f>B77/B75</f>
        <v>0.85</v>
      </c>
    </row>
    <row r="82" spans="1:2" ht="15" customHeight="1" x14ac:dyDescent="0.2">
      <c r="A82" s="25" t="s">
        <v>87</v>
      </c>
      <c r="B82" s="9">
        <f>(1-B81)/(B80-B81)</f>
        <v>0.59999999999999987</v>
      </c>
    </row>
    <row r="83" spans="1:2" ht="15" customHeight="1" x14ac:dyDescent="0.2">
      <c r="B83" s="18"/>
    </row>
    <row r="84" spans="1:2" ht="15" customHeight="1" x14ac:dyDescent="0.2">
      <c r="A84" s="8" t="s">
        <v>1799</v>
      </c>
    </row>
    <row r="85" spans="1:2" s="8" customFormat="1" ht="15" customHeight="1" x14ac:dyDescent="0.2">
      <c r="A85" s="8" t="s">
        <v>1801</v>
      </c>
    </row>
    <row r="86" spans="1:2" ht="15" customHeight="1" x14ac:dyDescent="0.2">
      <c r="A86" s="9" t="s">
        <v>1802</v>
      </c>
    </row>
    <row r="87" spans="1:2" ht="15" customHeight="1" x14ac:dyDescent="0.2">
      <c r="A87" s="9" t="s">
        <v>1803</v>
      </c>
    </row>
    <row r="88" spans="1:2" ht="15" customHeight="1" x14ac:dyDescent="0.2">
      <c r="A88" s="9" t="s">
        <v>1804</v>
      </c>
    </row>
    <row r="89" spans="1:2" ht="15" customHeight="1" x14ac:dyDescent="0.2">
      <c r="A89" s="9" t="s">
        <v>1805</v>
      </c>
    </row>
    <row r="91" spans="1:2" ht="15" customHeight="1" x14ac:dyDescent="0.2">
      <c r="A91" s="9" t="s">
        <v>98</v>
      </c>
    </row>
    <row r="93" spans="1:2" ht="15" customHeight="1" x14ac:dyDescent="0.2">
      <c r="A93" s="9" t="s">
        <v>3659</v>
      </c>
    </row>
    <row r="95" spans="1:2" ht="15" customHeight="1" x14ac:dyDescent="0.25">
      <c r="A95" s="25" t="s">
        <v>3656</v>
      </c>
      <c r="B95" s="9">
        <v>40</v>
      </c>
    </row>
    <row r="96" spans="1:2" ht="15" customHeight="1" x14ac:dyDescent="0.25">
      <c r="A96" s="25" t="s">
        <v>3657</v>
      </c>
      <c r="B96" s="9">
        <v>44</v>
      </c>
    </row>
    <row r="97" spans="1:2" ht="15" customHeight="1" x14ac:dyDescent="0.25">
      <c r="A97" s="25" t="s">
        <v>3658</v>
      </c>
      <c r="B97" s="9">
        <v>34</v>
      </c>
    </row>
    <row r="98" spans="1:2" ht="15" customHeight="1" x14ac:dyDescent="0.2">
      <c r="A98" s="25" t="s">
        <v>99</v>
      </c>
      <c r="B98" s="21">
        <v>0.06</v>
      </c>
    </row>
    <row r="99" spans="1:2" ht="15" customHeight="1" x14ac:dyDescent="0.2">
      <c r="A99" s="25" t="s">
        <v>1806</v>
      </c>
      <c r="B99" s="9">
        <v>37</v>
      </c>
    </row>
    <row r="100" spans="1:2" ht="15" customHeight="1" x14ac:dyDescent="0.2">
      <c r="A100" s="25" t="s">
        <v>83</v>
      </c>
      <c r="B100" s="9">
        <v>0.5</v>
      </c>
    </row>
    <row r="101" spans="1:2" ht="15" customHeight="1" x14ac:dyDescent="0.2">
      <c r="A101" s="25"/>
      <c r="B101" s="21"/>
    </row>
    <row r="102" spans="1:2" ht="15" customHeight="1" x14ac:dyDescent="0.2">
      <c r="A102" s="25" t="s">
        <v>55</v>
      </c>
      <c r="B102" s="9">
        <f>B96/B95</f>
        <v>1.1000000000000001</v>
      </c>
    </row>
    <row r="103" spans="1:2" ht="15" customHeight="1" x14ac:dyDescent="0.2">
      <c r="A103" s="25" t="s">
        <v>102</v>
      </c>
      <c r="B103" s="9">
        <f>B97/B95</f>
        <v>0.85</v>
      </c>
    </row>
    <row r="104" spans="1:2" ht="15" customHeight="1" x14ac:dyDescent="0.2">
      <c r="A104" s="25" t="s">
        <v>87</v>
      </c>
      <c r="B104" s="9">
        <f>(1-B103)/(B102-B103)</f>
        <v>0.59999999999999987</v>
      </c>
    </row>
    <row r="105" spans="1:2" ht="15" customHeight="1" x14ac:dyDescent="0.2">
      <c r="A105" s="25" t="s">
        <v>53</v>
      </c>
      <c r="B105" s="18">
        <f>EXP(-B98*B100)*(MAX(B99-B95*B102,0)*B104+MAX(B99-B95*B103,0)*(1-B104))</f>
        <v>1.1645346402582102</v>
      </c>
    </row>
    <row r="107" spans="1:2" ht="15" customHeight="1" x14ac:dyDescent="0.2">
      <c r="A107" s="8" t="s">
        <v>1800</v>
      </c>
    </row>
    <row r="108" spans="1:2" ht="15" customHeight="1" x14ac:dyDescent="0.2">
      <c r="A108" s="8" t="s">
        <v>1807</v>
      </c>
    </row>
    <row r="109" spans="1:2" ht="15" customHeight="1" x14ac:dyDescent="0.2">
      <c r="A109" s="9" t="s">
        <v>1808</v>
      </c>
    </row>
    <row r="110" spans="1:2" ht="15" customHeight="1" x14ac:dyDescent="0.2">
      <c r="A110" s="9" t="s">
        <v>1803</v>
      </c>
    </row>
    <row r="111" spans="1:2" ht="15" customHeight="1" x14ac:dyDescent="0.2">
      <c r="A111" s="9" t="s">
        <v>1809</v>
      </c>
    </row>
    <row r="112" spans="1:2" ht="15" customHeight="1" x14ac:dyDescent="0.2">
      <c r="A112" s="9" t="s">
        <v>1810</v>
      </c>
    </row>
    <row r="114" spans="1:2" ht="15" customHeight="1" x14ac:dyDescent="0.2">
      <c r="A114" s="9" t="s">
        <v>88</v>
      </c>
    </row>
    <row r="116" spans="1:2" ht="15" customHeight="1" x14ac:dyDescent="0.2">
      <c r="A116" s="9" t="s">
        <v>3660</v>
      </c>
    </row>
    <row r="118" spans="1:2" ht="15" customHeight="1" x14ac:dyDescent="0.25">
      <c r="A118" s="25" t="s">
        <v>3656</v>
      </c>
      <c r="B118" s="9">
        <v>40</v>
      </c>
    </row>
    <row r="119" spans="1:2" ht="15" customHeight="1" x14ac:dyDescent="0.25">
      <c r="A119" s="25" t="s">
        <v>3657</v>
      </c>
      <c r="B119" s="9">
        <v>44</v>
      </c>
    </row>
    <row r="120" spans="1:2" ht="15" customHeight="1" x14ac:dyDescent="0.25">
      <c r="A120" s="25" t="s">
        <v>3658</v>
      </c>
      <c r="B120" s="9">
        <v>34</v>
      </c>
    </row>
    <row r="121" spans="1:2" ht="15" customHeight="1" x14ac:dyDescent="0.2">
      <c r="A121" s="25" t="s">
        <v>99</v>
      </c>
      <c r="B121" s="21">
        <v>0.06</v>
      </c>
    </row>
    <row r="122" spans="1:2" ht="15" customHeight="1" x14ac:dyDescent="0.2">
      <c r="A122" s="25" t="s">
        <v>1806</v>
      </c>
      <c r="B122" s="9">
        <v>39</v>
      </c>
    </row>
    <row r="123" spans="1:2" ht="15" customHeight="1" x14ac:dyDescent="0.2">
      <c r="A123" s="25" t="s">
        <v>83</v>
      </c>
      <c r="B123" s="9">
        <v>0.5</v>
      </c>
    </row>
    <row r="124" spans="1:2" ht="15" customHeight="1" x14ac:dyDescent="0.2">
      <c r="A124" s="25"/>
    </row>
    <row r="125" spans="1:2" ht="15" customHeight="1" x14ac:dyDescent="0.2">
      <c r="A125" s="25" t="s">
        <v>55</v>
      </c>
      <c r="B125" s="9">
        <f>B119/B118</f>
        <v>1.1000000000000001</v>
      </c>
    </row>
    <row r="126" spans="1:2" ht="15" customHeight="1" x14ac:dyDescent="0.2">
      <c r="A126" s="25" t="s">
        <v>102</v>
      </c>
      <c r="B126" s="9">
        <f>B120/B118</f>
        <v>0.85</v>
      </c>
    </row>
    <row r="127" spans="1:2" ht="15" customHeight="1" x14ac:dyDescent="0.2">
      <c r="A127" s="25" t="s">
        <v>87</v>
      </c>
      <c r="B127" s="9">
        <f>(1-B126)/(B125-B126)</f>
        <v>0.59999999999999987</v>
      </c>
    </row>
    <row r="128" spans="1:2" ht="15" customHeight="1" x14ac:dyDescent="0.2">
      <c r="A128" s="25" t="s">
        <v>54</v>
      </c>
      <c r="B128" s="18">
        <f>EXP(-B121*B123)*(MAX(B118*B125-B122,0)*B127+MAX(B118*B126-B122,0)*(1-B127))</f>
        <v>2.9113366006455235</v>
      </c>
    </row>
    <row r="130" spans="1:1" ht="15" customHeight="1" x14ac:dyDescent="0.25">
      <c r="A130" s="8" t="s">
        <v>3661</v>
      </c>
    </row>
    <row r="131" spans="1:1" ht="15" customHeight="1" x14ac:dyDescent="0.2">
      <c r="A131" s="9" t="s">
        <v>3662</v>
      </c>
    </row>
    <row r="132" spans="1:1" ht="15" customHeight="1" x14ac:dyDescent="0.2">
      <c r="A132" s="9" t="s">
        <v>3663</v>
      </c>
    </row>
    <row r="133" spans="1:1" ht="15" customHeight="1" x14ac:dyDescent="0.2">
      <c r="A133" s="9" t="s">
        <v>3664</v>
      </c>
    </row>
    <row r="134" spans="1:1" ht="15" customHeight="1" x14ac:dyDescent="0.2">
      <c r="A134" s="9" t="s">
        <v>3665</v>
      </c>
    </row>
    <row r="136" spans="1:1" ht="15" customHeight="1" x14ac:dyDescent="0.2">
      <c r="A136" s="9" t="s">
        <v>98</v>
      </c>
    </row>
    <row r="138" spans="1:1" ht="15" customHeight="1" x14ac:dyDescent="0.2">
      <c r="A138" s="9" t="s">
        <v>3666</v>
      </c>
    </row>
    <row r="140" spans="1:1" ht="15" customHeight="1" x14ac:dyDescent="0.2">
      <c r="A140" s="8" t="s">
        <v>1811</v>
      </c>
    </row>
    <row r="141" spans="1:1" ht="15" customHeight="1" x14ac:dyDescent="0.2">
      <c r="A141" s="9" t="s">
        <v>1812</v>
      </c>
    </row>
    <row r="142" spans="1:1" ht="15" customHeight="1" x14ac:dyDescent="0.2">
      <c r="A142" s="9" t="s">
        <v>1813</v>
      </c>
    </row>
    <row r="143" spans="1:1" ht="15" customHeight="1" x14ac:dyDescent="0.2">
      <c r="A143" s="9" t="s">
        <v>1814</v>
      </c>
    </row>
    <row r="144" spans="1:1" ht="15" customHeight="1" x14ac:dyDescent="0.2">
      <c r="A144" s="9" t="s">
        <v>1815</v>
      </c>
    </row>
    <row r="146" spans="1:1" ht="15" customHeight="1" x14ac:dyDescent="0.2">
      <c r="A146" s="9" t="s">
        <v>98</v>
      </c>
    </row>
    <row r="148" spans="1:1" ht="15" customHeight="1" x14ac:dyDescent="0.2">
      <c r="A148" s="9" t="s">
        <v>1816</v>
      </c>
    </row>
    <row r="150" spans="1:1" ht="15" customHeight="1" x14ac:dyDescent="0.2">
      <c r="A150" s="8" t="s">
        <v>1823</v>
      </c>
    </row>
    <row r="151" spans="1:1" ht="15" customHeight="1" x14ac:dyDescent="0.2">
      <c r="A151" s="9" t="s">
        <v>1817</v>
      </c>
    </row>
    <row r="152" spans="1:1" ht="15" customHeight="1" x14ac:dyDescent="0.2">
      <c r="A152" s="9" t="s">
        <v>1818</v>
      </c>
    </row>
    <row r="153" spans="1:1" ht="15" customHeight="1" x14ac:dyDescent="0.2">
      <c r="A153" s="9" t="s">
        <v>1819</v>
      </c>
    </row>
    <row r="154" spans="1:1" ht="15" customHeight="1" x14ac:dyDescent="0.2">
      <c r="A154" s="9" t="s">
        <v>1820</v>
      </c>
    </row>
    <row r="156" spans="1:1" ht="15" customHeight="1" x14ac:dyDescent="0.2">
      <c r="A156" s="9" t="s">
        <v>110</v>
      </c>
    </row>
    <row r="158" spans="1:1" ht="15" customHeight="1" x14ac:dyDescent="0.2">
      <c r="A158" s="9" t="s">
        <v>1821</v>
      </c>
    </row>
    <row r="159" spans="1:1" ht="15" customHeight="1" x14ac:dyDescent="0.2">
      <c r="A159" s="9" t="s">
        <v>1822</v>
      </c>
    </row>
    <row r="161" spans="1:1" ht="15" customHeight="1" x14ac:dyDescent="0.2">
      <c r="A161" s="8" t="s">
        <v>1824</v>
      </c>
    </row>
    <row r="162" spans="1:1" ht="15" customHeight="1" x14ac:dyDescent="0.2">
      <c r="A162" s="9" t="s">
        <v>1817</v>
      </c>
    </row>
    <row r="163" spans="1:1" ht="15" customHeight="1" x14ac:dyDescent="0.2">
      <c r="A163" s="9" t="s">
        <v>1818</v>
      </c>
    </row>
    <row r="164" spans="1:1" ht="15" customHeight="1" x14ac:dyDescent="0.2">
      <c r="A164" s="9" t="s">
        <v>1819</v>
      </c>
    </row>
    <row r="165" spans="1:1" ht="15" customHeight="1" x14ac:dyDescent="0.2">
      <c r="A165" s="9" t="s">
        <v>1820</v>
      </c>
    </row>
    <row r="167" spans="1:1" ht="15" customHeight="1" x14ac:dyDescent="0.2">
      <c r="A167" s="9" t="s">
        <v>98</v>
      </c>
    </row>
    <row r="169" spans="1:1" ht="15" customHeight="1" x14ac:dyDescent="0.2">
      <c r="A169" s="9" t="s">
        <v>1825</v>
      </c>
    </row>
    <row r="170" spans="1:1" ht="15" customHeight="1" x14ac:dyDescent="0.2">
      <c r="A170" s="9" t="s">
        <v>1826</v>
      </c>
    </row>
    <row r="172" spans="1:1" ht="15" customHeight="1" x14ac:dyDescent="0.2">
      <c r="A172" s="8" t="s">
        <v>3262</v>
      </c>
    </row>
    <row r="173" spans="1:1" ht="15" customHeight="1" x14ac:dyDescent="0.2">
      <c r="A173" s="9" t="s">
        <v>3263</v>
      </c>
    </row>
    <row r="174" spans="1:1" ht="15" customHeight="1" x14ac:dyDescent="0.2">
      <c r="A174" s="9" t="s">
        <v>1827</v>
      </c>
    </row>
    <row r="175" spans="1:1" ht="15" customHeight="1" x14ac:dyDescent="0.2">
      <c r="A175" s="9" t="s">
        <v>3264</v>
      </c>
    </row>
    <row r="176" spans="1:1" ht="15" customHeight="1" x14ac:dyDescent="0.2">
      <c r="A176" s="9" t="s">
        <v>404</v>
      </c>
    </row>
    <row r="178" spans="1:1" ht="15" customHeight="1" x14ac:dyDescent="0.2">
      <c r="A178" s="9" t="s">
        <v>88</v>
      </c>
    </row>
    <row r="180" spans="1:1" ht="15" customHeight="1" x14ac:dyDescent="0.2">
      <c r="A180" s="9" t="s">
        <v>3409</v>
      </c>
    </row>
    <row r="182" spans="1:1" ht="15" customHeight="1" x14ac:dyDescent="0.2">
      <c r="A182" s="8" t="s">
        <v>1828</v>
      </c>
    </row>
    <row r="183" spans="1:1" ht="15" customHeight="1" x14ac:dyDescent="0.2">
      <c r="A183" s="9" t="s">
        <v>1829</v>
      </c>
    </row>
    <row r="184" spans="1:1" ht="15" customHeight="1" x14ac:dyDescent="0.2">
      <c r="A184" s="9" t="s">
        <v>1830</v>
      </c>
    </row>
    <row r="185" spans="1:1" ht="15" customHeight="1" x14ac:dyDescent="0.2">
      <c r="A185" s="9" t="s">
        <v>1831</v>
      </c>
    </row>
    <row r="186" spans="1:1" ht="15" customHeight="1" x14ac:dyDescent="0.2">
      <c r="A186" s="9" t="s">
        <v>1832</v>
      </c>
    </row>
    <row r="188" spans="1:1" ht="15" customHeight="1" x14ac:dyDescent="0.2">
      <c r="A188" s="9" t="s">
        <v>98</v>
      </c>
    </row>
    <row r="190" spans="1:1" ht="15" customHeight="1" x14ac:dyDescent="0.2">
      <c r="A190" s="9" t="s">
        <v>1833</v>
      </c>
    </row>
    <row r="192" spans="1:1" ht="15" customHeight="1" x14ac:dyDescent="0.2">
      <c r="A192" s="8" t="s">
        <v>1834</v>
      </c>
    </row>
    <row r="193" spans="1:2" ht="15" customHeight="1" x14ac:dyDescent="0.2">
      <c r="A193" s="8" t="s">
        <v>1835</v>
      </c>
    </row>
    <row r="194" spans="1:2" ht="15" customHeight="1" x14ac:dyDescent="0.2">
      <c r="A194" s="9" t="s">
        <v>3667</v>
      </c>
    </row>
    <row r="195" spans="1:2" ht="15" customHeight="1" x14ac:dyDescent="0.2">
      <c r="A195" s="9" t="s">
        <v>3668</v>
      </c>
    </row>
    <row r="196" spans="1:2" ht="15" customHeight="1" x14ac:dyDescent="0.2">
      <c r="A196" s="9" t="s">
        <v>3669</v>
      </c>
    </row>
    <row r="197" spans="1:2" ht="15" customHeight="1" x14ac:dyDescent="0.2">
      <c r="A197" s="9" t="s">
        <v>3670</v>
      </c>
    </row>
    <row r="199" spans="1:2" ht="15" customHeight="1" x14ac:dyDescent="0.2">
      <c r="A199" s="9" t="s">
        <v>80</v>
      </c>
    </row>
    <row r="201" spans="1:2" ht="15" customHeight="1" x14ac:dyDescent="0.2">
      <c r="A201" s="9" t="s">
        <v>1836</v>
      </c>
    </row>
    <row r="203" spans="1:2" ht="15" customHeight="1" x14ac:dyDescent="0.25">
      <c r="A203" s="9" t="s">
        <v>3671</v>
      </c>
    </row>
    <row r="205" spans="1:2" ht="15" customHeight="1" x14ac:dyDescent="0.25">
      <c r="A205" s="9" t="s">
        <v>3672</v>
      </c>
      <c r="B205" s="12">
        <v>50</v>
      </c>
    </row>
    <row r="206" spans="1:2" ht="15" customHeight="1" x14ac:dyDescent="0.2">
      <c r="A206" s="25" t="s">
        <v>82</v>
      </c>
      <c r="B206" s="12">
        <v>50</v>
      </c>
    </row>
    <row r="207" spans="1:2" ht="15" customHeight="1" x14ac:dyDescent="0.2">
      <c r="A207" s="25" t="s">
        <v>99</v>
      </c>
      <c r="B207" s="21">
        <v>0.05</v>
      </c>
    </row>
    <row r="208" spans="1:2" ht="15" customHeight="1" x14ac:dyDescent="0.2">
      <c r="A208" s="25" t="s">
        <v>190</v>
      </c>
      <c r="B208" s="21">
        <v>0.2</v>
      </c>
    </row>
    <row r="209" spans="1:2" ht="15" customHeight="1" x14ac:dyDescent="0.2">
      <c r="A209" s="25" t="s">
        <v>83</v>
      </c>
      <c r="B209" s="9">
        <f>3/12</f>
        <v>0.25</v>
      </c>
    </row>
    <row r="211" spans="1:2" ht="15" customHeight="1" x14ac:dyDescent="0.25">
      <c r="A211" s="25" t="s">
        <v>3673</v>
      </c>
      <c r="B211" s="15">
        <f>B205*EXP(-B207*B209)</f>
        <v>49.378890024694073</v>
      </c>
    </row>
    <row r="212" spans="1:2" ht="15" customHeight="1" x14ac:dyDescent="0.2">
      <c r="A212" s="25" t="s">
        <v>3674</v>
      </c>
      <c r="B212" s="15">
        <f>B206*EXP(-B207*B209)</f>
        <v>49.378890024694073</v>
      </c>
    </row>
    <row r="213" spans="1:2" ht="15" customHeight="1" x14ac:dyDescent="0.25">
      <c r="A213" s="25" t="s">
        <v>3639</v>
      </c>
      <c r="B213" s="9">
        <f>(LN(B205/B206)+(B208^2/2)*B209)/(B208*SQRT(B209))</f>
        <v>5.000000000000001E-2</v>
      </c>
    </row>
    <row r="214" spans="1:2" ht="15" customHeight="1" x14ac:dyDescent="0.25">
      <c r="A214" s="25" t="s">
        <v>3675</v>
      </c>
      <c r="B214" s="9">
        <f>B213-B208*SQRT(B209)</f>
        <v>-4.9999999999999996E-2</v>
      </c>
    </row>
    <row r="216" spans="1:2" ht="15" customHeight="1" x14ac:dyDescent="0.2">
      <c r="A216" s="8" t="s">
        <v>1837</v>
      </c>
    </row>
    <row r="217" spans="1:2" ht="15" customHeight="1" x14ac:dyDescent="0.2">
      <c r="A217" s="9" t="s">
        <v>1838</v>
      </c>
    </row>
    <row r="218" spans="1:2" ht="15" customHeight="1" x14ac:dyDescent="0.2">
      <c r="A218" s="9" t="s">
        <v>1839</v>
      </c>
    </row>
    <row r="219" spans="1:2" ht="15" customHeight="1" x14ac:dyDescent="0.2">
      <c r="A219" s="9" t="s">
        <v>1840</v>
      </c>
    </row>
    <row r="220" spans="1:2" ht="15" customHeight="1" x14ac:dyDescent="0.2">
      <c r="A220" s="9" t="s">
        <v>1841</v>
      </c>
    </row>
    <row r="222" spans="1:2" ht="15" customHeight="1" x14ac:dyDescent="0.2">
      <c r="A222" s="9" t="s">
        <v>110</v>
      </c>
    </row>
    <row r="224" spans="1:2" ht="15" customHeight="1" x14ac:dyDescent="0.2">
      <c r="A224" s="9" t="s">
        <v>1842</v>
      </c>
    </row>
    <row r="226" spans="1:1" ht="15" customHeight="1" x14ac:dyDescent="0.2">
      <c r="A226" s="8" t="s">
        <v>1843</v>
      </c>
    </row>
    <row r="227" spans="1:1" ht="15" customHeight="1" x14ac:dyDescent="0.2">
      <c r="A227" s="9" t="s">
        <v>1844</v>
      </c>
    </row>
    <row r="228" spans="1:1" ht="15" customHeight="1" x14ac:dyDescent="0.2">
      <c r="A228" s="9" t="s">
        <v>1845</v>
      </c>
    </row>
    <row r="229" spans="1:1" ht="15" customHeight="1" x14ac:dyDescent="0.2">
      <c r="A229" s="9" t="s">
        <v>1846</v>
      </c>
    </row>
    <row r="230" spans="1:1" ht="15" customHeight="1" x14ac:dyDescent="0.2">
      <c r="A230" s="9" t="s">
        <v>1847</v>
      </c>
    </row>
    <row r="232" spans="1:1" ht="15" customHeight="1" x14ac:dyDescent="0.2">
      <c r="A232" s="9" t="s">
        <v>98</v>
      </c>
    </row>
    <row r="234" spans="1:1" ht="15" customHeight="1" x14ac:dyDescent="0.2">
      <c r="A234" s="9" t="s">
        <v>1848</v>
      </c>
    </row>
    <row r="236" spans="1:1" ht="15" customHeight="1" x14ac:dyDescent="0.2">
      <c r="A236" s="8" t="s">
        <v>1849</v>
      </c>
    </row>
    <row r="237" spans="1:1" ht="15" customHeight="1" x14ac:dyDescent="0.2">
      <c r="A237" s="9" t="s">
        <v>1850</v>
      </c>
    </row>
    <row r="238" spans="1:1" ht="15" customHeight="1" x14ac:dyDescent="0.2">
      <c r="A238" s="9" t="s">
        <v>1851</v>
      </c>
    </row>
    <row r="239" spans="1:1" ht="15" customHeight="1" x14ac:dyDescent="0.2">
      <c r="A239" s="9" t="s">
        <v>1852</v>
      </c>
    </row>
    <row r="240" spans="1:1" ht="15" customHeight="1" x14ac:dyDescent="0.2">
      <c r="A240" s="9" t="s">
        <v>1853</v>
      </c>
    </row>
    <row r="242" spans="1:1" ht="15" customHeight="1" x14ac:dyDescent="0.2">
      <c r="A242" s="9" t="s">
        <v>110</v>
      </c>
    </row>
    <row r="244" spans="1:1" ht="15" customHeight="1" x14ac:dyDescent="0.25">
      <c r="A244" s="9" t="s">
        <v>3676</v>
      </c>
    </row>
    <row r="246" spans="1:1" ht="15" customHeight="1" x14ac:dyDescent="0.2">
      <c r="A246" s="8" t="s">
        <v>3360</v>
      </c>
    </row>
    <row r="247" spans="1:1" ht="15" customHeight="1" x14ac:dyDescent="0.2">
      <c r="A247" s="8" t="s">
        <v>3361</v>
      </c>
    </row>
    <row r="248" spans="1:1" ht="15" customHeight="1" x14ac:dyDescent="0.2">
      <c r="A248" s="9" t="s">
        <v>1854</v>
      </c>
    </row>
    <row r="249" spans="1:1" ht="15" customHeight="1" x14ac:dyDescent="0.2">
      <c r="A249" s="9" t="s">
        <v>1855</v>
      </c>
    </row>
    <row r="250" spans="1:1" ht="15" customHeight="1" x14ac:dyDescent="0.2">
      <c r="A250" s="9" t="s">
        <v>1856</v>
      </c>
    </row>
    <row r="251" spans="1:1" ht="15" customHeight="1" x14ac:dyDescent="0.2">
      <c r="A251" s="9" t="s">
        <v>1857</v>
      </c>
    </row>
    <row r="253" spans="1:1" ht="15" customHeight="1" x14ac:dyDescent="0.2">
      <c r="A253" s="9" t="s">
        <v>88</v>
      </c>
    </row>
    <row r="255" spans="1:1" ht="15" customHeight="1" x14ac:dyDescent="0.25">
      <c r="A255" s="9" t="s">
        <v>3677</v>
      </c>
    </row>
    <row r="257" spans="1:2" ht="15" customHeight="1" x14ac:dyDescent="0.2">
      <c r="A257" s="25" t="s">
        <v>86</v>
      </c>
      <c r="B257" s="12">
        <v>3</v>
      </c>
    </row>
    <row r="258" spans="1:2" ht="15" customHeight="1" x14ac:dyDescent="0.2">
      <c r="A258" s="25" t="s">
        <v>87</v>
      </c>
      <c r="B258" s="12">
        <v>4</v>
      </c>
    </row>
    <row r="259" spans="1:2" ht="15" customHeight="1" x14ac:dyDescent="0.25">
      <c r="A259" s="25" t="s">
        <v>3451</v>
      </c>
      <c r="B259" s="12">
        <v>20</v>
      </c>
    </row>
    <row r="260" spans="1:2" ht="15" customHeight="1" x14ac:dyDescent="0.2">
      <c r="A260" s="25" t="s">
        <v>82</v>
      </c>
      <c r="B260" s="12">
        <v>20</v>
      </c>
    </row>
    <row r="261" spans="1:2" ht="15" customHeight="1" x14ac:dyDescent="0.2">
      <c r="A261" s="25" t="s">
        <v>83</v>
      </c>
      <c r="B261" s="9">
        <v>1</v>
      </c>
    </row>
    <row r="262" spans="1:2" ht="15" customHeight="1" x14ac:dyDescent="0.2">
      <c r="A262" s="25" t="s">
        <v>99</v>
      </c>
      <c r="B262" s="21">
        <v>0.05</v>
      </c>
    </row>
    <row r="263" spans="1:2" ht="15" customHeight="1" x14ac:dyDescent="0.2">
      <c r="A263" s="25"/>
    </row>
    <row r="264" spans="1:2" ht="15" customHeight="1" x14ac:dyDescent="0.25">
      <c r="A264" s="25" t="s">
        <v>3656</v>
      </c>
      <c r="B264" s="15">
        <f>B260+(B257-B258)*EXP(B262*B261)</f>
        <v>18.948728903623977</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7">
    <tabColor rgb="FF536878"/>
    <pageSetUpPr fitToPage="1"/>
  </sheetPr>
  <dimension ref="A1:P247"/>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0" style="9" customWidth="1"/>
    <col min="2" max="16384" width="9.140625" style="9"/>
  </cols>
  <sheetData>
    <row r="1" spans="1:16" ht="15" customHeight="1" x14ac:dyDescent="0.2">
      <c r="A1" s="75" t="s">
        <v>1014</v>
      </c>
      <c r="B1" s="76"/>
      <c r="C1" s="76"/>
      <c r="D1" s="76"/>
      <c r="E1" s="76"/>
      <c r="F1" s="76"/>
      <c r="G1" s="76"/>
      <c r="H1" s="76"/>
      <c r="I1" s="76"/>
      <c r="J1" s="76"/>
      <c r="K1" s="76"/>
      <c r="L1" s="76"/>
      <c r="M1" s="76"/>
      <c r="N1" s="76"/>
      <c r="O1" s="76"/>
      <c r="P1" s="76"/>
    </row>
    <row r="3" spans="1:16" ht="15" customHeight="1" x14ac:dyDescent="0.2">
      <c r="A3" s="8" t="s">
        <v>1858</v>
      </c>
    </row>
    <row r="4" spans="1:16" ht="15" customHeight="1" x14ac:dyDescent="0.2">
      <c r="A4" s="9" t="s">
        <v>1859</v>
      </c>
    </row>
    <row r="5" spans="1:16" ht="15" customHeight="1" x14ac:dyDescent="0.2">
      <c r="A5" s="9" t="s">
        <v>1860</v>
      </c>
    </row>
    <row r="6" spans="1:16" ht="15" customHeight="1" x14ac:dyDescent="0.2">
      <c r="A6" s="9" t="s">
        <v>1861</v>
      </c>
    </row>
    <row r="7" spans="1:16" ht="15" customHeight="1" x14ac:dyDescent="0.2">
      <c r="A7" s="9" t="s">
        <v>1862</v>
      </c>
    </row>
    <row r="9" spans="1:16" ht="15" customHeight="1" x14ac:dyDescent="0.2">
      <c r="A9" s="9" t="s">
        <v>88</v>
      </c>
    </row>
    <row r="11" spans="1:16" ht="15" customHeight="1" x14ac:dyDescent="0.2">
      <c r="A11" s="9" t="s">
        <v>1863</v>
      </c>
    </row>
    <row r="12" spans="1:16" ht="15" customHeight="1" x14ac:dyDescent="0.2">
      <c r="A12" s="9" t="s">
        <v>1864</v>
      </c>
    </row>
    <row r="14" spans="1:16" ht="15" customHeight="1" x14ac:dyDescent="0.25">
      <c r="A14" s="9" t="s">
        <v>3620</v>
      </c>
      <c r="B14" s="9">
        <v>0.3</v>
      </c>
    </row>
    <row r="15" spans="1:16" ht="15" customHeight="1" x14ac:dyDescent="0.25">
      <c r="A15" s="25" t="s">
        <v>3621</v>
      </c>
      <c r="B15" s="23">
        <v>-1000</v>
      </c>
    </row>
    <row r="16" spans="1:16" ht="15" customHeight="1" x14ac:dyDescent="0.2">
      <c r="A16" s="25"/>
      <c r="B16" s="23"/>
    </row>
    <row r="17" spans="1:2" ht="15" customHeight="1" x14ac:dyDescent="0.25">
      <c r="A17" s="25" t="s">
        <v>3622</v>
      </c>
      <c r="B17" s="9">
        <f>-B14*B15</f>
        <v>300</v>
      </c>
    </row>
    <row r="19" spans="1:2" ht="15" customHeight="1" x14ac:dyDescent="0.2">
      <c r="A19" s="8" t="s">
        <v>4018</v>
      </c>
    </row>
    <row r="20" spans="1:2" ht="15" customHeight="1" x14ac:dyDescent="0.2">
      <c r="A20" s="9" t="s">
        <v>179</v>
      </c>
    </row>
    <row r="21" spans="1:2" ht="15" customHeight="1" x14ac:dyDescent="0.2">
      <c r="A21" s="9" t="s">
        <v>180</v>
      </c>
    </row>
    <row r="22" spans="1:2" ht="15" customHeight="1" x14ac:dyDescent="0.2">
      <c r="A22" s="9" t="s">
        <v>181</v>
      </c>
    </row>
    <row r="23" spans="1:2" ht="15" customHeight="1" x14ac:dyDescent="0.2">
      <c r="A23" s="9" t="s">
        <v>5</v>
      </c>
    </row>
    <row r="25" spans="1:2" ht="15" customHeight="1" x14ac:dyDescent="0.2">
      <c r="A25" s="9" t="s">
        <v>88</v>
      </c>
      <c r="B25" s="21"/>
    </row>
    <row r="26" spans="1:2" ht="15" customHeight="1" x14ac:dyDescent="0.2">
      <c r="B26" s="21"/>
    </row>
    <row r="27" spans="1:2" ht="15" customHeight="1" x14ac:dyDescent="0.2">
      <c r="A27" s="9" t="s">
        <v>1865</v>
      </c>
      <c r="B27" s="21"/>
    </row>
    <row r="28" spans="1:2" ht="15" customHeight="1" x14ac:dyDescent="0.2">
      <c r="A28" s="25"/>
      <c r="B28" s="21"/>
    </row>
    <row r="29" spans="1:2" ht="15" customHeight="1" x14ac:dyDescent="0.2">
      <c r="A29" s="8" t="s">
        <v>1866</v>
      </c>
    </row>
    <row r="30" spans="1:2" ht="15" customHeight="1" x14ac:dyDescent="0.2">
      <c r="A30" s="9" t="s">
        <v>182</v>
      </c>
    </row>
    <row r="31" spans="1:2" ht="15" customHeight="1" x14ac:dyDescent="0.2">
      <c r="A31" s="9" t="s">
        <v>183</v>
      </c>
    </row>
    <row r="32" spans="1:2" ht="15" customHeight="1" x14ac:dyDescent="0.2">
      <c r="A32" s="9" t="s">
        <v>184</v>
      </c>
    </row>
    <row r="33" spans="1:1" ht="15" customHeight="1" x14ac:dyDescent="0.2">
      <c r="A33" s="9" t="s">
        <v>5</v>
      </c>
    </row>
    <row r="35" spans="1:1" ht="15" customHeight="1" x14ac:dyDescent="0.2">
      <c r="A35" s="9" t="s">
        <v>80</v>
      </c>
    </row>
    <row r="37" spans="1:1" ht="15" customHeight="1" x14ac:dyDescent="0.2">
      <c r="A37" s="9" t="s">
        <v>1867</v>
      </c>
    </row>
    <row r="39" spans="1:1" ht="15" customHeight="1" x14ac:dyDescent="0.2">
      <c r="A39" s="8" t="s">
        <v>1868</v>
      </c>
    </row>
    <row r="40" spans="1:1" ht="15" customHeight="1" x14ac:dyDescent="0.2">
      <c r="A40" s="9" t="s">
        <v>185</v>
      </c>
    </row>
    <row r="41" spans="1:1" ht="15" customHeight="1" x14ac:dyDescent="0.2">
      <c r="A41" s="9" t="s">
        <v>186</v>
      </c>
    </row>
    <row r="42" spans="1:1" ht="15" customHeight="1" x14ac:dyDescent="0.2">
      <c r="A42" s="9" t="s">
        <v>187</v>
      </c>
    </row>
    <row r="43" spans="1:1" ht="15" customHeight="1" x14ac:dyDescent="0.2">
      <c r="A43" s="9" t="s">
        <v>5</v>
      </c>
    </row>
    <row r="45" spans="1:1" ht="15" customHeight="1" x14ac:dyDescent="0.2">
      <c r="A45" s="9" t="s">
        <v>110</v>
      </c>
    </row>
    <row r="47" spans="1:1" ht="15" customHeight="1" x14ac:dyDescent="0.2">
      <c r="A47" s="9" t="s">
        <v>1869</v>
      </c>
    </row>
    <row r="49" spans="1:1" ht="15" customHeight="1" x14ac:dyDescent="0.2">
      <c r="A49" s="8" t="s">
        <v>1870</v>
      </c>
    </row>
    <row r="50" spans="1:1" ht="15" customHeight="1" x14ac:dyDescent="0.2">
      <c r="A50" s="9" t="s">
        <v>1871</v>
      </c>
    </row>
    <row r="51" spans="1:1" ht="15" customHeight="1" x14ac:dyDescent="0.2">
      <c r="A51" s="9" t="s">
        <v>1872</v>
      </c>
    </row>
    <row r="52" spans="1:1" ht="15" customHeight="1" x14ac:dyDescent="0.2">
      <c r="A52" s="9" t="s">
        <v>1873</v>
      </c>
    </row>
    <row r="53" spans="1:1" ht="15" customHeight="1" x14ac:dyDescent="0.2">
      <c r="A53" s="9" t="s">
        <v>5</v>
      </c>
    </row>
    <row r="55" spans="1:1" ht="15" customHeight="1" x14ac:dyDescent="0.2">
      <c r="A55" s="9" t="s">
        <v>98</v>
      </c>
    </row>
    <row r="57" spans="1:1" ht="15" customHeight="1" x14ac:dyDescent="0.2">
      <c r="A57" s="9" t="s">
        <v>1874</v>
      </c>
    </row>
    <row r="59" spans="1:1" ht="15" customHeight="1" x14ac:dyDescent="0.2">
      <c r="A59" s="8" t="s">
        <v>1875</v>
      </c>
    </row>
    <row r="60" spans="1:1" ht="15" customHeight="1" x14ac:dyDescent="0.2">
      <c r="A60" s="9" t="s">
        <v>1876</v>
      </c>
    </row>
    <row r="61" spans="1:1" ht="15" customHeight="1" x14ac:dyDescent="0.2">
      <c r="A61" s="9" t="s">
        <v>1877</v>
      </c>
    </row>
    <row r="62" spans="1:1" ht="15" customHeight="1" x14ac:dyDescent="0.2">
      <c r="A62" s="9" t="s">
        <v>1878</v>
      </c>
    </row>
    <row r="63" spans="1:1" ht="15" customHeight="1" x14ac:dyDescent="0.2">
      <c r="A63" s="9" t="s">
        <v>1879</v>
      </c>
    </row>
    <row r="65" spans="1:2" ht="15" customHeight="1" x14ac:dyDescent="0.2">
      <c r="A65" s="9" t="s">
        <v>110</v>
      </c>
    </row>
    <row r="67" spans="1:2" ht="15" customHeight="1" x14ac:dyDescent="0.2">
      <c r="A67" s="9" t="s">
        <v>1880</v>
      </c>
    </row>
    <row r="69" spans="1:2" ht="15" customHeight="1" x14ac:dyDescent="0.2">
      <c r="A69" s="8" t="s">
        <v>1881</v>
      </c>
    </row>
    <row r="70" spans="1:2" ht="15" customHeight="1" x14ac:dyDescent="0.2">
      <c r="A70" s="8" t="s">
        <v>1882</v>
      </c>
    </row>
    <row r="71" spans="1:2" ht="15" customHeight="1" x14ac:dyDescent="0.2">
      <c r="A71" s="9" t="s">
        <v>1883</v>
      </c>
    </row>
    <row r="72" spans="1:2" ht="15" customHeight="1" x14ac:dyDescent="0.2">
      <c r="A72" s="9" t="s">
        <v>1884</v>
      </c>
    </row>
    <row r="73" spans="1:2" ht="15" customHeight="1" x14ac:dyDescent="0.2">
      <c r="A73" s="9" t="s">
        <v>1885</v>
      </c>
    </row>
    <row r="74" spans="1:2" ht="15" customHeight="1" x14ac:dyDescent="0.2">
      <c r="A74" s="9" t="s">
        <v>1886</v>
      </c>
    </row>
    <row r="76" spans="1:2" ht="15" customHeight="1" x14ac:dyDescent="0.2">
      <c r="A76" s="9" t="s">
        <v>80</v>
      </c>
    </row>
    <row r="78" spans="1:2" ht="15" customHeight="1" x14ac:dyDescent="0.2">
      <c r="A78" s="9" t="s">
        <v>72</v>
      </c>
      <c r="B78" s="9">
        <v>2400</v>
      </c>
    </row>
    <row r="79" spans="1:2" ht="15" customHeight="1" x14ac:dyDescent="0.2">
      <c r="A79" s="9" t="s">
        <v>73</v>
      </c>
      <c r="B79" s="9">
        <v>-10</v>
      </c>
    </row>
    <row r="80" spans="1:2" ht="15" customHeight="1" x14ac:dyDescent="0.2">
      <c r="A80" s="9" t="s">
        <v>74</v>
      </c>
      <c r="B80" s="9">
        <v>0.5</v>
      </c>
    </row>
    <row r="81" spans="1:3" ht="15" customHeight="1" x14ac:dyDescent="0.2">
      <c r="A81" s="9" t="s">
        <v>75</v>
      </c>
      <c r="B81" s="9">
        <v>0.04</v>
      </c>
    </row>
    <row r="83" spans="1:3" ht="15" customHeight="1" x14ac:dyDescent="0.2">
      <c r="A83" s="46" t="s">
        <v>188</v>
      </c>
      <c r="B83" s="9">
        <f>-B79/B81</f>
        <v>250</v>
      </c>
      <c r="C83" s="46" t="s">
        <v>189</v>
      </c>
    </row>
    <row r="85" spans="1:3" ht="15" customHeight="1" x14ac:dyDescent="0.2">
      <c r="A85" s="8" t="s">
        <v>1887</v>
      </c>
    </row>
    <row r="86" spans="1:3" ht="15" customHeight="1" x14ac:dyDescent="0.2">
      <c r="A86" s="8" t="s">
        <v>3410</v>
      </c>
    </row>
    <row r="87" spans="1:3" ht="15" customHeight="1" x14ac:dyDescent="0.2">
      <c r="A87" s="9" t="s">
        <v>1888</v>
      </c>
    </row>
    <row r="88" spans="1:3" ht="15" customHeight="1" x14ac:dyDescent="0.2">
      <c r="A88" s="9" t="s">
        <v>1889</v>
      </c>
    </row>
    <row r="89" spans="1:3" ht="15" customHeight="1" x14ac:dyDescent="0.2">
      <c r="A89" s="9" t="s">
        <v>3411</v>
      </c>
    </row>
    <row r="90" spans="1:3" ht="15" customHeight="1" x14ac:dyDescent="0.2">
      <c r="A90" s="9" t="s">
        <v>1890</v>
      </c>
    </row>
    <row r="92" spans="1:3" ht="15" customHeight="1" x14ac:dyDescent="0.2">
      <c r="A92" s="9" t="s">
        <v>110</v>
      </c>
    </row>
    <row r="94" spans="1:3" ht="15" customHeight="1" x14ac:dyDescent="0.2">
      <c r="A94" s="9" t="s">
        <v>1891</v>
      </c>
    </row>
    <row r="95" spans="1:3" ht="15" customHeight="1" x14ac:dyDescent="0.2">
      <c r="A95" s="9" t="s">
        <v>1892</v>
      </c>
    </row>
    <row r="96" spans="1:3" ht="15" customHeight="1" x14ac:dyDescent="0.2">
      <c r="A96" s="9" t="s">
        <v>1893</v>
      </c>
    </row>
    <row r="98" spans="1:1" ht="15" customHeight="1" x14ac:dyDescent="0.2">
      <c r="A98" s="8" t="s">
        <v>1894</v>
      </c>
    </row>
    <row r="99" spans="1:1" ht="15" customHeight="1" x14ac:dyDescent="0.2">
      <c r="A99" s="9" t="s">
        <v>1895</v>
      </c>
    </row>
    <row r="100" spans="1:1" ht="15" customHeight="1" x14ac:dyDescent="0.2">
      <c r="A100" s="9" t="s">
        <v>1896</v>
      </c>
    </row>
    <row r="101" spans="1:1" ht="15" customHeight="1" x14ac:dyDescent="0.2">
      <c r="A101" s="9" t="s">
        <v>1897</v>
      </c>
    </row>
    <row r="102" spans="1:1" ht="15" customHeight="1" x14ac:dyDescent="0.2">
      <c r="A102" s="9" t="s">
        <v>1898</v>
      </c>
    </row>
    <row r="104" spans="1:1" ht="15" customHeight="1" x14ac:dyDescent="0.2">
      <c r="A104" s="9" t="s">
        <v>88</v>
      </c>
    </row>
    <row r="106" spans="1:1" ht="15" customHeight="1" x14ac:dyDescent="0.2">
      <c r="A106" s="9" t="s">
        <v>1899</v>
      </c>
    </row>
    <row r="108" spans="1:1" ht="15" customHeight="1" x14ac:dyDescent="0.2">
      <c r="A108" s="8" t="s">
        <v>1900</v>
      </c>
    </row>
    <row r="109" spans="1:1" ht="15" customHeight="1" x14ac:dyDescent="0.2">
      <c r="A109" s="9" t="s">
        <v>1901</v>
      </c>
    </row>
    <row r="110" spans="1:1" ht="15" customHeight="1" x14ac:dyDescent="0.2">
      <c r="A110" s="9" t="s">
        <v>1902</v>
      </c>
    </row>
    <row r="111" spans="1:1" ht="15" customHeight="1" x14ac:dyDescent="0.2">
      <c r="A111" s="9" t="s">
        <v>1903</v>
      </c>
    </row>
    <row r="112" spans="1:1" ht="15" customHeight="1" x14ac:dyDescent="0.2">
      <c r="A112" s="9" t="s">
        <v>1904</v>
      </c>
    </row>
    <row r="114" spans="1:1" ht="15" customHeight="1" x14ac:dyDescent="0.2">
      <c r="A114" s="9" t="s">
        <v>88</v>
      </c>
    </row>
    <row r="116" spans="1:1" ht="15" customHeight="1" x14ac:dyDescent="0.2">
      <c r="A116" s="9" t="s">
        <v>1905</v>
      </c>
    </row>
    <row r="117" spans="1:1" ht="15" customHeight="1" x14ac:dyDescent="0.2">
      <c r="A117" s="9" t="s">
        <v>1906</v>
      </c>
    </row>
    <row r="119" spans="1:1" ht="15" customHeight="1" x14ac:dyDescent="0.2">
      <c r="A119" s="8" t="s">
        <v>1907</v>
      </c>
    </row>
    <row r="120" spans="1:1" ht="15" customHeight="1" x14ac:dyDescent="0.2">
      <c r="A120" s="9" t="s">
        <v>1908</v>
      </c>
    </row>
    <row r="121" spans="1:1" ht="15" customHeight="1" x14ac:dyDescent="0.2">
      <c r="A121" s="9" t="s">
        <v>1909</v>
      </c>
    </row>
    <row r="122" spans="1:1" ht="15" customHeight="1" x14ac:dyDescent="0.2">
      <c r="A122" s="9" t="s">
        <v>1910</v>
      </c>
    </row>
    <row r="123" spans="1:1" ht="15" customHeight="1" x14ac:dyDescent="0.2">
      <c r="A123" s="9" t="s">
        <v>1911</v>
      </c>
    </row>
    <row r="125" spans="1:1" ht="15" customHeight="1" x14ac:dyDescent="0.2">
      <c r="A125" s="9" t="s">
        <v>98</v>
      </c>
    </row>
    <row r="127" spans="1:1" ht="15" customHeight="1" x14ac:dyDescent="0.2">
      <c r="A127" s="9" t="s">
        <v>3623</v>
      </c>
    </row>
    <row r="128" spans="1:1" ht="15" customHeight="1" x14ac:dyDescent="0.2">
      <c r="A128" s="9" t="s">
        <v>1912</v>
      </c>
    </row>
    <row r="130" spans="1:1" ht="15" customHeight="1" x14ac:dyDescent="0.2">
      <c r="A130" s="8" t="s">
        <v>1913</v>
      </c>
    </row>
    <row r="131" spans="1:1" ht="15" customHeight="1" x14ac:dyDescent="0.2">
      <c r="A131" s="9" t="s">
        <v>1914</v>
      </c>
    </row>
    <row r="132" spans="1:1" ht="15" customHeight="1" x14ac:dyDescent="0.2">
      <c r="A132" s="9" t="s">
        <v>1915</v>
      </c>
    </row>
    <row r="133" spans="1:1" ht="15" customHeight="1" x14ac:dyDescent="0.2">
      <c r="A133" s="9" t="s">
        <v>1916</v>
      </c>
    </row>
    <row r="134" spans="1:1" ht="15" customHeight="1" x14ac:dyDescent="0.2">
      <c r="A134" s="9" t="s">
        <v>1917</v>
      </c>
    </row>
    <row r="136" spans="1:1" ht="15" customHeight="1" x14ac:dyDescent="0.2">
      <c r="A136" s="9" t="s">
        <v>80</v>
      </c>
    </row>
    <row r="138" spans="1:1" ht="15" customHeight="1" x14ac:dyDescent="0.2">
      <c r="A138" s="9" t="s">
        <v>1918</v>
      </c>
    </row>
    <row r="140" spans="1:1" ht="15" customHeight="1" x14ac:dyDescent="0.2">
      <c r="A140" s="8" t="s">
        <v>1919</v>
      </c>
    </row>
    <row r="141" spans="1:1" ht="15" customHeight="1" x14ac:dyDescent="0.2">
      <c r="A141" s="9" t="s">
        <v>1920</v>
      </c>
    </row>
    <row r="142" spans="1:1" ht="15" customHeight="1" x14ac:dyDescent="0.2">
      <c r="A142" s="9" t="s">
        <v>1921</v>
      </c>
    </row>
    <row r="143" spans="1:1" ht="15" customHeight="1" x14ac:dyDescent="0.2">
      <c r="A143" s="9" t="s">
        <v>1922</v>
      </c>
    </row>
    <row r="144" spans="1:1" ht="15" customHeight="1" x14ac:dyDescent="0.2">
      <c r="A144" s="9" t="s">
        <v>1923</v>
      </c>
    </row>
    <row r="146" spans="1:1" ht="15" customHeight="1" x14ac:dyDescent="0.2">
      <c r="A146" s="9" t="s">
        <v>98</v>
      </c>
    </row>
    <row r="148" spans="1:1" ht="15" customHeight="1" x14ac:dyDescent="0.25">
      <c r="A148" s="9" t="s">
        <v>3624</v>
      </c>
    </row>
    <row r="150" spans="1:1" ht="15" customHeight="1" x14ac:dyDescent="0.25">
      <c r="A150" s="9" t="s">
        <v>3625</v>
      </c>
    </row>
    <row r="152" spans="1:1" ht="15" customHeight="1" x14ac:dyDescent="0.25">
      <c r="A152" s="9" t="s">
        <v>3626</v>
      </c>
    </row>
    <row r="154" spans="1:1" ht="15" customHeight="1" x14ac:dyDescent="0.2">
      <c r="A154" s="8" t="s">
        <v>1924</v>
      </c>
    </row>
    <row r="155" spans="1:1" ht="15" customHeight="1" x14ac:dyDescent="0.2">
      <c r="A155" s="9" t="s">
        <v>1925</v>
      </c>
    </row>
    <row r="156" spans="1:1" ht="15" customHeight="1" x14ac:dyDescent="0.2">
      <c r="A156" s="9" t="s">
        <v>1926</v>
      </c>
    </row>
    <row r="157" spans="1:1" ht="15" customHeight="1" x14ac:dyDescent="0.2">
      <c r="A157" s="9" t="s">
        <v>1927</v>
      </c>
    </row>
    <row r="158" spans="1:1" ht="15" customHeight="1" x14ac:dyDescent="0.2">
      <c r="A158" s="9" t="s">
        <v>1928</v>
      </c>
    </row>
    <row r="160" spans="1:1" ht="15" customHeight="1" x14ac:dyDescent="0.2">
      <c r="A160" s="9" t="s">
        <v>98</v>
      </c>
    </row>
    <row r="162" spans="1:2" ht="15" customHeight="1" x14ac:dyDescent="0.25">
      <c r="A162" s="9" t="s">
        <v>3627</v>
      </c>
    </row>
    <row r="164" spans="1:2" ht="15" customHeight="1" x14ac:dyDescent="0.2">
      <c r="A164" s="25" t="s">
        <v>99</v>
      </c>
      <c r="B164" s="21">
        <v>0.05</v>
      </c>
    </row>
    <row r="165" spans="1:2" ht="15" customHeight="1" x14ac:dyDescent="0.2">
      <c r="A165" s="25" t="s">
        <v>56</v>
      </c>
      <c r="B165" s="21">
        <v>0.02</v>
      </c>
    </row>
    <row r="166" spans="1:2" ht="15" customHeight="1" x14ac:dyDescent="0.2">
      <c r="A166" s="25" t="s">
        <v>83</v>
      </c>
      <c r="B166" s="9">
        <v>1</v>
      </c>
    </row>
    <row r="168" spans="1:2" ht="15" customHeight="1" x14ac:dyDescent="0.2">
      <c r="A168" s="47" t="s">
        <v>1333</v>
      </c>
      <c r="B168" s="18">
        <f>EXP((B164-B165)*B166)</f>
        <v>1.0304545339535169</v>
      </c>
    </row>
    <row r="170" spans="1:2" ht="15" customHeight="1" x14ac:dyDescent="0.2">
      <c r="A170" s="8" t="s">
        <v>1931</v>
      </c>
    </row>
    <row r="171" spans="1:2" ht="15" customHeight="1" x14ac:dyDescent="0.2">
      <c r="A171" s="9" t="s">
        <v>1929</v>
      </c>
    </row>
    <row r="172" spans="1:2" ht="15" customHeight="1" x14ac:dyDescent="0.2">
      <c r="A172" s="9" t="s">
        <v>1930</v>
      </c>
    </row>
    <row r="173" spans="1:2" ht="15" customHeight="1" x14ac:dyDescent="0.2">
      <c r="A173" s="9" t="s">
        <v>1932</v>
      </c>
    </row>
    <row r="174" spans="1:2" ht="15" customHeight="1" x14ac:dyDescent="0.2">
      <c r="A174" s="9" t="s">
        <v>1933</v>
      </c>
    </row>
    <row r="176" spans="1:2" ht="15" customHeight="1" x14ac:dyDescent="0.2">
      <c r="A176" s="9" t="s">
        <v>80</v>
      </c>
    </row>
    <row r="178" spans="1:2" ht="15" customHeight="1" x14ac:dyDescent="0.2">
      <c r="A178" s="9" t="s">
        <v>3628</v>
      </c>
    </row>
    <row r="180" spans="1:2" ht="15" customHeight="1" x14ac:dyDescent="0.2">
      <c r="A180" s="47" t="s">
        <v>1934</v>
      </c>
      <c r="B180" s="9">
        <v>500</v>
      </c>
    </row>
    <row r="181" spans="1:2" ht="15" customHeight="1" x14ac:dyDescent="0.2">
      <c r="A181" s="9" t="s">
        <v>3629</v>
      </c>
      <c r="B181" s="12">
        <v>3</v>
      </c>
    </row>
    <row r="183" spans="1:2" ht="15" customHeight="1" x14ac:dyDescent="0.2">
      <c r="A183" s="47" t="s">
        <v>3630</v>
      </c>
      <c r="B183" s="12">
        <f>(1/2)*B180*B181^2</f>
        <v>2250</v>
      </c>
    </row>
    <row r="185" spans="1:2" ht="15" customHeight="1" x14ac:dyDescent="0.2">
      <c r="A185" s="8" t="s">
        <v>1935</v>
      </c>
    </row>
    <row r="186" spans="1:2" ht="15" customHeight="1" x14ac:dyDescent="0.2">
      <c r="A186" s="9" t="s">
        <v>1914</v>
      </c>
    </row>
    <row r="187" spans="1:2" ht="15" customHeight="1" x14ac:dyDescent="0.2">
      <c r="A187" s="9" t="s">
        <v>1915</v>
      </c>
    </row>
    <row r="188" spans="1:2" ht="15" customHeight="1" x14ac:dyDescent="0.2">
      <c r="A188" s="9" t="s">
        <v>1916</v>
      </c>
    </row>
    <row r="189" spans="1:2" ht="15" customHeight="1" x14ac:dyDescent="0.2">
      <c r="A189" s="9" t="s">
        <v>1936</v>
      </c>
    </row>
    <row r="191" spans="1:2" ht="15" customHeight="1" x14ac:dyDescent="0.2">
      <c r="A191" s="9" t="s">
        <v>80</v>
      </c>
    </row>
    <row r="193" spans="1:2" ht="15" customHeight="1" x14ac:dyDescent="0.2">
      <c r="A193" s="9" t="s">
        <v>1937</v>
      </c>
    </row>
    <row r="195" spans="1:2" ht="15" customHeight="1" x14ac:dyDescent="0.2">
      <c r="A195" s="8" t="s">
        <v>1938</v>
      </c>
    </row>
    <row r="196" spans="1:2" ht="15" customHeight="1" x14ac:dyDescent="0.2">
      <c r="A196" s="9" t="s">
        <v>1939</v>
      </c>
    </row>
    <row r="197" spans="1:2" ht="15" customHeight="1" x14ac:dyDescent="0.2">
      <c r="A197" s="9" t="s">
        <v>1940</v>
      </c>
    </row>
    <row r="198" spans="1:2" ht="15" customHeight="1" x14ac:dyDescent="0.2">
      <c r="A198" s="9" t="s">
        <v>1941</v>
      </c>
    </row>
    <row r="199" spans="1:2" ht="15" customHeight="1" x14ac:dyDescent="0.2">
      <c r="A199" s="9" t="s">
        <v>1942</v>
      </c>
    </row>
    <row r="201" spans="1:2" ht="15" customHeight="1" x14ac:dyDescent="0.2">
      <c r="A201" s="9" t="s">
        <v>98</v>
      </c>
    </row>
    <row r="203" spans="1:2" ht="15" customHeight="1" x14ac:dyDescent="0.25">
      <c r="A203" s="9" t="s">
        <v>3631</v>
      </c>
    </row>
    <row r="205" spans="1:2" ht="15" customHeight="1" x14ac:dyDescent="0.25">
      <c r="A205" s="9" t="s">
        <v>3632</v>
      </c>
      <c r="B205" s="9">
        <v>0.4</v>
      </c>
    </row>
    <row r="207" spans="1:2" ht="15" customHeight="1" x14ac:dyDescent="0.25">
      <c r="A207" s="9" t="s">
        <v>3633</v>
      </c>
      <c r="B207" s="9">
        <f>B205-1</f>
        <v>-0.6</v>
      </c>
    </row>
    <row r="209" spans="1:2" ht="15" customHeight="1" x14ac:dyDescent="0.2">
      <c r="A209" s="8" t="s">
        <v>1943</v>
      </c>
    </row>
    <row r="210" spans="1:2" ht="15" customHeight="1" x14ac:dyDescent="0.2">
      <c r="A210" s="9" t="s">
        <v>3634</v>
      </c>
    </row>
    <row r="211" spans="1:2" ht="15" customHeight="1" x14ac:dyDescent="0.2">
      <c r="A211" s="9" t="s">
        <v>3635</v>
      </c>
    </row>
    <row r="212" spans="1:2" ht="15" customHeight="1" x14ac:dyDescent="0.2">
      <c r="A212" s="9" t="s">
        <v>3636</v>
      </c>
    </row>
    <row r="213" spans="1:2" ht="15" customHeight="1" x14ac:dyDescent="0.2">
      <c r="A213" s="9" t="s">
        <v>3637</v>
      </c>
    </row>
    <row r="215" spans="1:2" ht="15" customHeight="1" x14ac:dyDescent="0.2">
      <c r="A215" s="9" t="s">
        <v>88</v>
      </c>
    </row>
    <row r="217" spans="1:2" ht="15" customHeight="1" x14ac:dyDescent="0.25">
      <c r="A217" s="9" t="s">
        <v>3624</v>
      </c>
    </row>
    <row r="219" spans="1:2" ht="15" customHeight="1" x14ac:dyDescent="0.2">
      <c r="A219" s="9" t="s">
        <v>1944</v>
      </c>
    </row>
    <row r="221" spans="1:2" ht="15" customHeight="1" x14ac:dyDescent="0.25">
      <c r="A221" s="9" t="s">
        <v>3638</v>
      </c>
      <c r="B221" s="12">
        <v>28</v>
      </c>
    </row>
    <row r="222" spans="1:2" ht="15" customHeight="1" x14ac:dyDescent="0.2">
      <c r="A222" s="25" t="s">
        <v>82</v>
      </c>
      <c r="B222" s="12">
        <v>30</v>
      </c>
    </row>
    <row r="223" spans="1:2" ht="15" customHeight="1" x14ac:dyDescent="0.2">
      <c r="A223" s="25" t="s">
        <v>83</v>
      </c>
      <c r="B223" s="9">
        <f>6/12</f>
        <v>0.5</v>
      </c>
    </row>
    <row r="224" spans="1:2" ht="15" customHeight="1" x14ac:dyDescent="0.2">
      <c r="A224" s="48" t="s">
        <v>190</v>
      </c>
      <c r="B224" s="21">
        <v>0.25</v>
      </c>
    </row>
    <row r="225" spans="1:2" ht="15" customHeight="1" x14ac:dyDescent="0.2">
      <c r="A225" s="25" t="s">
        <v>99</v>
      </c>
      <c r="B225" s="21">
        <v>0.04</v>
      </c>
    </row>
    <row r="227" spans="1:2" ht="15" customHeight="1" x14ac:dyDescent="0.25">
      <c r="A227" s="25" t="s">
        <v>3639</v>
      </c>
      <c r="B227" s="16">
        <f>(LN(B221/B222)+(B225+B224^2/2)*B223)/(B224*SQRT(B223))</f>
        <v>-0.18875718561747681</v>
      </c>
    </row>
    <row r="229" spans="1:2" ht="15" customHeight="1" x14ac:dyDescent="0.2">
      <c r="A229" s="8" t="s">
        <v>1945</v>
      </c>
    </row>
    <row r="230" spans="1:2" ht="15" customHeight="1" x14ac:dyDescent="0.2">
      <c r="A230" s="9" t="s">
        <v>1946</v>
      </c>
    </row>
    <row r="231" spans="1:2" ht="15" customHeight="1" x14ac:dyDescent="0.2">
      <c r="A231" s="9" t="s">
        <v>1947</v>
      </c>
    </row>
    <row r="232" spans="1:2" ht="15" customHeight="1" x14ac:dyDescent="0.2">
      <c r="A232" s="9" t="s">
        <v>1948</v>
      </c>
    </row>
    <row r="233" spans="1:2" ht="15" customHeight="1" x14ac:dyDescent="0.2">
      <c r="A233" s="9" t="s">
        <v>77</v>
      </c>
    </row>
    <row r="235" spans="1:2" ht="15" customHeight="1" x14ac:dyDescent="0.2">
      <c r="A235" s="9" t="s">
        <v>98</v>
      </c>
    </row>
    <row r="237" spans="1:2" ht="15" customHeight="1" x14ac:dyDescent="0.2">
      <c r="A237" s="9" t="s">
        <v>1949</v>
      </c>
    </row>
    <row r="239" spans="1:2" ht="15" customHeight="1" x14ac:dyDescent="0.2">
      <c r="A239" s="8" t="s">
        <v>1950</v>
      </c>
    </row>
    <row r="240" spans="1:2" ht="15" customHeight="1" x14ac:dyDescent="0.2">
      <c r="A240" s="9" t="s">
        <v>1951</v>
      </c>
    </row>
    <row r="241" spans="1:1" ht="15" customHeight="1" x14ac:dyDescent="0.2">
      <c r="A241" s="9" t="s">
        <v>1952</v>
      </c>
    </row>
    <row r="242" spans="1:1" ht="15" customHeight="1" x14ac:dyDescent="0.2">
      <c r="A242" s="9" t="s">
        <v>1953</v>
      </c>
    </row>
    <row r="243" spans="1:1" ht="15" customHeight="1" x14ac:dyDescent="0.2">
      <c r="A243" s="9" t="s">
        <v>1954</v>
      </c>
    </row>
    <row r="245" spans="1:1" ht="15" customHeight="1" x14ac:dyDescent="0.2">
      <c r="A245" s="9" t="s">
        <v>110</v>
      </c>
    </row>
    <row r="247" spans="1:1" ht="15" customHeight="1" x14ac:dyDescent="0.2">
      <c r="A247" s="9" t="s">
        <v>1955</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9">
    <tabColor rgb="FF536878"/>
    <pageSetUpPr fitToPage="1"/>
  </sheetPr>
  <dimension ref="A1:P230"/>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4025</v>
      </c>
      <c r="B1" s="76"/>
      <c r="C1" s="76"/>
      <c r="D1" s="76"/>
      <c r="E1" s="76"/>
      <c r="F1" s="76"/>
      <c r="G1" s="76"/>
      <c r="H1" s="76"/>
      <c r="I1" s="76"/>
      <c r="J1" s="76"/>
      <c r="K1" s="76"/>
      <c r="L1" s="76"/>
      <c r="M1" s="76"/>
      <c r="N1" s="76"/>
      <c r="O1" s="76"/>
      <c r="P1" s="76"/>
    </row>
    <row r="3" spans="1:16" ht="15" customHeight="1" x14ac:dyDescent="0.2">
      <c r="A3" s="8" t="s">
        <v>1956</v>
      </c>
    </row>
    <row r="4" spans="1:16" ht="15" customHeight="1" x14ac:dyDescent="0.2">
      <c r="A4" s="9" t="s">
        <v>1957</v>
      </c>
    </row>
    <row r="5" spans="1:16" ht="15" customHeight="1" x14ac:dyDescent="0.2">
      <c r="A5" s="9" t="s">
        <v>1958</v>
      </c>
    </row>
    <row r="6" spans="1:16" ht="15" customHeight="1" x14ac:dyDescent="0.2">
      <c r="A6" s="9" t="s">
        <v>1959</v>
      </c>
    </row>
    <row r="7" spans="1:16" ht="15" customHeight="1" x14ac:dyDescent="0.2">
      <c r="A7" s="9" t="s">
        <v>1960</v>
      </c>
    </row>
    <row r="9" spans="1:16" ht="15" customHeight="1" x14ac:dyDescent="0.2">
      <c r="A9" s="9" t="s">
        <v>98</v>
      </c>
    </row>
    <row r="11" spans="1:16" ht="15" customHeight="1" x14ac:dyDescent="0.2">
      <c r="A11" s="9" t="s">
        <v>1961</v>
      </c>
    </row>
    <row r="13" spans="1:16" ht="15" customHeight="1" x14ac:dyDescent="0.2">
      <c r="A13" s="8" t="s">
        <v>1962</v>
      </c>
    </row>
    <row r="14" spans="1:16" ht="15" customHeight="1" x14ac:dyDescent="0.2">
      <c r="A14" s="9" t="s">
        <v>3616</v>
      </c>
    </row>
    <row r="15" spans="1:16" ht="15" customHeight="1" x14ac:dyDescent="0.2">
      <c r="A15" s="9" t="s">
        <v>3617</v>
      </c>
    </row>
    <row r="16" spans="1:16" ht="15" customHeight="1" x14ac:dyDescent="0.2">
      <c r="A16" s="9" t="s">
        <v>3618</v>
      </c>
    </row>
    <row r="17" spans="1:1" ht="15" customHeight="1" x14ac:dyDescent="0.2">
      <c r="A17" s="9" t="s">
        <v>3619</v>
      </c>
    </row>
    <row r="19" spans="1:1" ht="15" customHeight="1" x14ac:dyDescent="0.2">
      <c r="A19" s="9" t="s">
        <v>80</v>
      </c>
    </row>
    <row r="21" spans="1:1" ht="15" customHeight="1" x14ac:dyDescent="0.2">
      <c r="A21" s="9" t="s">
        <v>1963</v>
      </c>
    </row>
    <row r="23" spans="1:1" ht="15" customHeight="1" x14ac:dyDescent="0.2">
      <c r="A23" s="8" t="s">
        <v>1964</v>
      </c>
    </row>
    <row r="24" spans="1:1" ht="15" customHeight="1" x14ac:dyDescent="0.2">
      <c r="A24" s="8" t="s">
        <v>1965</v>
      </c>
    </row>
    <row r="25" spans="1:1" ht="15" customHeight="1" x14ac:dyDescent="0.2">
      <c r="A25" s="9" t="s">
        <v>1966</v>
      </c>
    </row>
    <row r="26" spans="1:1" ht="15" customHeight="1" x14ac:dyDescent="0.2">
      <c r="A26" s="9" t="s">
        <v>1967</v>
      </c>
    </row>
    <row r="27" spans="1:1" ht="15" customHeight="1" x14ac:dyDescent="0.2">
      <c r="A27" s="9" t="s">
        <v>1968</v>
      </c>
    </row>
    <row r="28" spans="1:1" ht="15" customHeight="1" x14ac:dyDescent="0.2">
      <c r="A28" s="9" t="s">
        <v>1969</v>
      </c>
    </row>
    <row r="30" spans="1:1" ht="15" customHeight="1" x14ac:dyDescent="0.2">
      <c r="A30" s="9" t="s">
        <v>110</v>
      </c>
    </row>
    <row r="32" spans="1:1" ht="15" customHeight="1" x14ac:dyDescent="0.2">
      <c r="A32" s="9" t="s">
        <v>1970</v>
      </c>
    </row>
    <row r="34" spans="1:1" ht="15" customHeight="1" x14ac:dyDescent="0.2">
      <c r="A34" s="8" t="s">
        <v>1971</v>
      </c>
    </row>
    <row r="35" spans="1:1" ht="15" customHeight="1" x14ac:dyDescent="0.2">
      <c r="A35" s="8" t="s">
        <v>1972</v>
      </c>
    </row>
    <row r="36" spans="1:1" ht="15" customHeight="1" x14ac:dyDescent="0.2">
      <c r="A36" s="9" t="s">
        <v>1966</v>
      </c>
    </row>
    <row r="37" spans="1:1" ht="15" customHeight="1" x14ac:dyDescent="0.2">
      <c r="A37" s="9" t="s">
        <v>1967</v>
      </c>
    </row>
    <row r="38" spans="1:1" ht="15" customHeight="1" x14ac:dyDescent="0.2">
      <c r="A38" s="9" t="s">
        <v>1968</v>
      </c>
    </row>
    <row r="39" spans="1:1" ht="15" customHeight="1" x14ac:dyDescent="0.2">
      <c r="A39" s="9" t="s">
        <v>1969</v>
      </c>
    </row>
    <row r="41" spans="1:1" ht="15" customHeight="1" x14ac:dyDescent="0.2">
      <c r="A41" s="9" t="s">
        <v>98</v>
      </c>
    </row>
    <row r="43" spans="1:1" ht="15" customHeight="1" x14ac:dyDescent="0.2">
      <c r="A43" s="9" t="s">
        <v>1973</v>
      </c>
    </row>
    <row r="45" spans="1:1" ht="15" customHeight="1" x14ac:dyDescent="0.2">
      <c r="A45" s="8" t="s">
        <v>1974</v>
      </c>
    </row>
    <row r="46" spans="1:1" ht="15" customHeight="1" x14ac:dyDescent="0.2">
      <c r="A46" s="9" t="s">
        <v>1975</v>
      </c>
    </row>
    <row r="47" spans="1:1" ht="15" customHeight="1" x14ac:dyDescent="0.2">
      <c r="A47" s="9" t="s">
        <v>1976</v>
      </c>
    </row>
    <row r="48" spans="1:1" ht="15" customHeight="1" x14ac:dyDescent="0.2">
      <c r="A48" s="9" t="s">
        <v>1977</v>
      </c>
    </row>
    <row r="49" spans="1:1" ht="15" customHeight="1" x14ac:dyDescent="0.2">
      <c r="A49" s="9" t="s">
        <v>1978</v>
      </c>
    </row>
    <row r="51" spans="1:1" ht="15" customHeight="1" x14ac:dyDescent="0.2">
      <c r="A51" s="9" t="s">
        <v>98</v>
      </c>
    </row>
    <row r="53" spans="1:1" ht="15" customHeight="1" x14ac:dyDescent="0.2">
      <c r="A53" s="9" t="s">
        <v>1979</v>
      </c>
    </row>
    <row r="55" spans="1:1" ht="15" customHeight="1" x14ac:dyDescent="0.2">
      <c r="A55" s="8" t="s">
        <v>1980</v>
      </c>
    </row>
    <row r="56" spans="1:1" ht="15" customHeight="1" x14ac:dyDescent="0.2">
      <c r="A56" s="9" t="s">
        <v>1981</v>
      </c>
    </row>
    <row r="57" spans="1:1" ht="15" customHeight="1" x14ac:dyDescent="0.2">
      <c r="A57" s="9" t="s">
        <v>1982</v>
      </c>
    </row>
    <row r="58" spans="1:1" ht="15" customHeight="1" x14ac:dyDescent="0.2">
      <c r="A58" s="9" t="s">
        <v>1983</v>
      </c>
    </row>
    <row r="59" spans="1:1" ht="15" customHeight="1" x14ac:dyDescent="0.2">
      <c r="A59" s="9" t="s">
        <v>1984</v>
      </c>
    </row>
    <row r="61" spans="1:1" ht="15" customHeight="1" x14ac:dyDescent="0.2">
      <c r="A61" s="9" t="s">
        <v>80</v>
      </c>
    </row>
    <row r="63" spans="1:1" ht="15" customHeight="1" x14ac:dyDescent="0.2">
      <c r="A63" s="9" t="s">
        <v>1985</v>
      </c>
    </row>
    <row r="65" spans="1:1" ht="15" customHeight="1" x14ac:dyDescent="0.2">
      <c r="A65" s="8" t="s">
        <v>1986</v>
      </c>
    </row>
    <row r="66" spans="1:1" ht="15" customHeight="1" x14ac:dyDescent="0.2">
      <c r="A66" s="9" t="s">
        <v>1987</v>
      </c>
    </row>
    <row r="67" spans="1:1" ht="15" customHeight="1" x14ac:dyDescent="0.2">
      <c r="A67" s="9" t="s">
        <v>1988</v>
      </c>
    </row>
    <row r="68" spans="1:1" ht="15" customHeight="1" x14ac:dyDescent="0.2">
      <c r="A68" s="9" t="s">
        <v>1989</v>
      </c>
    </row>
    <row r="69" spans="1:1" ht="15" customHeight="1" x14ac:dyDescent="0.2">
      <c r="A69" s="9" t="s">
        <v>1990</v>
      </c>
    </row>
    <row r="71" spans="1:1" ht="15" customHeight="1" x14ac:dyDescent="0.2">
      <c r="A71" s="9" t="s">
        <v>80</v>
      </c>
    </row>
    <row r="73" spans="1:1" ht="15" customHeight="1" x14ac:dyDescent="0.2">
      <c r="A73" s="9" t="s">
        <v>1991</v>
      </c>
    </row>
    <row r="75" spans="1:1" ht="15" customHeight="1" x14ac:dyDescent="0.2">
      <c r="A75" s="8" t="s">
        <v>1992</v>
      </c>
    </row>
    <row r="76" spans="1:1" ht="15" customHeight="1" x14ac:dyDescent="0.2">
      <c r="A76" s="9" t="s">
        <v>1996</v>
      </c>
    </row>
    <row r="77" spans="1:1" ht="15" customHeight="1" x14ac:dyDescent="0.2">
      <c r="A77" s="9" t="s">
        <v>1993</v>
      </c>
    </row>
    <row r="78" spans="1:1" ht="15" customHeight="1" x14ac:dyDescent="0.2">
      <c r="A78" s="9" t="s">
        <v>1994</v>
      </c>
    </row>
    <row r="79" spans="1:1" ht="15" customHeight="1" x14ac:dyDescent="0.2">
      <c r="A79" s="9" t="s">
        <v>839</v>
      </c>
    </row>
    <row r="81" spans="1:1" ht="15" customHeight="1" x14ac:dyDescent="0.2">
      <c r="A81" s="9" t="s">
        <v>98</v>
      </c>
    </row>
    <row r="83" spans="1:1" ht="15" customHeight="1" x14ac:dyDescent="0.2">
      <c r="A83" s="9" t="s">
        <v>1995</v>
      </c>
    </row>
    <row r="85" spans="1:1" ht="15" customHeight="1" x14ac:dyDescent="0.2">
      <c r="A85" s="8" t="s">
        <v>1997</v>
      </c>
    </row>
    <row r="86" spans="1:1" ht="15" customHeight="1" x14ac:dyDescent="0.2">
      <c r="A86" s="9" t="s">
        <v>1996</v>
      </c>
    </row>
    <row r="87" spans="1:1" ht="15" customHeight="1" x14ac:dyDescent="0.2">
      <c r="A87" s="9" t="s">
        <v>1993</v>
      </c>
    </row>
    <row r="88" spans="1:1" ht="15" customHeight="1" x14ac:dyDescent="0.2">
      <c r="A88" s="9" t="s">
        <v>1994</v>
      </c>
    </row>
    <row r="89" spans="1:1" ht="15" customHeight="1" x14ac:dyDescent="0.2">
      <c r="A89" s="9" t="s">
        <v>839</v>
      </c>
    </row>
    <row r="91" spans="1:1" ht="15" customHeight="1" x14ac:dyDescent="0.2">
      <c r="A91" s="9" t="s">
        <v>110</v>
      </c>
    </row>
    <row r="93" spans="1:1" ht="15" customHeight="1" x14ac:dyDescent="0.2">
      <c r="A93" s="9" t="s">
        <v>1998</v>
      </c>
    </row>
    <row r="95" spans="1:1" ht="15" customHeight="1" x14ac:dyDescent="0.2">
      <c r="A95" s="8" t="s">
        <v>1999</v>
      </c>
    </row>
    <row r="96" spans="1:1" ht="15" customHeight="1" x14ac:dyDescent="0.2">
      <c r="A96" s="9" t="s">
        <v>2000</v>
      </c>
    </row>
    <row r="97" spans="1:1" ht="15" customHeight="1" x14ac:dyDescent="0.2">
      <c r="A97" s="9" t="s">
        <v>2001</v>
      </c>
    </row>
    <row r="98" spans="1:1" ht="15" customHeight="1" x14ac:dyDescent="0.2">
      <c r="A98" s="9" t="s">
        <v>2002</v>
      </c>
    </row>
    <row r="99" spans="1:1" ht="15" customHeight="1" x14ac:dyDescent="0.2">
      <c r="A99" s="9" t="s">
        <v>2003</v>
      </c>
    </row>
    <row r="101" spans="1:1" ht="15" customHeight="1" x14ac:dyDescent="0.2">
      <c r="A101" s="9" t="s">
        <v>98</v>
      </c>
    </row>
    <row r="103" spans="1:1" ht="15" customHeight="1" x14ac:dyDescent="0.2">
      <c r="A103" s="9" t="s">
        <v>2004</v>
      </c>
    </row>
    <row r="105" spans="1:1" ht="15" customHeight="1" x14ac:dyDescent="0.2">
      <c r="A105" s="8" t="s">
        <v>2005</v>
      </c>
    </row>
    <row r="106" spans="1:1" ht="15" customHeight="1" x14ac:dyDescent="0.2">
      <c r="A106" s="9" t="s">
        <v>2006</v>
      </c>
    </row>
    <row r="107" spans="1:1" ht="15" customHeight="1" x14ac:dyDescent="0.2">
      <c r="A107" s="9" t="s">
        <v>2007</v>
      </c>
    </row>
    <row r="108" spans="1:1" ht="15" customHeight="1" x14ac:dyDescent="0.2">
      <c r="A108" s="9" t="s">
        <v>2008</v>
      </c>
    </row>
    <row r="109" spans="1:1" ht="15" customHeight="1" x14ac:dyDescent="0.2">
      <c r="A109" s="9" t="s">
        <v>5</v>
      </c>
    </row>
    <row r="111" spans="1:1" ht="15" customHeight="1" x14ac:dyDescent="0.2">
      <c r="A111" s="9" t="s">
        <v>80</v>
      </c>
    </row>
    <row r="113" spans="1:1" ht="15" customHeight="1" x14ac:dyDescent="0.2">
      <c r="A113" s="9" t="s">
        <v>2009</v>
      </c>
    </row>
    <row r="115" spans="1:1" ht="15" customHeight="1" x14ac:dyDescent="0.2">
      <c r="A115" s="8" t="s">
        <v>2010</v>
      </c>
    </row>
    <row r="116" spans="1:1" ht="15" customHeight="1" x14ac:dyDescent="0.2">
      <c r="A116" s="9" t="s">
        <v>2011</v>
      </c>
    </row>
    <row r="117" spans="1:1" ht="15" customHeight="1" x14ac:dyDescent="0.2">
      <c r="A117" s="9" t="s">
        <v>2012</v>
      </c>
    </row>
    <row r="118" spans="1:1" ht="15" customHeight="1" x14ac:dyDescent="0.2">
      <c r="A118" s="9" t="s">
        <v>2013</v>
      </c>
    </row>
    <row r="119" spans="1:1" ht="15" customHeight="1" x14ac:dyDescent="0.2">
      <c r="A119" s="9" t="s">
        <v>2014</v>
      </c>
    </row>
    <row r="121" spans="1:1" ht="15" customHeight="1" x14ac:dyDescent="0.2">
      <c r="A121" s="9" t="s">
        <v>98</v>
      </c>
    </row>
    <row r="123" spans="1:1" ht="15" customHeight="1" x14ac:dyDescent="0.2">
      <c r="A123" s="9" t="s">
        <v>2015</v>
      </c>
    </row>
    <row r="125" spans="1:1" ht="15" customHeight="1" x14ac:dyDescent="0.2">
      <c r="A125" s="8" t="s">
        <v>2016</v>
      </c>
    </row>
    <row r="126" spans="1:1" ht="15" customHeight="1" x14ac:dyDescent="0.2">
      <c r="A126" s="9" t="s">
        <v>2017</v>
      </c>
    </row>
    <row r="127" spans="1:1" ht="15" customHeight="1" x14ac:dyDescent="0.2">
      <c r="A127" s="9" t="s">
        <v>2018</v>
      </c>
    </row>
    <row r="128" spans="1:1" ht="15" customHeight="1" x14ac:dyDescent="0.2">
      <c r="A128" s="9" t="s">
        <v>2019</v>
      </c>
    </row>
    <row r="129" spans="1:1" ht="15" customHeight="1" x14ac:dyDescent="0.2">
      <c r="A129" s="9" t="s">
        <v>2020</v>
      </c>
    </row>
    <row r="131" spans="1:1" ht="15" customHeight="1" x14ac:dyDescent="0.2">
      <c r="A131" s="9" t="s">
        <v>80</v>
      </c>
    </row>
    <row r="133" spans="1:1" ht="15" customHeight="1" x14ac:dyDescent="0.2">
      <c r="A133" s="9" t="s">
        <v>2021</v>
      </c>
    </row>
    <row r="134" spans="1:1" ht="15" customHeight="1" x14ac:dyDescent="0.2">
      <c r="A134" s="9" t="s">
        <v>2022</v>
      </c>
    </row>
    <row r="136" spans="1:1" ht="15" customHeight="1" x14ac:dyDescent="0.2">
      <c r="A136" s="8" t="s">
        <v>2023</v>
      </c>
    </row>
    <row r="137" spans="1:1" ht="15" customHeight="1" x14ac:dyDescent="0.2">
      <c r="A137" s="9" t="s">
        <v>2024</v>
      </c>
    </row>
    <row r="138" spans="1:1" ht="15" customHeight="1" x14ac:dyDescent="0.2">
      <c r="A138" s="9" t="s">
        <v>2025</v>
      </c>
    </row>
    <row r="139" spans="1:1" ht="15" customHeight="1" x14ac:dyDescent="0.2">
      <c r="A139" s="9" t="s">
        <v>2026</v>
      </c>
    </row>
    <row r="140" spans="1:1" ht="15" customHeight="1" x14ac:dyDescent="0.2">
      <c r="A140" s="9" t="s">
        <v>5</v>
      </c>
    </row>
    <row r="142" spans="1:1" ht="15" customHeight="1" x14ac:dyDescent="0.2">
      <c r="A142" s="9" t="s">
        <v>98</v>
      </c>
    </row>
    <row r="144" spans="1:1" ht="15" customHeight="1" x14ac:dyDescent="0.2">
      <c r="A144" s="9" t="s">
        <v>2027</v>
      </c>
    </row>
    <row r="146" spans="1:2" ht="15" customHeight="1" x14ac:dyDescent="0.2">
      <c r="A146" s="8" t="s">
        <v>2028</v>
      </c>
    </row>
    <row r="147" spans="1:2" ht="15" customHeight="1" x14ac:dyDescent="0.2">
      <c r="A147" s="9" t="s">
        <v>2029</v>
      </c>
    </row>
    <row r="148" spans="1:2" ht="15" customHeight="1" x14ac:dyDescent="0.2">
      <c r="A148" s="9" t="s">
        <v>2030</v>
      </c>
    </row>
    <row r="149" spans="1:2" ht="15" customHeight="1" x14ac:dyDescent="0.2">
      <c r="A149" s="9" t="s">
        <v>2031</v>
      </c>
    </row>
    <row r="150" spans="1:2" ht="15" customHeight="1" x14ac:dyDescent="0.2">
      <c r="A150" s="9" t="s">
        <v>5</v>
      </c>
    </row>
    <row r="152" spans="1:2" ht="15" customHeight="1" x14ac:dyDescent="0.2">
      <c r="A152" s="9" t="s">
        <v>110</v>
      </c>
    </row>
    <row r="154" spans="1:2" ht="15" customHeight="1" x14ac:dyDescent="0.2">
      <c r="A154" s="9" t="s">
        <v>2032</v>
      </c>
    </row>
    <row r="155" spans="1:2" ht="15" customHeight="1" x14ac:dyDescent="0.2">
      <c r="A155" s="9" t="s">
        <v>2033</v>
      </c>
    </row>
    <row r="156" spans="1:2" ht="15" customHeight="1" x14ac:dyDescent="0.2">
      <c r="A156" s="9" t="s">
        <v>2034</v>
      </c>
    </row>
    <row r="157" spans="1:2" ht="15" customHeight="1" x14ac:dyDescent="0.2">
      <c r="A157" s="9" t="s">
        <v>2035</v>
      </c>
    </row>
    <row r="158" spans="1:2" ht="15" customHeight="1" x14ac:dyDescent="0.2">
      <c r="A158" s="9" t="s">
        <v>2038</v>
      </c>
    </row>
    <row r="160" spans="1:2" ht="15" customHeight="1" x14ac:dyDescent="0.2">
      <c r="A160" s="9" t="s">
        <v>2036</v>
      </c>
      <c r="B160" s="14">
        <v>2.9999999999999997E-4</v>
      </c>
    </row>
    <row r="161" spans="1:2" ht="15" customHeight="1" x14ac:dyDescent="0.2">
      <c r="A161" s="25" t="s">
        <v>85</v>
      </c>
      <c r="B161" s="9">
        <v>252</v>
      </c>
    </row>
    <row r="163" spans="1:2" ht="15" customHeight="1" x14ac:dyDescent="0.2">
      <c r="A163" s="9" t="s">
        <v>2037</v>
      </c>
      <c r="B163" s="36">
        <f>1/(B160*B161)</f>
        <v>13.22751322751323</v>
      </c>
    </row>
    <row r="165" spans="1:2" ht="15" customHeight="1" x14ac:dyDescent="0.2">
      <c r="A165" s="8" t="s">
        <v>2039</v>
      </c>
    </row>
    <row r="166" spans="1:2" ht="15" customHeight="1" x14ac:dyDescent="0.2">
      <c r="A166" s="9" t="s">
        <v>2040</v>
      </c>
    </row>
    <row r="167" spans="1:2" ht="15" customHeight="1" x14ac:dyDescent="0.2">
      <c r="A167" s="9" t="s">
        <v>2041</v>
      </c>
    </row>
    <row r="168" spans="1:2" ht="15" customHeight="1" x14ac:dyDescent="0.2">
      <c r="A168" s="9" t="s">
        <v>2042</v>
      </c>
    </row>
    <row r="169" spans="1:2" ht="15" customHeight="1" x14ac:dyDescent="0.2">
      <c r="A169" s="9" t="s">
        <v>2043</v>
      </c>
    </row>
    <row r="171" spans="1:2" ht="15" customHeight="1" x14ac:dyDescent="0.2">
      <c r="A171" s="9" t="s">
        <v>80</v>
      </c>
    </row>
    <row r="173" spans="1:2" ht="15" customHeight="1" x14ac:dyDescent="0.2">
      <c r="A173" s="9" t="s">
        <v>2044</v>
      </c>
    </row>
    <row r="175" spans="1:2" ht="15" customHeight="1" x14ac:dyDescent="0.2">
      <c r="A175" s="8" t="s">
        <v>2045</v>
      </c>
    </row>
    <row r="176" spans="1:2" ht="15" customHeight="1" x14ac:dyDescent="0.2">
      <c r="A176" s="9" t="s">
        <v>2046</v>
      </c>
    </row>
    <row r="177" spans="1:1" ht="15" customHeight="1" x14ac:dyDescent="0.2">
      <c r="A177" s="9" t="s">
        <v>2047</v>
      </c>
    </row>
    <row r="178" spans="1:1" ht="15" customHeight="1" x14ac:dyDescent="0.2">
      <c r="A178" s="9" t="s">
        <v>2048</v>
      </c>
    </row>
    <row r="179" spans="1:1" ht="15" customHeight="1" x14ac:dyDescent="0.2">
      <c r="A179" s="9" t="s">
        <v>2049</v>
      </c>
    </row>
    <row r="181" spans="1:1" ht="15" customHeight="1" x14ac:dyDescent="0.2">
      <c r="A181" s="9" t="s">
        <v>88</v>
      </c>
    </row>
    <row r="183" spans="1:1" ht="15" customHeight="1" x14ac:dyDescent="0.2">
      <c r="A183" s="9" t="s">
        <v>2050</v>
      </c>
    </row>
    <row r="185" spans="1:1" ht="15" customHeight="1" x14ac:dyDescent="0.2">
      <c r="A185" s="8" t="s">
        <v>2051</v>
      </c>
    </row>
    <row r="186" spans="1:1" ht="15" customHeight="1" x14ac:dyDescent="0.2">
      <c r="A186" s="9" t="s">
        <v>2052</v>
      </c>
    </row>
    <row r="187" spans="1:1" ht="15" customHeight="1" x14ac:dyDescent="0.2">
      <c r="A187" s="9" t="s">
        <v>2053</v>
      </c>
    </row>
    <row r="188" spans="1:1" ht="15" customHeight="1" x14ac:dyDescent="0.2">
      <c r="A188" s="9" t="s">
        <v>2054</v>
      </c>
    </row>
    <row r="189" spans="1:1" ht="15" customHeight="1" x14ac:dyDescent="0.2">
      <c r="A189" s="9" t="s">
        <v>2055</v>
      </c>
    </row>
    <row r="191" spans="1:1" ht="15" customHeight="1" x14ac:dyDescent="0.2">
      <c r="A191" s="9" t="s">
        <v>88</v>
      </c>
    </row>
    <row r="193" spans="1:1" ht="15" customHeight="1" x14ac:dyDescent="0.2">
      <c r="A193" s="9" t="s">
        <v>2056</v>
      </c>
    </row>
    <row r="194" spans="1:1" ht="15" customHeight="1" x14ac:dyDescent="0.2">
      <c r="A194" s="9" t="s">
        <v>2057</v>
      </c>
    </row>
    <row r="196" spans="1:1" ht="15" customHeight="1" x14ac:dyDescent="0.2">
      <c r="A196" s="8" t="s">
        <v>2058</v>
      </c>
    </row>
    <row r="197" spans="1:1" ht="15" customHeight="1" x14ac:dyDescent="0.2">
      <c r="A197" s="9" t="s">
        <v>2052</v>
      </c>
    </row>
    <row r="198" spans="1:1" ht="15" customHeight="1" x14ac:dyDescent="0.2">
      <c r="A198" s="9" t="s">
        <v>2053</v>
      </c>
    </row>
    <row r="199" spans="1:1" ht="15" customHeight="1" x14ac:dyDescent="0.2">
      <c r="A199" s="9" t="s">
        <v>2054</v>
      </c>
    </row>
    <row r="200" spans="1:1" ht="15" customHeight="1" x14ac:dyDescent="0.2">
      <c r="A200" s="9" t="s">
        <v>2055</v>
      </c>
    </row>
    <row r="202" spans="1:1" ht="15" customHeight="1" x14ac:dyDescent="0.2">
      <c r="A202" s="9" t="s">
        <v>110</v>
      </c>
    </row>
    <row r="204" spans="1:1" ht="15" customHeight="1" x14ac:dyDescent="0.2">
      <c r="A204" s="9" t="s">
        <v>2059</v>
      </c>
    </row>
    <row r="205" spans="1:1" ht="15" customHeight="1" x14ac:dyDescent="0.2">
      <c r="A205" s="9" t="s">
        <v>2060</v>
      </c>
    </row>
    <row r="206" spans="1:1" ht="15" customHeight="1" x14ac:dyDescent="0.2">
      <c r="A206" s="9" t="s">
        <v>2061</v>
      </c>
    </row>
    <row r="208" spans="1:1" ht="15" customHeight="1" x14ac:dyDescent="0.2">
      <c r="A208" s="8" t="s">
        <v>2062</v>
      </c>
    </row>
    <row r="209" spans="1:1" ht="15" customHeight="1" x14ac:dyDescent="0.2">
      <c r="A209" s="8" t="s">
        <v>2063</v>
      </c>
    </row>
    <row r="210" spans="1:1" ht="15" customHeight="1" x14ac:dyDescent="0.2">
      <c r="A210" s="8" t="s">
        <v>2064</v>
      </c>
    </row>
    <row r="211" spans="1:1" ht="15" customHeight="1" x14ac:dyDescent="0.2">
      <c r="A211" s="9" t="s">
        <v>2065</v>
      </c>
    </row>
    <row r="212" spans="1:1" ht="15" customHeight="1" x14ac:dyDescent="0.2">
      <c r="A212" s="9" t="s">
        <v>2066</v>
      </c>
    </row>
    <row r="213" spans="1:1" ht="15" customHeight="1" x14ac:dyDescent="0.2">
      <c r="A213" s="9" t="s">
        <v>2067</v>
      </c>
    </row>
    <row r="214" spans="1:1" ht="15" customHeight="1" x14ac:dyDescent="0.2">
      <c r="A214" s="9" t="s">
        <v>2068</v>
      </c>
    </row>
    <row r="216" spans="1:1" ht="15" customHeight="1" x14ac:dyDescent="0.2">
      <c r="A216" s="9" t="s">
        <v>88</v>
      </c>
    </row>
    <row r="218" spans="1:1" ht="15" customHeight="1" x14ac:dyDescent="0.2">
      <c r="A218" s="9" t="s">
        <v>2069</v>
      </c>
    </row>
    <row r="220" spans="1:1" ht="15" customHeight="1" x14ac:dyDescent="0.2">
      <c r="A220" s="9" t="s">
        <v>2070</v>
      </c>
    </row>
    <row r="222" spans="1:1" ht="15" customHeight="1" x14ac:dyDescent="0.2">
      <c r="A222" s="9" t="s">
        <v>2071</v>
      </c>
    </row>
    <row r="224" spans="1:1" ht="15" customHeight="1" x14ac:dyDescent="0.2">
      <c r="A224" s="9" t="s">
        <v>2072</v>
      </c>
    </row>
    <row r="226" spans="1:7" ht="15" customHeight="1" x14ac:dyDescent="0.2">
      <c r="B226" s="37"/>
      <c r="C226" s="38">
        <v>6</v>
      </c>
      <c r="D226" s="38">
        <v>12</v>
      </c>
      <c r="F226" s="9">
        <v>10</v>
      </c>
    </row>
    <row r="227" spans="1:7" ht="15" customHeight="1" x14ac:dyDescent="0.2">
      <c r="A227" s="9" t="s">
        <v>2073</v>
      </c>
      <c r="B227" s="39">
        <v>1.1000000000000001</v>
      </c>
      <c r="C227" s="40">
        <v>0.2</v>
      </c>
      <c r="D227" s="41">
        <v>0.188</v>
      </c>
      <c r="F227" s="42">
        <f>C227+(F226-C226)/(D226-C226)*(D227-C227)</f>
        <v>0.192</v>
      </c>
    </row>
    <row r="228" spans="1:7" ht="15" customHeight="1" x14ac:dyDescent="0.2">
      <c r="B228" s="39">
        <v>1.2</v>
      </c>
      <c r="C228" s="43">
        <v>0.22</v>
      </c>
      <c r="D228" s="44">
        <v>0.20200000000000001</v>
      </c>
      <c r="F228" s="42">
        <f>C228+(F226-C226)/(D226-C226)*(D228-C228)</f>
        <v>0.20800000000000002</v>
      </c>
    </row>
    <row r="230" spans="1:7" ht="15" customHeight="1" x14ac:dyDescent="0.2">
      <c r="B230" s="15">
        <v>1.1200000000000001</v>
      </c>
      <c r="C230" s="45">
        <f>C227+(B230-B227)/(B228-B227)*(C228-C227)</f>
        <v>0.20400000000000001</v>
      </c>
      <c r="D230" s="45">
        <f>D227+(B230-B227)/(B228-B227)*(D228-D227)</f>
        <v>0.1908</v>
      </c>
      <c r="F230" s="45">
        <f>C230+(F226-C226)/(D226-C226)*(D230-C230)</f>
        <v>0.19520000000000001</v>
      </c>
      <c r="G230" s="45">
        <f>F227+(B230-B227)/(B228-B227)*(F228-F227)</f>
        <v>0.19520000000000001</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8">
    <tabColor rgb="FF536878"/>
    <pageSetUpPr fitToPage="1"/>
  </sheetPr>
  <dimension ref="A1:P233"/>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10" style="9" customWidth="1"/>
    <col min="2" max="16384" width="9.140625" style="9"/>
  </cols>
  <sheetData>
    <row r="1" spans="1:16" ht="15" customHeight="1" x14ac:dyDescent="0.2">
      <c r="A1" s="75" t="s">
        <v>1015</v>
      </c>
      <c r="B1" s="76"/>
      <c r="C1" s="76"/>
      <c r="D1" s="76"/>
      <c r="E1" s="76"/>
      <c r="F1" s="76"/>
      <c r="G1" s="76"/>
      <c r="H1" s="76"/>
      <c r="I1" s="76"/>
      <c r="J1" s="76"/>
      <c r="K1" s="76"/>
      <c r="L1" s="76"/>
      <c r="M1" s="76"/>
      <c r="N1" s="76"/>
      <c r="O1" s="76"/>
      <c r="P1" s="76"/>
    </row>
    <row r="3" spans="1:16" ht="15" customHeight="1" x14ac:dyDescent="0.2">
      <c r="A3" s="8" t="s">
        <v>2074</v>
      </c>
    </row>
    <row r="4" spans="1:16" ht="15" customHeight="1" x14ac:dyDescent="0.2">
      <c r="A4" s="9" t="s">
        <v>1430</v>
      </c>
    </row>
    <row r="5" spans="1:16" ht="15" customHeight="1" x14ac:dyDescent="0.2">
      <c r="A5" s="9" t="s">
        <v>2075</v>
      </c>
    </row>
    <row r="6" spans="1:16" ht="15" customHeight="1" x14ac:dyDescent="0.2">
      <c r="A6" s="9" t="s">
        <v>383</v>
      </c>
    </row>
    <row r="7" spans="1:16" ht="15" customHeight="1" x14ac:dyDescent="0.2">
      <c r="A7" s="9" t="s">
        <v>2076</v>
      </c>
    </row>
    <row r="9" spans="1:16" ht="15" customHeight="1" x14ac:dyDescent="0.2">
      <c r="A9" s="9" t="s">
        <v>98</v>
      </c>
    </row>
    <row r="11" spans="1:16" ht="15" customHeight="1" x14ac:dyDescent="0.2">
      <c r="A11" s="9" t="s">
        <v>3581</v>
      </c>
    </row>
    <row r="13" spans="1:16" ht="15" customHeight="1" x14ac:dyDescent="0.2">
      <c r="A13" s="25" t="s">
        <v>85</v>
      </c>
      <c r="B13" s="9">
        <v>5</v>
      </c>
    </row>
    <row r="15" spans="1:16" ht="15" customHeight="1" x14ac:dyDescent="0.2">
      <c r="A15" s="9" t="s">
        <v>2077</v>
      </c>
      <c r="B15" s="9">
        <f>B13+1</f>
        <v>6</v>
      </c>
    </row>
    <row r="17" spans="1:1" ht="15" customHeight="1" x14ac:dyDescent="0.2">
      <c r="A17" s="8" t="s">
        <v>2078</v>
      </c>
    </row>
    <row r="18" spans="1:1" ht="15" customHeight="1" x14ac:dyDescent="0.2">
      <c r="A18" s="9" t="s">
        <v>1946</v>
      </c>
    </row>
    <row r="19" spans="1:1" ht="15" customHeight="1" x14ac:dyDescent="0.2">
      <c r="A19" s="9" t="s">
        <v>2079</v>
      </c>
    </row>
    <row r="20" spans="1:1" ht="15" customHeight="1" x14ac:dyDescent="0.2">
      <c r="A20" s="9" t="s">
        <v>2080</v>
      </c>
    </row>
    <row r="21" spans="1:1" ht="15" customHeight="1" x14ac:dyDescent="0.2">
      <c r="A21" s="9" t="s">
        <v>2081</v>
      </c>
    </row>
    <row r="23" spans="1:1" ht="15" customHeight="1" x14ac:dyDescent="0.2">
      <c r="A23" s="9" t="s">
        <v>110</v>
      </c>
    </row>
    <row r="25" spans="1:1" ht="15" customHeight="1" x14ac:dyDescent="0.2">
      <c r="A25" s="9" t="s">
        <v>2082</v>
      </c>
    </row>
    <row r="27" spans="1:1" ht="15" customHeight="1" x14ac:dyDescent="0.25">
      <c r="A27" s="8" t="s">
        <v>3582</v>
      </c>
    </row>
    <row r="28" spans="1:1" ht="15" customHeight="1" x14ac:dyDescent="0.2">
      <c r="A28" s="9" t="s">
        <v>2083</v>
      </c>
    </row>
    <row r="29" spans="1:1" ht="15" customHeight="1" x14ac:dyDescent="0.2">
      <c r="A29" s="9" t="s">
        <v>2084</v>
      </c>
    </row>
    <row r="30" spans="1:1" ht="15" customHeight="1" x14ac:dyDescent="0.2">
      <c r="A30" s="9" t="s">
        <v>2085</v>
      </c>
    </row>
    <row r="31" spans="1:1" ht="15" customHeight="1" x14ac:dyDescent="0.2">
      <c r="A31" s="9" t="s">
        <v>2086</v>
      </c>
    </row>
    <row r="33" spans="1:1" ht="15" customHeight="1" x14ac:dyDescent="0.2">
      <c r="A33" s="9" t="s">
        <v>88</v>
      </c>
    </row>
    <row r="35" spans="1:1" ht="15" customHeight="1" x14ac:dyDescent="0.2">
      <c r="A35" s="9" t="s">
        <v>3583</v>
      </c>
    </row>
    <row r="36" spans="1:1" ht="15" customHeight="1" x14ac:dyDescent="0.2">
      <c r="A36" s="9" t="s">
        <v>3584</v>
      </c>
    </row>
    <row r="38" spans="1:1" ht="15" customHeight="1" x14ac:dyDescent="0.2">
      <c r="A38" s="8" t="s">
        <v>2087</v>
      </c>
    </row>
    <row r="39" spans="1:1" ht="15" customHeight="1" x14ac:dyDescent="0.2">
      <c r="A39" s="9" t="s">
        <v>811</v>
      </c>
    </row>
    <row r="40" spans="1:1" ht="15" customHeight="1" x14ac:dyDescent="0.2">
      <c r="A40" s="9" t="s">
        <v>2088</v>
      </c>
    </row>
    <row r="41" spans="1:1" ht="15" customHeight="1" x14ac:dyDescent="0.2">
      <c r="A41" s="9" t="s">
        <v>1432</v>
      </c>
    </row>
    <row r="42" spans="1:1" ht="15" customHeight="1" x14ac:dyDescent="0.2">
      <c r="A42" s="9" t="s">
        <v>1433</v>
      </c>
    </row>
    <row r="44" spans="1:1" ht="15" customHeight="1" x14ac:dyDescent="0.2">
      <c r="A44" s="9" t="s">
        <v>110</v>
      </c>
    </row>
    <row r="46" spans="1:1" ht="15" customHeight="1" x14ac:dyDescent="0.2">
      <c r="A46" s="9" t="s">
        <v>3585</v>
      </c>
    </row>
    <row r="48" spans="1:1" ht="15" customHeight="1" x14ac:dyDescent="0.2">
      <c r="A48" s="8" t="s">
        <v>2089</v>
      </c>
    </row>
    <row r="49" spans="1:1" ht="15" customHeight="1" x14ac:dyDescent="0.2">
      <c r="A49" s="9" t="s">
        <v>3586</v>
      </c>
    </row>
    <row r="50" spans="1:1" ht="15" customHeight="1" x14ac:dyDescent="0.2">
      <c r="A50" s="9" t="s">
        <v>3587</v>
      </c>
    </row>
    <row r="51" spans="1:1" ht="15" customHeight="1" x14ac:dyDescent="0.2">
      <c r="A51" s="9" t="s">
        <v>3588</v>
      </c>
    </row>
    <row r="52" spans="1:1" ht="15" customHeight="1" x14ac:dyDescent="0.2">
      <c r="A52" s="9" t="s">
        <v>3589</v>
      </c>
    </row>
    <row r="54" spans="1:1" ht="15" customHeight="1" x14ac:dyDescent="0.2">
      <c r="A54" s="9" t="s">
        <v>88</v>
      </c>
    </row>
    <row r="56" spans="1:1" ht="15" customHeight="1" x14ac:dyDescent="0.2">
      <c r="A56" s="9" t="s">
        <v>3590</v>
      </c>
    </row>
    <row r="58" spans="1:1" ht="15" customHeight="1" x14ac:dyDescent="0.2">
      <c r="A58" s="8" t="s">
        <v>2090</v>
      </c>
    </row>
    <row r="59" spans="1:1" ht="15" customHeight="1" x14ac:dyDescent="0.2">
      <c r="A59" s="9" t="s">
        <v>2091</v>
      </c>
    </row>
    <row r="60" spans="1:1" ht="15" customHeight="1" x14ac:dyDescent="0.2">
      <c r="A60" s="9" t="s">
        <v>2092</v>
      </c>
    </row>
    <row r="61" spans="1:1" ht="15" customHeight="1" x14ac:dyDescent="0.2">
      <c r="A61" s="9" t="s">
        <v>2093</v>
      </c>
    </row>
    <row r="62" spans="1:1" ht="15" customHeight="1" x14ac:dyDescent="0.2">
      <c r="A62" s="9" t="s">
        <v>2094</v>
      </c>
    </row>
    <row r="64" spans="1:1" ht="15" customHeight="1" x14ac:dyDescent="0.2">
      <c r="A64" s="9" t="s">
        <v>98</v>
      </c>
    </row>
    <row r="66" spans="1:1" ht="15" customHeight="1" x14ac:dyDescent="0.2">
      <c r="A66" s="9" t="s">
        <v>2095</v>
      </c>
    </row>
    <row r="68" spans="1:1" ht="15" customHeight="1" x14ac:dyDescent="0.2">
      <c r="A68" s="8" t="s">
        <v>2096</v>
      </c>
    </row>
    <row r="69" spans="1:1" ht="15" customHeight="1" x14ac:dyDescent="0.2">
      <c r="A69" s="9" t="s">
        <v>3591</v>
      </c>
    </row>
    <row r="70" spans="1:1" ht="15" customHeight="1" x14ac:dyDescent="0.2">
      <c r="A70" s="9" t="s">
        <v>3592</v>
      </c>
    </row>
    <row r="71" spans="1:1" ht="15" customHeight="1" x14ac:dyDescent="0.2">
      <c r="A71" s="9" t="s">
        <v>3593</v>
      </c>
    </row>
    <row r="72" spans="1:1" ht="15" customHeight="1" x14ac:dyDescent="0.2">
      <c r="A72" s="9" t="s">
        <v>2097</v>
      </c>
    </row>
    <row r="74" spans="1:1" ht="15" customHeight="1" x14ac:dyDescent="0.2">
      <c r="A74" s="9" t="s">
        <v>88</v>
      </c>
    </row>
    <row r="76" spans="1:1" ht="15" customHeight="1" x14ac:dyDescent="0.2">
      <c r="A76" s="9" t="s">
        <v>3594</v>
      </c>
    </row>
    <row r="78" spans="1:1" ht="15" customHeight="1" x14ac:dyDescent="0.2">
      <c r="A78" s="8" t="s">
        <v>2098</v>
      </c>
    </row>
    <row r="79" spans="1:1" ht="15" customHeight="1" x14ac:dyDescent="0.2">
      <c r="A79" s="9" t="s">
        <v>3591</v>
      </c>
    </row>
    <row r="80" spans="1:1" ht="15" customHeight="1" x14ac:dyDescent="0.2">
      <c r="A80" s="9" t="s">
        <v>3592</v>
      </c>
    </row>
    <row r="81" spans="1:1" ht="15" customHeight="1" x14ac:dyDescent="0.2">
      <c r="A81" s="9" t="s">
        <v>3593</v>
      </c>
    </row>
    <row r="82" spans="1:1" ht="15" customHeight="1" x14ac:dyDescent="0.2">
      <c r="A82" s="9" t="s">
        <v>2097</v>
      </c>
    </row>
    <row r="84" spans="1:1" ht="15" customHeight="1" x14ac:dyDescent="0.2">
      <c r="A84" s="9" t="s">
        <v>110</v>
      </c>
    </row>
    <row r="86" spans="1:1" ht="15" customHeight="1" x14ac:dyDescent="0.2">
      <c r="A86" s="9" t="s">
        <v>2099</v>
      </c>
    </row>
    <row r="88" spans="1:1" ht="15" customHeight="1" x14ac:dyDescent="0.2">
      <c r="A88" s="8" t="s">
        <v>2100</v>
      </c>
    </row>
    <row r="89" spans="1:1" ht="15" customHeight="1" x14ac:dyDescent="0.2">
      <c r="A89" s="8" t="s">
        <v>191</v>
      </c>
    </row>
    <row r="90" spans="1:1" ht="15" customHeight="1" x14ac:dyDescent="0.2">
      <c r="A90" s="9" t="s">
        <v>2101</v>
      </c>
    </row>
    <row r="91" spans="1:1" ht="15" customHeight="1" x14ac:dyDescent="0.2">
      <c r="A91" s="9" t="s">
        <v>2102</v>
      </c>
    </row>
    <row r="92" spans="1:1" ht="15" customHeight="1" x14ac:dyDescent="0.2">
      <c r="A92" s="9" t="s">
        <v>2103</v>
      </c>
    </row>
    <row r="93" spans="1:1" ht="15" customHeight="1" x14ac:dyDescent="0.2">
      <c r="A93" s="9" t="s">
        <v>2104</v>
      </c>
    </row>
    <row r="95" spans="1:1" ht="15" customHeight="1" x14ac:dyDescent="0.2">
      <c r="A95" s="9" t="s">
        <v>80</v>
      </c>
    </row>
    <row r="97" spans="1:2" ht="15" customHeight="1" x14ac:dyDescent="0.2">
      <c r="A97" s="9" t="s">
        <v>2105</v>
      </c>
    </row>
    <row r="98" spans="1:2" ht="15" customHeight="1" x14ac:dyDescent="0.2">
      <c r="A98" s="8"/>
    </row>
    <row r="99" spans="1:2" ht="15" customHeight="1" x14ac:dyDescent="0.25">
      <c r="A99" s="25" t="s">
        <v>3595</v>
      </c>
      <c r="B99" s="9">
        <v>3.12</v>
      </c>
    </row>
    <row r="100" spans="1:2" ht="15" customHeight="1" x14ac:dyDescent="0.25">
      <c r="A100" s="25" t="s">
        <v>3596</v>
      </c>
      <c r="B100" s="9">
        <v>3.04</v>
      </c>
    </row>
    <row r="101" spans="1:2" ht="15" customHeight="1" x14ac:dyDescent="0.25">
      <c r="A101" s="25" t="s">
        <v>3597</v>
      </c>
      <c r="B101" s="9">
        <v>2.98</v>
      </c>
    </row>
    <row r="103" spans="1:2" ht="15" customHeight="1" x14ac:dyDescent="0.25">
      <c r="A103" s="25" t="s">
        <v>3598</v>
      </c>
      <c r="B103" s="9">
        <f>B99+B101-B100</f>
        <v>3.0599999999999996</v>
      </c>
    </row>
    <row r="104" spans="1:2" ht="15" customHeight="1" x14ac:dyDescent="0.2">
      <c r="A104" s="25"/>
    </row>
    <row r="105" spans="1:2" ht="15" customHeight="1" x14ac:dyDescent="0.2">
      <c r="A105" s="8" t="s">
        <v>2106</v>
      </c>
    </row>
    <row r="106" spans="1:2" ht="15" customHeight="1" x14ac:dyDescent="0.2">
      <c r="A106" s="9" t="s">
        <v>3599</v>
      </c>
    </row>
    <row r="107" spans="1:2" ht="15" customHeight="1" x14ac:dyDescent="0.2">
      <c r="A107" s="9" t="s">
        <v>3600</v>
      </c>
    </row>
    <row r="108" spans="1:2" ht="15" customHeight="1" x14ac:dyDescent="0.2">
      <c r="A108" s="9" t="s">
        <v>2107</v>
      </c>
    </row>
    <row r="109" spans="1:2" ht="15" customHeight="1" x14ac:dyDescent="0.2">
      <c r="A109" s="9" t="s">
        <v>5</v>
      </c>
    </row>
    <row r="111" spans="1:2" ht="15" customHeight="1" x14ac:dyDescent="0.2">
      <c r="A111" s="9" t="s">
        <v>98</v>
      </c>
    </row>
    <row r="113" spans="1:1" ht="15" customHeight="1" x14ac:dyDescent="0.2">
      <c r="A113" s="9" t="s">
        <v>3601</v>
      </c>
    </row>
    <row r="114" spans="1:1" ht="15" customHeight="1" x14ac:dyDescent="0.2">
      <c r="A114" s="25"/>
    </row>
    <row r="115" spans="1:1" ht="15" customHeight="1" x14ac:dyDescent="0.2">
      <c r="A115" s="8" t="s">
        <v>2108</v>
      </c>
    </row>
    <row r="116" spans="1:1" ht="15" customHeight="1" x14ac:dyDescent="0.2">
      <c r="A116" s="9" t="s">
        <v>2109</v>
      </c>
    </row>
    <row r="117" spans="1:1" ht="15" customHeight="1" x14ac:dyDescent="0.2">
      <c r="A117" s="9" t="s">
        <v>2110</v>
      </c>
    </row>
    <row r="118" spans="1:1" ht="15" customHeight="1" x14ac:dyDescent="0.2">
      <c r="A118" s="9" t="s">
        <v>2111</v>
      </c>
    </row>
    <row r="119" spans="1:1" ht="15" customHeight="1" x14ac:dyDescent="0.2">
      <c r="A119" s="9" t="s">
        <v>2112</v>
      </c>
    </row>
    <row r="121" spans="1:1" ht="15" customHeight="1" x14ac:dyDescent="0.2">
      <c r="A121" s="9" t="s">
        <v>88</v>
      </c>
    </row>
    <row r="123" spans="1:1" ht="15" customHeight="1" x14ac:dyDescent="0.2">
      <c r="A123" s="9" t="s">
        <v>2113</v>
      </c>
    </row>
    <row r="124" spans="1:1" ht="15" customHeight="1" x14ac:dyDescent="0.2">
      <c r="A124" s="9" t="s">
        <v>2114</v>
      </c>
    </row>
    <row r="126" spans="1:1" ht="15" customHeight="1" x14ac:dyDescent="0.2">
      <c r="A126" s="8" t="s">
        <v>2115</v>
      </c>
    </row>
    <row r="127" spans="1:1" ht="15" customHeight="1" x14ac:dyDescent="0.2">
      <c r="A127" s="9" t="s">
        <v>2116</v>
      </c>
    </row>
    <row r="128" spans="1:1" ht="15" customHeight="1" x14ac:dyDescent="0.2">
      <c r="A128" s="9" t="s">
        <v>2117</v>
      </c>
    </row>
    <row r="129" spans="1:1" ht="15" customHeight="1" x14ac:dyDescent="0.2">
      <c r="A129" s="9" t="s">
        <v>2118</v>
      </c>
    </row>
    <row r="130" spans="1:1" ht="15" customHeight="1" x14ac:dyDescent="0.2">
      <c r="A130" s="9" t="s">
        <v>5</v>
      </c>
    </row>
    <row r="132" spans="1:1" ht="15" customHeight="1" x14ac:dyDescent="0.2">
      <c r="A132" s="9" t="s">
        <v>88</v>
      </c>
    </row>
    <row r="134" spans="1:1" ht="15" customHeight="1" x14ac:dyDescent="0.2">
      <c r="A134" s="9" t="s">
        <v>3602</v>
      </c>
    </row>
    <row r="136" spans="1:1" ht="15" customHeight="1" x14ac:dyDescent="0.2">
      <c r="A136" s="8" t="s">
        <v>2119</v>
      </c>
    </row>
    <row r="137" spans="1:1" ht="15" customHeight="1" x14ac:dyDescent="0.2">
      <c r="A137" s="9" t="s">
        <v>2120</v>
      </c>
    </row>
    <row r="138" spans="1:1" ht="15" customHeight="1" x14ac:dyDescent="0.2">
      <c r="A138" s="9" t="s">
        <v>2121</v>
      </c>
    </row>
    <row r="139" spans="1:1" ht="15" customHeight="1" x14ac:dyDescent="0.2">
      <c r="A139" s="9" t="s">
        <v>2122</v>
      </c>
    </row>
    <row r="140" spans="1:1" ht="15" customHeight="1" x14ac:dyDescent="0.2">
      <c r="A140" s="9" t="s">
        <v>2123</v>
      </c>
    </row>
    <row r="142" spans="1:1" ht="15" customHeight="1" x14ac:dyDescent="0.2">
      <c r="A142" s="9" t="s">
        <v>88</v>
      </c>
    </row>
    <row r="144" spans="1:1" ht="15" customHeight="1" x14ac:dyDescent="0.2">
      <c r="A144" s="9" t="s">
        <v>2124</v>
      </c>
    </row>
    <row r="146" spans="1:2" ht="15" customHeight="1" x14ac:dyDescent="0.2">
      <c r="A146" s="8" t="s">
        <v>2125</v>
      </c>
    </row>
    <row r="147" spans="1:2" ht="15" customHeight="1" x14ac:dyDescent="0.2">
      <c r="A147" s="9" t="s">
        <v>2126</v>
      </c>
    </row>
    <row r="148" spans="1:2" ht="15" customHeight="1" x14ac:dyDescent="0.2">
      <c r="A148" s="9" t="s">
        <v>2127</v>
      </c>
    </row>
    <row r="149" spans="1:2" ht="15" customHeight="1" x14ac:dyDescent="0.2">
      <c r="A149" s="9" t="s">
        <v>2128</v>
      </c>
    </row>
    <row r="150" spans="1:2" ht="15" customHeight="1" x14ac:dyDescent="0.2">
      <c r="A150" s="9" t="s">
        <v>2129</v>
      </c>
    </row>
    <row r="152" spans="1:2" ht="15" customHeight="1" x14ac:dyDescent="0.2">
      <c r="A152" s="9" t="s">
        <v>98</v>
      </c>
    </row>
    <row r="154" spans="1:2" ht="15" customHeight="1" x14ac:dyDescent="0.2">
      <c r="A154" s="9" t="s">
        <v>3603</v>
      </c>
    </row>
    <row r="155" spans="1:2" ht="15" customHeight="1" x14ac:dyDescent="0.2">
      <c r="A155" s="9" t="s">
        <v>3604</v>
      </c>
    </row>
    <row r="157" spans="1:2" ht="15" customHeight="1" x14ac:dyDescent="0.2">
      <c r="A157" s="25" t="s">
        <v>2131</v>
      </c>
      <c r="B157" s="23">
        <v>10000</v>
      </c>
    </row>
    <row r="158" spans="1:2" ht="15" customHeight="1" x14ac:dyDescent="0.2">
      <c r="A158" s="25" t="s">
        <v>1472</v>
      </c>
      <c r="B158" s="12">
        <v>20</v>
      </c>
    </row>
    <row r="159" spans="1:2" ht="15" customHeight="1" x14ac:dyDescent="0.2">
      <c r="A159" s="25" t="s">
        <v>2130</v>
      </c>
      <c r="B159" s="13">
        <v>4.5</v>
      </c>
    </row>
    <row r="161" spans="1:5" ht="15" customHeight="1" x14ac:dyDescent="0.2">
      <c r="A161" s="25" t="s">
        <v>3605</v>
      </c>
      <c r="B161" s="32">
        <f>B159/SQRT(B157)</f>
        <v>4.4999999999999998E-2</v>
      </c>
    </row>
    <row r="163" spans="1:5" s="8" customFormat="1" ht="15" customHeight="1" x14ac:dyDescent="0.2">
      <c r="A163" s="8" t="s">
        <v>2132</v>
      </c>
    </row>
    <row r="164" spans="1:5" ht="15" customHeight="1" x14ac:dyDescent="0.2">
      <c r="A164" s="9" t="s">
        <v>3315</v>
      </c>
    </row>
    <row r="165" spans="1:5" ht="15" customHeight="1" x14ac:dyDescent="0.2">
      <c r="A165" s="9" t="s">
        <v>3316</v>
      </c>
    </row>
    <row r="166" spans="1:5" ht="15" customHeight="1" x14ac:dyDescent="0.2">
      <c r="A166" s="9" t="s">
        <v>3317</v>
      </c>
    </row>
    <row r="167" spans="1:5" ht="15" customHeight="1" x14ac:dyDescent="0.2">
      <c r="A167" s="9" t="s">
        <v>3318</v>
      </c>
    </row>
    <row r="169" spans="1:5" ht="15" customHeight="1" x14ac:dyDescent="0.2">
      <c r="A169" s="9" t="s">
        <v>98</v>
      </c>
    </row>
    <row r="171" spans="1:5" ht="15" customHeight="1" x14ac:dyDescent="0.2">
      <c r="A171" s="9" t="s">
        <v>2133</v>
      </c>
    </row>
    <row r="172" spans="1:5" ht="15" customHeight="1" x14ac:dyDescent="0.2">
      <c r="A172" s="9" t="s">
        <v>3319</v>
      </c>
    </row>
    <row r="174" spans="1:5" ht="15" customHeight="1" x14ac:dyDescent="0.25">
      <c r="A174" s="25" t="s">
        <v>3606</v>
      </c>
      <c r="B174" s="12">
        <v>125</v>
      </c>
      <c r="D174" s="25" t="s">
        <v>3607</v>
      </c>
      <c r="E174" s="12">
        <v>20</v>
      </c>
    </row>
    <row r="175" spans="1:5" ht="15" customHeight="1" x14ac:dyDescent="0.25">
      <c r="A175" s="25" t="s">
        <v>3451</v>
      </c>
      <c r="B175" s="12">
        <v>100</v>
      </c>
      <c r="D175" s="25" t="s">
        <v>86</v>
      </c>
      <c r="E175" s="12">
        <v>5</v>
      </c>
    </row>
    <row r="176" spans="1:5" ht="15" customHeight="1" x14ac:dyDescent="0.25">
      <c r="A176" s="25" t="s">
        <v>3608</v>
      </c>
      <c r="B176" s="12">
        <v>80</v>
      </c>
      <c r="D176" s="25" t="s">
        <v>3609</v>
      </c>
      <c r="E176" s="12">
        <v>0</v>
      </c>
    </row>
    <row r="178" spans="1:5" ht="15" customHeight="1" x14ac:dyDescent="0.25">
      <c r="A178" s="25" t="s">
        <v>3610</v>
      </c>
      <c r="B178" s="19">
        <f>(E174-E175)/(B174-B175)</f>
        <v>0.6</v>
      </c>
      <c r="D178" s="25" t="s">
        <v>3611</v>
      </c>
      <c r="E178" s="13">
        <f>(B174+B175)/2</f>
        <v>112.5</v>
      </c>
    </row>
    <row r="179" spans="1:5" ht="15" customHeight="1" x14ac:dyDescent="0.25">
      <c r="A179" s="25" t="s">
        <v>3612</v>
      </c>
      <c r="B179" s="19">
        <f>(E175-E176)/(B175-B176)</f>
        <v>0.25</v>
      </c>
      <c r="D179" s="25" t="s">
        <v>3613</v>
      </c>
      <c r="E179" s="13">
        <f>(B175+B176)/2</f>
        <v>90</v>
      </c>
    </row>
    <row r="180" spans="1:5" ht="15" customHeight="1" x14ac:dyDescent="0.2">
      <c r="A180" s="9" t="s">
        <v>1934</v>
      </c>
      <c r="B180" s="16">
        <f>(B178-B179)/(E178-E179)</f>
        <v>1.5555555555555555E-2</v>
      </c>
    </row>
    <row r="182" spans="1:5" ht="15" customHeight="1" x14ac:dyDescent="0.2">
      <c r="A182" s="8" t="s">
        <v>2134</v>
      </c>
    </row>
    <row r="183" spans="1:5" ht="15" customHeight="1" x14ac:dyDescent="0.2">
      <c r="A183" s="9" t="s">
        <v>3614</v>
      </c>
    </row>
    <row r="184" spans="1:5" ht="15" customHeight="1" x14ac:dyDescent="0.2">
      <c r="A184" s="9" t="s">
        <v>3615</v>
      </c>
    </row>
    <row r="185" spans="1:5" ht="15" customHeight="1" x14ac:dyDescent="0.2">
      <c r="A185" s="9" t="s">
        <v>2135</v>
      </c>
    </row>
    <row r="186" spans="1:5" ht="15" customHeight="1" x14ac:dyDescent="0.2">
      <c r="A186" s="9" t="s">
        <v>2136</v>
      </c>
    </row>
    <row r="188" spans="1:5" ht="15" customHeight="1" x14ac:dyDescent="0.2">
      <c r="A188" s="9" t="s">
        <v>110</v>
      </c>
    </row>
    <row r="190" spans="1:5" ht="15" customHeight="1" x14ac:dyDescent="0.2">
      <c r="A190" s="9" t="s">
        <v>2137</v>
      </c>
    </row>
    <row r="191" spans="1:5" ht="15" customHeight="1" x14ac:dyDescent="0.2">
      <c r="A191" s="9" t="s">
        <v>2138</v>
      </c>
    </row>
    <row r="193" spans="1:1" ht="15" customHeight="1" x14ac:dyDescent="0.2">
      <c r="A193" s="8" t="s">
        <v>2139</v>
      </c>
    </row>
    <row r="194" spans="1:1" ht="15" customHeight="1" x14ac:dyDescent="0.2">
      <c r="A194" s="8" t="s">
        <v>2140</v>
      </c>
    </row>
    <row r="195" spans="1:1" ht="15" customHeight="1" x14ac:dyDescent="0.2">
      <c r="A195" s="8" t="s">
        <v>2141</v>
      </c>
    </row>
    <row r="196" spans="1:1" ht="15" customHeight="1" x14ac:dyDescent="0.2">
      <c r="A196" s="9" t="s">
        <v>2142</v>
      </c>
    </row>
    <row r="197" spans="1:1" ht="15" customHeight="1" x14ac:dyDescent="0.2">
      <c r="A197" s="9" t="s">
        <v>2143</v>
      </c>
    </row>
    <row r="198" spans="1:1" ht="15" customHeight="1" x14ac:dyDescent="0.2">
      <c r="A198" s="9" t="s">
        <v>2144</v>
      </c>
    </row>
    <row r="199" spans="1:1" ht="15" customHeight="1" x14ac:dyDescent="0.2">
      <c r="A199" s="9" t="s">
        <v>2145</v>
      </c>
    </row>
    <row r="201" spans="1:1" ht="15" customHeight="1" x14ac:dyDescent="0.2">
      <c r="A201" s="9" t="s">
        <v>110</v>
      </c>
    </row>
    <row r="203" spans="1:1" ht="15" customHeight="1" x14ac:dyDescent="0.2">
      <c r="A203" s="9" t="s">
        <v>2146</v>
      </c>
    </row>
    <row r="205" spans="1:1" ht="15" customHeight="1" x14ac:dyDescent="0.2">
      <c r="A205" s="8" t="s">
        <v>2147</v>
      </c>
    </row>
    <row r="206" spans="1:1" ht="15" customHeight="1" x14ac:dyDescent="0.2">
      <c r="A206" s="9" t="s">
        <v>2148</v>
      </c>
    </row>
    <row r="207" spans="1:1" ht="15" customHeight="1" x14ac:dyDescent="0.2">
      <c r="A207" s="9" t="s">
        <v>2149</v>
      </c>
    </row>
    <row r="208" spans="1:1" ht="15" customHeight="1" x14ac:dyDescent="0.2">
      <c r="A208" s="9" t="s">
        <v>2150</v>
      </c>
    </row>
    <row r="209" spans="1:1" ht="15" customHeight="1" x14ac:dyDescent="0.2">
      <c r="A209" s="9" t="s">
        <v>2151</v>
      </c>
    </row>
    <row r="211" spans="1:1" ht="15" customHeight="1" x14ac:dyDescent="0.2">
      <c r="A211" s="9" t="s">
        <v>80</v>
      </c>
    </row>
    <row r="213" spans="1:1" ht="15" customHeight="1" x14ac:dyDescent="0.2">
      <c r="A213" s="9" t="s">
        <v>2152</v>
      </c>
    </row>
    <row r="215" spans="1:1" ht="15" customHeight="1" x14ac:dyDescent="0.2">
      <c r="A215" s="8" t="s">
        <v>2153</v>
      </c>
    </row>
    <row r="216" spans="1:1" ht="15" customHeight="1" x14ac:dyDescent="0.2">
      <c r="A216" s="9" t="s">
        <v>2154</v>
      </c>
    </row>
    <row r="217" spans="1:1" ht="15" customHeight="1" x14ac:dyDescent="0.2">
      <c r="A217" s="9" t="s">
        <v>2155</v>
      </c>
    </row>
    <row r="218" spans="1:1" ht="15" customHeight="1" x14ac:dyDescent="0.2">
      <c r="A218" s="9" t="s">
        <v>2156</v>
      </c>
    </row>
    <row r="219" spans="1:1" ht="15" customHeight="1" x14ac:dyDescent="0.2">
      <c r="A219" s="9" t="s">
        <v>354</v>
      </c>
    </row>
    <row r="221" spans="1:1" ht="15" customHeight="1" x14ac:dyDescent="0.2">
      <c r="A221" s="9" t="s">
        <v>110</v>
      </c>
    </row>
    <row r="223" spans="1:1" ht="15" customHeight="1" x14ac:dyDescent="0.2">
      <c r="A223" s="9" t="s">
        <v>2157</v>
      </c>
    </row>
    <row r="225" spans="1:1" ht="15" customHeight="1" x14ac:dyDescent="0.2">
      <c r="A225" s="8" t="s">
        <v>2158</v>
      </c>
    </row>
    <row r="226" spans="1:1" ht="15" customHeight="1" x14ac:dyDescent="0.2">
      <c r="A226" s="9" t="s">
        <v>2159</v>
      </c>
    </row>
    <row r="227" spans="1:1" ht="15" customHeight="1" x14ac:dyDescent="0.2">
      <c r="A227" s="9" t="s">
        <v>2160</v>
      </c>
    </row>
    <row r="228" spans="1:1" ht="15" customHeight="1" x14ac:dyDescent="0.2">
      <c r="A228" s="9" t="s">
        <v>2161</v>
      </c>
    </row>
    <row r="229" spans="1:1" ht="15" customHeight="1" x14ac:dyDescent="0.2">
      <c r="A229" s="9" t="s">
        <v>2162</v>
      </c>
    </row>
    <row r="231" spans="1:1" ht="15" customHeight="1" x14ac:dyDescent="0.2">
      <c r="A231" s="9" t="s">
        <v>88</v>
      </c>
    </row>
    <row r="233" spans="1:1" ht="15" customHeight="1" x14ac:dyDescent="0.2">
      <c r="A233" s="9" t="s">
        <v>2163</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0">
    <tabColor rgb="FF536878"/>
    <pageSetUpPr fitToPage="1"/>
  </sheetPr>
  <dimension ref="A1:P238"/>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10" style="9" customWidth="1"/>
    <col min="3" max="16384" width="9.140625" style="9"/>
  </cols>
  <sheetData>
    <row r="1" spans="1:16" ht="15" customHeight="1" x14ac:dyDescent="0.2">
      <c r="A1" s="75" t="s">
        <v>3257</v>
      </c>
      <c r="B1" s="76"/>
      <c r="C1" s="76"/>
      <c r="D1" s="76"/>
      <c r="E1" s="76"/>
      <c r="F1" s="76"/>
      <c r="G1" s="76"/>
      <c r="H1" s="76"/>
      <c r="I1" s="76"/>
      <c r="J1" s="76"/>
      <c r="K1" s="76"/>
      <c r="L1" s="76"/>
      <c r="M1" s="76"/>
      <c r="N1" s="76"/>
      <c r="O1" s="76"/>
      <c r="P1" s="76"/>
    </row>
    <row r="2" spans="1:16" ht="15" customHeight="1" x14ac:dyDescent="0.2">
      <c r="A2" s="8"/>
    </row>
    <row r="3" spans="1:16" ht="15" customHeight="1" x14ac:dyDescent="0.2">
      <c r="A3" s="8" t="s">
        <v>2164</v>
      </c>
    </row>
    <row r="4" spans="1:16" ht="15" customHeight="1" x14ac:dyDescent="0.2">
      <c r="A4" s="9" t="s">
        <v>2165</v>
      </c>
    </row>
    <row r="5" spans="1:16" ht="15" customHeight="1" x14ac:dyDescent="0.2">
      <c r="A5" s="9" t="s">
        <v>2166</v>
      </c>
    </row>
    <row r="6" spans="1:16" ht="15" customHeight="1" x14ac:dyDescent="0.2">
      <c r="A6" s="9" t="s">
        <v>2167</v>
      </c>
    </row>
    <row r="7" spans="1:16" ht="15" customHeight="1" x14ac:dyDescent="0.2">
      <c r="A7" s="9" t="s">
        <v>404</v>
      </c>
    </row>
    <row r="9" spans="1:16" ht="15" customHeight="1" x14ac:dyDescent="0.2">
      <c r="A9" s="8" t="s">
        <v>98</v>
      </c>
    </row>
    <row r="10" spans="1:16" ht="15" customHeight="1" x14ac:dyDescent="0.2">
      <c r="A10" s="8"/>
    </row>
    <row r="11" spans="1:16" ht="15" customHeight="1" x14ac:dyDescent="0.2">
      <c r="A11" s="9" t="s">
        <v>2168</v>
      </c>
    </row>
    <row r="13" spans="1:16" ht="15" customHeight="1" x14ac:dyDescent="0.2">
      <c r="A13" s="8" t="s">
        <v>2169</v>
      </c>
    </row>
    <row r="14" spans="1:16" ht="15" customHeight="1" x14ac:dyDescent="0.2">
      <c r="A14" s="9" t="s">
        <v>2170</v>
      </c>
    </row>
    <row r="15" spans="1:16" ht="15" customHeight="1" x14ac:dyDescent="0.2">
      <c r="A15" s="9" t="s">
        <v>2171</v>
      </c>
    </row>
    <row r="16" spans="1:16" ht="15" customHeight="1" x14ac:dyDescent="0.2">
      <c r="A16" s="9" t="s">
        <v>2172</v>
      </c>
    </row>
    <row r="17" spans="1:2" ht="15" customHeight="1" x14ac:dyDescent="0.2">
      <c r="A17" s="9" t="s">
        <v>2173</v>
      </c>
    </row>
    <row r="19" spans="1:2" ht="15" customHeight="1" x14ac:dyDescent="0.2">
      <c r="A19" s="9" t="s">
        <v>88</v>
      </c>
    </row>
    <row r="21" spans="1:2" ht="15" customHeight="1" x14ac:dyDescent="0.2">
      <c r="A21" s="9" t="s">
        <v>2174</v>
      </c>
    </row>
    <row r="22" spans="1:2" ht="15" customHeight="1" x14ac:dyDescent="0.2">
      <c r="A22" s="9" t="s">
        <v>2175</v>
      </c>
    </row>
    <row r="24" spans="1:2" ht="15" customHeight="1" x14ac:dyDescent="0.2">
      <c r="A24" s="25" t="s">
        <v>58</v>
      </c>
      <c r="B24" s="15">
        <v>-0.15</v>
      </c>
    </row>
    <row r="25" spans="1:2" ht="15" customHeight="1" x14ac:dyDescent="0.2">
      <c r="A25" s="25" t="s">
        <v>57</v>
      </c>
      <c r="B25" s="15">
        <v>0.85</v>
      </c>
    </row>
    <row r="26" spans="1:2" ht="15" customHeight="1" x14ac:dyDescent="0.2">
      <c r="A26" s="25" t="s">
        <v>127</v>
      </c>
      <c r="B26" s="21">
        <v>0.99</v>
      </c>
    </row>
    <row r="28" spans="1:2" ht="15" customHeight="1" x14ac:dyDescent="0.2">
      <c r="A28" s="9" t="s">
        <v>2176</v>
      </c>
      <c r="B28" s="15">
        <f>-(B25-B26*(B25-B24))</f>
        <v>0.14000000000000001</v>
      </c>
    </row>
    <row r="30" spans="1:2" ht="15" customHeight="1" x14ac:dyDescent="0.2">
      <c r="A30" s="8" t="s">
        <v>2177</v>
      </c>
    </row>
    <row r="31" spans="1:2" ht="15" customHeight="1" x14ac:dyDescent="0.2">
      <c r="A31" s="9" t="s">
        <v>2170</v>
      </c>
    </row>
    <row r="32" spans="1:2" ht="15" customHeight="1" x14ac:dyDescent="0.2">
      <c r="A32" s="9" t="s">
        <v>2171</v>
      </c>
    </row>
    <row r="33" spans="1:2" ht="15" customHeight="1" x14ac:dyDescent="0.2">
      <c r="A33" s="9" t="s">
        <v>2172</v>
      </c>
    </row>
    <row r="34" spans="1:2" ht="15" customHeight="1" x14ac:dyDescent="0.2">
      <c r="A34" s="9" t="s">
        <v>2173</v>
      </c>
    </row>
    <row r="36" spans="1:2" ht="15" customHeight="1" x14ac:dyDescent="0.2">
      <c r="A36" s="9" t="s">
        <v>80</v>
      </c>
    </row>
    <row r="38" spans="1:2" ht="15" customHeight="1" x14ac:dyDescent="0.2">
      <c r="A38" s="9" t="s">
        <v>3412</v>
      </c>
    </row>
    <row r="39" spans="1:2" ht="15" customHeight="1" x14ac:dyDescent="0.2">
      <c r="A39" s="9" t="s">
        <v>3413</v>
      </c>
    </row>
    <row r="41" spans="1:2" ht="15" customHeight="1" x14ac:dyDescent="0.2">
      <c r="A41" s="25" t="s">
        <v>58</v>
      </c>
      <c r="B41" s="15">
        <v>-0.15</v>
      </c>
    </row>
    <row r="42" spans="1:2" ht="15" customHeight="1" x14ac:dyDescent="0.2">
      <c r="A42" s="25" t="s">
        <v>57</v>
      </c>
      <c r="B42" s="15">
        <v>0.85</v>
      </c>
    </row>
    <row r="43" spans="1:2" ht="15" customHeight="1" x14ac:dyDescent="0.2">
      <c r="A43" s="25" t="s">
        <v>127</v>
      </c>
      <c r="B43" s="21">
        <v>0.99</v>
      </c>
    </row>
    <row r="45" spans="1:2" ht="15" customHeight="1" x14ac:dyDescent="0.2">
      <c r="A45" s="9" t="s">
        <v>2176</v>
      </c>
      <c r="B45" s="15">
        <f>-(B42-B43*(B42-B41))</f>
        <v>0.14000000000000001</v>
      </c>
    </row>
    <row r="46" spans="1:2" ht="15" customHeight="1" x14ac:dyDescent="0.2">
      <c r="A46" s="9" t="s">
        <v>2178</v>
      </c>
      <c r="B46" s="32">
        <f>AVERAGE(B45,-B41)</f>
        <v>0.14500000000000002</v>
      </c>
    </row>
    <row r="47" spans="1:2" ht="15" customHeight="1" x14ac:dyDescent="0.2">
      <c r="B47" s="32"/>
    </row>
    <row r="48" spans="1:2" ht="15" customHeight="1" x14ac:dyDescent="0.2">
      <c r="A48" s="8" t="s">
        <v>2179</v>
      </c>
      <c r="B48" s="32"/>
    </row>
    <row r="49" spans="1:2" ht="15" customHeight="1" x14ac:dyDescent="0.2">
      <c r="A49" s="9" t="s">
        <v>2180</v>
      </c>
      <c r="B49" s="32"/>
    </row>
    <row r="50" spans="1:2" ht="15" customHeight="1" x14ac:dyDescent="0.2">
      <c r="A50" s="9" t="s">
        <v>2181</v>
      </c>
      <c r="B50" s="32"/>
    </row>
    <row r="51" spans="1:2" ht="15" customHeight="1" x14ac:dyDescent="0.2">
      <c r="A51" s="9" t="s">
        <v>2182</v>
      </c>
      <c r="B51" s="32"/>
    </row>
    <row r="52" spans="1:2" ht="15" customHeight="1" x14ac:dyDescent="0.2">
      <c r="A52" s="9" t="s">
        <v>2183</v>
      </c>
      <c r="B52" s="32"/>
    </row>
    <row r="53" spans="1:2" ht="15" customHeight="1" x14ac:dyDescent="0.2">
      <c r="B53" s="32"/>
    </row>
    <row r="54" spans="1:2" ht="15" customHeight="1" x14ac:dyDescent="0.2">
      <c r="A54" s="9" t="s">
        <v>98</v>
      </c>
      <c r="B54" s="32"/>
    </row>
    <row r="55" spans="1:2" ht="15" customHeight="1" x14ac:dyDescent="0.2">
      <c r="B55" s="32"/>
    </row>
    <row r="56" spans="1:2" ht="15" customHeight="1" x14ac:dyDescent="0.2">
      <c r="A56" s="9" t="s">
        <v>2184</v>
      </c>
      <c r="B56" s="32"/>
    </row>
    <row r="57" spans="1:2" ht="15" customHeight="1" x14ac:dyDescent="0.2">
      <c r="B57" s="32"/>
    </row>
    <row r="58" spans="1:2" ht="15" customHeight="1" x14ac:dyDescent="0.2">
      <c r="A58" s="8" t="s">
        <v>2185</v>
      </c>
      <c r="B58" s="32"/>
    </row>
    <row r="59" spans="1:2" ht="15" customHeight="1" x14ac:dyDescent="0.2">
      <c r="A59" s="9" t="s">
        <v>2186</v>
      </c>
      <c r="B59" s="32"/>
    </row>
    <row r="60" spans="1:2" ht="15" customHeight="1" x14ac:dyDescent="0.2">
      <c r="A60" s="9" t="s">
        <v>2187</v>
      </c>
      <c r="B60" s="32"/>
    </row>
    <row r="61" spans="1:2" ht="15" customHeight="1" x14ac:dyDescent="0.2">
      <c r="A61" s="9" t="s">
        <v>2188</v>
      </c>
      <c r="B61" s="32"/>
    </row>
    <row r="62" spans="1:2" ht="15" customHeight="1" x14ac:dyDescent="0.2">
      <c r="A62" s="9" t="s">
        <v>2189</v>
      </c>
      <c r="B62" s="32"/>
    </row>
    <row r="63" spans="1:2" ht="15" customHeight="1" x14ac:dyDescent="0.2">
      <c r="B63" s="32"/>
    </row>
    <row r="64" spans="1:2" ht="15" customHeight="1" x14ac:dyDescent="0.2">
      <c r="A64" s="9" t="s">
        <v>88</v>
      </c>
      <c r="B64" s="32"/>
    </row>
    <row r="65" spans="1:2" ht="15" customHeight="1" x14ac:dyDescent="0.2">
      <c r="B65" s="32"/>
    </row>
    <row r="66" spans="1:2" ht="15" customHeight="1" x14ac:dyDescent="0.2">
      <c r="A66" s="9" t="s">
        <v>2190</v>
      </c>
      <c r="B66" s="32"/>
    </row>
    <row r="67" spans="1:2" ht="15" customHeight="1" x14ac:dyDescent="0.2">
      <c r="B67" s="32"/>
    </row>
    <row r="68" spans="1:2" ht="15" customHeight="1" x14ac:dyDescent="0.2">
      <c r="A68" s="8" t="s">
        <v>2191</v>
      </c>
      <c r="B68" s="32"/>
    </row>
    <row r="69" spans="1:2" ht="15" customHeight="1" x14ac:dyDescent="0.2">
      <c r="A69" s="9" t="s">
        <v>2192</v>
      </c>
      <c r="B69" s="32"/>
    </row>
    <row r="70" spans="1:2" ht="15" customHeight="1" x14ac:dyDescent="0.2">
      <c r="A70" s="9" t="s">
        <v>2193</v>
      </c>
      <c r="B70" s="32"/>
    </row>
    <row r="71" spans="1:2" ht="15" customHeight="1" x14ac:dyDescent="0.2">
      <c r="A71" s="9" t="s">
        <v>2194</v>
      </c>
      <c r="B71" s="32"/>
    </row>
    <row r="72" spans="1:2" ht="15" customHeight="1" x14ac:dyDescent="0.2">
      <c r="A72" s="9" t="s">
        <v>2195</v>
      </c>
      <c r="B72" s="32"/>
    </row>
    <row r="73" spans="1:2" ht="15" customHeight="1" x14ac:dyDescent="0.2">
      <c r="B73" s="32"/>
    </row>
    <row r="74" spans="1:2" ht="15" customHeight="1" x14ac:dyDescent="0.2">
      <c r="A74" s="9" t="s">
        <v>80</v>
      </c>
      <c r="B74" s="32"/>
    </row>
    <row r="75" spans="1:2" ht="15" customHeight="1" x14ac:dyDescent="0.2">
      <c r="B75" s="32"/>
    </row>
    <row r="76" spans="1:2" ht="15" customHeight="1" x14ac:dyDescent="0.2">
      <c r="A76" s="9" t="s">
        <v>3556</v>
      </c>
      <c r="B76" s="32"/>
    </row>
    <row r="77" spans="1:2" ht="15" customHeight="1" x14ac:dyDescent="0.2">
      <c r="B77" s="32"/>
    </row>
    <row r="78" spans="1:2" ht="15" customHeight="1" x14ac:dyDescent="0.25">
      <c r="A78" s="8" t="s">
        <v>3557</v>
      </c>
    </row>
    <row r="79" spans="1:2" ht="15" customHeight="1" x14ac:dyDescent="0.25">
      <c r="A79" s="8" t="s">
        <v>3558</v>
      </c>
    </row>
    <row r="80" spans="1:2" ht="15" customHeight="1" x14ac:dyDescent="0.25">
      <c r="A80" s="8" t="s">
        <v>3559</v>
      </c>
    </row>
    <row r="81" spans="1:2" ht="15" customHeight="1" x14ac:dyDescent="0.2">
      <c r="A81" s="9" t="s">
        <v>2196</v>
      </c>
    </row>
    <row r="82" spans="1:2" ht="15" customHeight="1" x14ac:dyDescent="0.2">
      <c r="A82" s="9" t="s">
        <v>2197</v>
      </c>
    </row>
    <row r="83" spans="1:2" ht="15" customHeight="1" x14ac:dyDescent="0.2">
      <c r="A83" s="9" t="s">
        <v>2198</v>
      </c>
    </row>
    <row r="84" spans="1:2" ht="15" customHeight="1" x14ac:dyDescent="0.2">
      <c r="A84" s="9" t="s">
        <v>2199</v>
      </c>
    </row>
    <row r="86" spans="1:2" ht="15" customHeight="1" x14ac:dyDescent="0.2">
      <c r="A86" s="9" t="s">
        <v>80</v>
      </c>
    </row>
    <row r="88" spans="1:2" ht="15" customHeight="1" x14ac:dyDescent="0.2">
      <c r="A88" s="9" t="s">
        <v>3560</v>
      </c>
    </row>
    <row r="89" spans="1:2" ht="15" customHeight="1" x14ac:dyDescent="0.2">
      <c r="A89" s="9" t="s">
        <v>2200</v>
      </c>
    </row>
    <row r="91" spans="1:2" ht="15" customHeight="1" x14ac:dyDescent="0.25">
      <c r="A91" s="33" t="s">
        <v>3561</v>
      </c>
      <c r="B91" s="20">
        <v>1.4999999999999999E-2</v>
      </c>
    </row>
    <row r="92" spans="1:2" ht="15" customHeight="1" x14ac:dyDescent="0.25">
      <c r="A92" s="33" t="s">
        <v>3562</v>
      </c>
      <c r="B92" s="20">
        <v>0.01</v>
      </c>
    </row>
    <row r="93" spans="1:2" ht="15" customHeight="1" x14ac:dyDescent="0.2">
      <c r="A93" s="25" t="s">
        <v>4</v>
      </c>
      <c r="B93" s="9">
        <v>0.8</v>
      </c>
    </row>
    <row r="94" spans="1:2" ht="15" customHeight="1" x14ac:dyDescent="0.2">
      <c r="A94" s="25" t="s">
        <v>85</v>
      </c>
      <c r="B94" s="9">
        <v>1</v>
      </c>
    </row>
    <row r="95" spans="1:2" ht="15" customHeight="1" x14ac:dyDescent="0.2">
      <c r="A95" s="25" t="s">
        <v>127</v>
      </c>
      <c r="B95" s="21">
        <v>0.99</v>
      </c>
    </row>
    <row r="96" spans="1:2" ht="15" customHeight="1" x14ac:dyDescent="0.2">
      <c r="A96" s="25" t="s">
        <v>3563</v>
      </c>
      <c r="B96" s="12">
        <v>2000</v>
      </c>
    </row>
    <row r="97" spans="1:2" ht="15" customHeight="1" x14ac:dyDescent="0.2">
      <c r="A97" s="25" t="s">
        <v>3564</v>
      </c>
      <c r="B97" s="12">
        <v>5000</v>
      </c>
    </row>
    <row r="99" spans="1:2" ht="15" customHeight="1" x14ac:dyDescent="0.25">
      <c r="A99" s="9" t="s">
        <v>3565</v>
      </c>
      <c r="B99" s="12">
        <f>B96*B91</f>
        <v>30</v>
      </c>
    </row>
    <row r="100" spans="1:2" ht="15" customHeight="1" x14ac:dyDescent="0.25">
      <c r="A100" s="9" t="s">
        <v>3566</v>
      </c>
      <c r="B100" s="12">
        <f>B97*B92</f>
        <v>50</v>
      </c>
    </row>
    <row r="101" spans="1:2" ht="15" customHeight="1" x14ac:dyDescent="0.2">
      <c r="A101" s="9" t="s">
        <v>3567</v>
      </c>
      <c r="B101" s="15">
        <f>SQRT(((B96*B91)^2+(B97*B92)^2+2*B96*B91*B97*B92*B93)*B94)</f>
        <v>76.157731058639087</v>
      </c>
    </row>
    <row r="102" spans="1:2" ht="15" customHeight="1" x14ac:dyDescent="0.2">
      <c r="A102" s="9" t="s">
        <v>3568</v>
      </c>
      <c r="B102" s="34">
        <f>_xlfn.NORM.S.INV(B95)</f>
        <v>2.3263478740408408</v>
      </c>
    </row>
    <row r="103" spans="1:2" ht="15" customHeight="1" x14ac:dyDescent="0.2">
      <c r="A103" s="9" t="s">
        <v>2176</v>
      </c>
      <c r="B103" s="12">
        <f>B102*B101</f>
        <v>177.16937574003916</v>
      </c>
    </row>
    <row r="104" spans="1:2" ht="15" customHeight="1" x14ac:dyDescent="0.2">
      <c r="B104" s="12"/>
    </row>
    <row r="105" spans="1:2" ht="15" customHeight="1" x14ac:dyDescent="0.2">
      <c r="A105" s="8" t="s">
        <v>2201</v>
      </c>
      <c r="B105" s="12"/>
    </row>
    <row r="106" spans="1:2" ht="15" customHeight="1" x14ac:dyDescent="0.2">
      <c r="A106" s="9" t="s">
        <v>2202</v>
      </c>
      <c r="B106" s="12"/>
    </row>
    <row r="107" spans="1:2" ht="15" customHeight="1" x14ac:dyDescent="0.2">
      <c r="A107" s="9" t="s">
        <v>2203</v>
      </c>
      <c r="B107" s="12"/>
    </row>
    <row r="108" spans="1:2" ht="15" customHeight="1" x14ac:dyDescent="0.2">
      <c r="A108" s="9" t="s">
        <v>2204</v>
      </c>
      <c r="B108" s="12"/>
    </row>
    <row r="109" spans="1:2" ht="15" customHeight="1" x14ac:dyDescent="0.2">
      <c r="A109" s="9" t="s">
        <v>2205</v>
      </c>
      <c r="B109" s="12"/>
    </row>
    <row r="110" spans="1:2" ht="15" customHeight="1" x14ac:dyDescent="0.2">
      <c r="B110" s="12"/>
    </row>
    <row r="111" spans="1:2" ht="15" customHeight="1" x14ac:dyDescent="0.2">
      <c r="A111" s="9" t="s">
        <v>88</v>
      </c>
      <c r="B111" s="12"/>
    </row>
    <row r="112" spans="1:2" ht="15" customHeight="1" x14ac:dyDescent="0.2">
      <c r="B112" s="12"/>
    </row>
    <row r="113" spans="1:2" ht="15" customHeight="1" x14ac:dyDescent="0.2">
      <c r="A113" s="9" t="s">
        <v>2206</v>
      </c>
      <c r="B113" s="12"/>
    </row>
    <row r="114" spans="1:2" ht="15" customHeight="1" x14ac:dyDescent="0.2">
      <c r="A114" s="9" t="s">
        <v>2207</v>
      </c>
      <c r="B114" s="12"/>
    </row>
    <row r="115" spans="1:2" ht="15" customHeight="1" x14ac:dyDescent="0.2">
      <c r="B115" s="12"/>
    </row>
    <row r="116" spans="1:2" ht="15" customHeight="1" x14ac:dyDescent="0.2">
      <c r="A116" s="8" t="s">
        <v>2208</v>
      </c>
      <c r="B116" s="12"/>
    </row>
    <row r="117" spans="1:2" ht="15" customHeight="1" x14ac:dyDescent="0.2">
      <c r="A117" s="9" t="s">
        <v>2209</v>
      </c>
      <c r="B117" s="12"/>
    </row>
    <row r="118" spans="1:2" ht="15" customHeight="1" x14ac:dyDescent="0.2">
      <c r="A118" s="9" t="s">
        <v>2210</v>
      </c>
      <c r="B118" s="12"/>
    </row>
    <row r="119" spans="1:2" ht="15" customHeight="1" x14ac:dyDescent="0.2">
      <c r="A119" s="9" t="s">
        <v>2211</v>
      </c>
      <c r="B119" s="12"/>
    </row>
    <row r="120" spans="1:2" ht="15" customHeight="1" x14ac:dyDescent="0.2">
      <c r="A120" s="9" t="s">
        <v>2212</v>
      </c>
      <c r="B120" s="12"/>
    </row>
    <row r="121" spans="1:2" ht="15" customHeight="1" x14ac:dyDescent="0.2">
      <c r="B121" s="12"/>
    </row>
    <row r="122" spans="1:2" ht="15" customHeight="1" x14ac:dyDescent="0.2">
      <c r="A122" s="9" t="s">
        <v>110</v>
      </c>
      <c r="B122" s="12"/>
    </row>
    <row r="123" spans="1:2" ht="15" customHeight="1" x14ac:dyDescent="0.2">
      <c r="B123" s="12"/>
    </row>
    <row r="124" spans="1:2" ht="15" customHeight="1" x14ac:dyDescent="0.2">
      <c r="A124" s="9" t="s">
        <v>2213</v>
      </c>
      <c r="B124" s="12"/>
    </row>
    <row r="125" spans="1:2" ht="15" customHeight="1" x14ac:dyDescent="0.2">
      <c r="A125" s="9" t="s">
        <v>2214</v>
      </c>
      <c r="B125" s="12"/>
    </row>
    <row r="126" spans="1:2" ht="15" customHeight="1" x14ac:dyDescent="0.2">
      <c r="B126" s="12"/>
    </row>
    <row r="127" spans="1:2" ht="15" customHeight="1" x14ac:dyDescent="0.2">
      <c r="A127" s="8" t="s">
        <v>2215</v>
      </c>
      <c r="B127" s="12"/>
    </row>
    <row r="128" spans="1:2" ht="15" customHeight="1" x14ac:dyDescent="0.2">
      <c r="A128" s="9" t="s">
        <v>2216</v>
      </c>
      <c r="B128" s="12"/>
    </row>
    <row r="129" spans="1:2" ht="15" customHeight="1" x14ac:dyDescent="0.2">
      <c r="A129" s="9" t="s">
        <v>2217</v>
      </c>
      <c r="B129" s="12"/>
    </row>
    <row r="130" spans="1:2" ht="15" customHeight="1" x14ac:dyDescent="0.2">
      <c r="A130" s="9" t="s">
        <v>2218</v>
      </c>
      <c r="B130" s="12"/>
    </row>
    <row r="131" spans="1:2" ht="15" customHeight="1" x14ac:dyDescent="0.2">
      <c r="A131" s="9" t="s">
        <v>404</v>
      </c>
      <c r="B131" s="12"/>
    </row>
    <row r="132" spans="1:2" ht="15" customHeight="1" x14ac:dyDescent="0.2">
      <c r="B132" s="12"/>
    </row>
    <row r="133" spans="1:2" ht="15" customHeight="1" x14ac:dyDescent="0.2">
      <c r="A133" s="9" t="s">
        <v>80</v>
      </c>
      <c r="B133" s="12"/>
    </row>
    <row r="134" spans="1:2" ht="15" customHeight="1" x14ac:dyDescent="0.2">
      <c r="B134" s="12"/>
    </row>
    <row r="135" spans="1:2" ht="15" customHeight="1" x14ac:dyDescent="0.2">
      <c r="A135" s="9" t="s">
        <v>2219</v>
      </c>
      <c r="B135" s="12"/>
    </row>
    <row r="136" spans="1:2" ht="15" customHeight="1" x14ac:dyDescent="0.2">
      <c r="B136" s="12"/>
    </row>
    <row r="137" spans="1:2" ht="15" customHeight="1" x14ac:dyDescent="0.2">
      <c r="A137" s="8" t="s">
        <v>2220</v>
      </c>
      <c r="B137" s="12"/>
    </row>
    <row r="138" spans="1:2" ht="15" customHeight="1" x14ac:dyDescent="0.2">
      <c r="A138" s="9" t="s">
        <v>2221</v>
      </c>
      <c r="B138" s="12"/>
    </row>
    <row r="139" spans="1:2" ht="15" customHeight="1" x14ac:dyDescent="0.2">
      <c r="A139" s="9" t="s">
        <v>2222</v>
      </c>
      <c r="B139" s="12"/>
    </row>
    <row r="140" spans="1:2" ht="15" customHeight="1" x14ac:dyDescent="0.2">
      <c r="A140" s="9" t="s">
        <v>2223</v>
      </c>
      <c r="B140" s="12"/>
    </row>
    <row r="141" spans="1:2" ht="15" customHeight="1" x14ac:dyDescent="0.2">
      <c r="A141" s="9" t="s">
        <v>404</v>
      </c>
      <c r="B141" s="12"/>
    </row>
    <row r="142" spans="1:2" ht="15" customHeight="1" x14ac:dyDescent="0.2">
      <c r="B142" s="12"/>
    </row>
    <row r="143" spans="1:2" ht="15" customHeight="1" x14ac:dyDescent="0.2">
      <c r="A143" s="9" t="s">
        <v>88</v>
      </c>
      <c r="B143" s="12"/>
    </row>
    <row r="144" spans="1:2" ht="15" customHeight="1" x14ac:dyDescent="0.2">
      <c r="B144" s="12"/>
    </row>
    <row r="145" spans="1:2" ht="15" customHeight="1" x14ac:dyDescent="0.2">
      <c r="A145" s="9" t="s">
        <v>2224</v>
      </c>
      <c r="B145" s="12"/>
    </row>
    <row r="146" spans="1:2" ht="15" customHeight="1" x14ac:dyDescent="0.2">
      <c r="B146" s="12"/>
    </row>
    <row r="147" spans="1:2" ht="15" customHeight="1" x14ac:dyDescent="0.2">
      <c r="A147" s="8" t="s">
        <v>2225</v>
      </c>
      <c r="B147" s="12"/>
    </row>
    <row r="148" spans="1:2" ht="15" customHeight="1" x14ac:dyDescent="0.2">
      <c r="A148" s="9" t="s">
        <v>2226</v>
      </c>
      <c r="B148" s="12"/>
    </row>
    <row r="149" spans="1:2" ht="15" customHeight="1" x14ac:dyDescent="0.2">
      <c r="A149" s="9" t="s">
        <v>2227</v>
      </c>
      <c r="B149" s="12"/>
    </row>
    <row r="150" spans="1:2" ht="15" customHeight="1" x14ac:dyDescent="0.2">
      <c r="A150" s="9" t="s">
        <v>2228</v>
      </c>
      <c r="B150" s="12"/>
    </row>
    <row r="151" spans="1:2" ht="15" customHeight="1" x14ac:dyDescent="0.2">
      <c r="A151" s="9" t="s">
        <v>5</v>
      </c>
      <c r="B151" s="12"/>
    </row>
    <row r="152" spans="1:2" ht="15" customHeight="1" x14ac:dyDescent="0.2">
      <c r="B152" s="12"/>
    </row>
    <row r="153" spans="1:2" ht="15" customHeight="1" x14ac:dyDescent="0.2">
      <c r="A153" s="9" t="s">
        <v>80</v>
      </c>
      <c r="B153" s="12"/>
    </row>
    <row r="154" spans="1:2" ht="15" customHeight="1" x14ac:dyDescent="0.2">
      <c r="B154" s="12"/>
    </row>
    <row r="155" spans="1:2" ht="15" customHeight="1" x14ac:dyDescent="0.2">
      <c r="A155" s="9" t="s">
        <v>2229</v>
      </c>
      <c r="B155" s="12"/>
    </row>
    <row r="156" spans="1:2" ht="15" customHeight="1" x14ac:dyDescent="0.2">
      <c r="B156" s="12"/>
    </row>
    <row r="157" spans="1:2" ht="15" customHeight="1" x14ac:dyDescent="0.2">
      <c r="A157" s="8" t="s">
        <v>2230</v>
      </c>
      <c r="B157" s="12"/>
    </row>
    <row r="158" spans="1:2" ht="15" customHeight="1" x14ac:dyDescent="0.2">
      <c r="A158" s="9" t="s">
        <v>2231</v>
      </c>
      <c r="B158" s="12"/>
    </row>
    <row r="159" spans="1:2" ht="15" customHeight="1" x14ac:dyDescent="0.2">
      <c r="A159" s="9" t="s">
        <v>2232</v>
      </c>
      <c r="B159" s="12"/>
    </row>
    <row r="160" spans="1:2" ht="15" customHeight="1" x14ac:dyDescent="0.2">
      <c r="A160" s="9" t="s">
        <v>2233</v>
      </c>
      <c r="B160" s="12"/>
    </row>
    <row r="161" spans="1:2" ht="15" customHeight="1" x14ac:dyDescent="0.2">
      <c r="A161" s="9" t="s">
        <v>2234</v>
      </c>
      <c r="B161" s="12"/>
    </row>
    <row r="162" spans="1:2" ht="15" customHeight="1" x14ac:dyDescent="0.2">
      <c r="B162" s="12"/>
    </row>
    <row r="163" spans="1:2" ht="15" customHeight="1" x14ac:dyDescent="0.2">
      <c r="A163" s="9" t="s">
        <v>88</v>
      </c>
      <c r="B163" s="12"/>
    </row>
    <row r="164" spans="1:2" ht="15" customHeight="1" x14ac:dyDescent="0.2">
      <c r="B164" s="12"/>
    </row>
    <row r="165" spans="1:2" ht="15" customHeight="1" x14ac:dyDescent="0.2">
      <c r="A165" s="9" t="s">
        <v>2235</v>
      </c>
      <c r="B165" s="12"/>
    </row>
    <row r="166" spans="1:2" ht="15" customHeight="1" x14ac:dyDescent="0.2">
      <c r="B166" s="12"/>
    </row>
    <row r="167" spans="1:2" ht="15" customHeight="1" x14ac:dyDescent="0.2">
      <c r="A167" s="8" t="s">
        <v>2236</v>
      </c>
      <c r="B167" s="12"/>
    </row>
    <row r="168" spans="1:2" ht="15" customHeight="1" x14ac:dyDescent="0.2">
      <c r="A168" s="9" t="s">
        <v>2237</v>
      </c>
      <c r="B168" s="12"/>
    </row>
    <row r="169" spans="1:2" ht="15" customHeight="1" x14ac:dyDescent="0.2">
      <c r="A169" s="9" t="s">
        <v>2238</v>
      </c>
      <c r="B169" s="12"/>
    </row>
    <row r="170" spans="1:2" ht="15" customHeight="1" x14ac:dyDescent="0.2">
      <c r="A170" s="9" t="s">
        <v>2239</v>
      </c>
      <c r="B170" s="12"/>
    </row>
    <row r="171" spans="1:2" ht="15" customHeight="1" x14ac:dyDescent="0.2">
      <c r="A171" s="9" t="s">
        <v>2240</v>
      </c>
      <c r="B171" s="12"/>
    </row>
    <row r="172" spans="1:2" ht="15" customHeight="1" x14ac:dyDescent="0.2">
      <c r="B172" s="12"/>
    </row>
    <row r="173" spans="1:2" ht="15" customHeight="1" x14ac:dyDescent="0.2">
      <c r="A173" s="9" t="s">
        <v>80</v>
      </c>
      <c r="B173" s="12"/>
    </row>
    <row r="174" spans="1:2" ht="15" customHeight="1" x14ac:dyDescent="0.2">
      <c r="B174" s="12"/>
    </row>
    <row r="175" spans="1:2" ht="15" customHeight="1" x14ac:dyDescent="0.2">
      <c r="A175" s="9" t="s">
        <v>2241</v>
      </c>
      <c r="B175" s="12"/>
    </row>
    <row r="176" spans="1:2" ht="15" customHeight="1" x14ac:dyDescent="0.2">
      <c r="B176" s="12"/>
    </row>
    <row r="177" spans="1:2" ht="15" customHeight="1" x14ac:dyDescent="0.2">
      <c r="A177" s="8" t="s">
        <v>3414</v>
      </c>
    </row>
    <row r="178" spans="1:2" ht="15" customHeight="1" x14ac:dyDescent="0.25">
      <c r="A178" s="8" t="s">
        <v>3569</v>
      </c>
    </row>
    <row r="179" spans="1:2" ht="15" customHeight="1" x14ac:dyDescent="0.2">
      <c r="A179" s="9" t="s">
        <v>3570</v>
      </c>
    </row>
    <row r="180" spans="1:2" ht="15" customHeight="1" x14ac:dyDescent="0.2">
      <c r="A180" s="9" t="s">
        <v>3571</v>
      </c>
    </row>
    <row r="181" spans="1:2" ht="15" customHeight="1" x14ac:dyDescent="0.2">
      <c r="A181" s="9" t="s">
        <v>3572</v>
      </c>
    </row>
    <row r="182" spans="1:2" ht="15" customHeight="1" x14ac:dyDescent="0.2">
      <c r="A182" s="9" t="s">
        <v>3573</v>
      </c>
    </row>
    <row r="184" spans="1:2" ht="15" customHeight="1" x14ac:dyDescent="0.2">
      <c r="A184" s="9" t="s">
        <v>98</v>
      </c>
      <c r="B184" s="35"/>
    </row>
    <row r="185" spans="1:2" ht="15" customHeight="1" x14ac:dyDescent="0.2">
      <c r="B185" s="35"/>
    </row>
    <row r="186" spans="1:2" ht="15" customHeight="1" x14ac:dyDescent="0.2">
      <c r="A186" s="9" t="s">
        <v>3574</v>
      </c>
      <c r="B186" s="35"/>
    </row>
    <row r="187" spans="1:2" ht="15" customHeight="1" x14ac:dyDescent="0.2">
      <c r="B187" s="35"/>
    </row>
    <row r="188" spans="1:2" ht="15" customHeight="1" x14ac:dyDescent="0.2">
      <c r="A188" s="8" t="s">
        <v>3415</v>
      </c>
      <c r="B188" s="35"/>
    </row>
    <row r="189" spans="1:2" ht="15" customHeight="1" x14ac:dyDescent="0.25">
      <c r="A189" s="8" t="s">
        <v>3569</v>
      </c>
      <c r="B189" s="35"/>
    </row>
    <row r="190" spans="1:2" ht="15" customHeight="1" x14ac:dyDescent="0.2">
      <c r="A190" s="9" t="s">
        <v>3575</v>
      </c>
      <c r="B190" s="35"/>
    </row>
    <row r="191" spans="1:2" ht="15" customHeight="1" x14ac:dyDescent="0.2">
      <c r="A191" s="9" t="s">
        <v>3576</v>
      </c>
      <c r="B191" s="35"/>
    </row>
    <row r="192" spans="1:2" ht="15" customHeight="1" x14ac:dyDescent="0.2">
      <c r="A192" s="9" t="s">
        <v>3577</v>
      </c>
      <c r="B192" s="35"/>
    </row>
    <row r="193" spans="1:2" ht="15" customHeight="1" x14ac:dyDescent="0.2">
      <c r="A193" s="9" t="s">
        <v>3578</v>
      </c>
      <c r="B193" s="35"/>
    </row>
    <row r="194" spans="1:2" ht="15" customHeight="1" x14ac:dyDescent="0.2">
      <c r="B194" s="35"/>
    </row>
    <row r="195" spans="1:2" ht="15" customHeight="1" x14ac:dyDescent="0.2">
      <c r="A195" s="9" t="s">
        <v>110</v>
      </c>
      <c r="B195" s="35"/>
    </row>
    <row r="197" spans="1:2" ht="15" customHeight="1" x14ac:dyDescent="0.2">
      <c r="A197" s="9" t="s">
        <v>3579</v>
      </c>
    </row>
    <row r="198" spans="1:2" ht="15" customHeight="1" x14ac:dyDescent="0.2">
      <c r="A198" s="9" t="s">
        <v>3580</v>
      </c>
    </row>
    <row r="200" spans="1:2" ht="15" customHeight="1" x14ac:dyDescent="0.2">
      <c r="A200" s="8" t="s">
        <v>2242</v>
      </c>
    </row>
    <row r="201" spans="1:2" ht="15" customHeight="1" x14ac:dyDescent="0.2">
      <c r="A201" s="9" t="s">
        <v>2243</v>
      </c>
    </row>
    <row r="202" spans="1:2" ht="15" customHeight="1" x14ac:dyDescent="0.2">
      <c r="A202" s="9" t="s">
        <v>2244</v>
      </c>
    </row>
    <row r="203" spans="1:2" ht="15" customHeight="1" x14ac:dyDescent="0.2">
      <c r="A203" s="9" t="s">
        <v>2245</v>
      </c>
    </row>
    <row r="204" spans="1:2" ht="15" customHeight="1" x14ac:dyDescent="0.2">
      <c r="A204" s="9" t="s">
        <v>2246</v>
      </c>
    </row>
    <row r="206" spans="1:2" ht="15" customHeight="1" x14ac:dyDescent="0.2">
      <c r="A206" s="9" t="s">
        <v>88</v>
      </c>
    </row>
    <row r="208" spans="1:2" ht="15" customHeight="1" x14ac:dyDescent="0.2">
      <c r="A208" s="9" t="s">
        <v>2247</v>
      </c>
    </row>
    <row r="210" spans="1:1" ht="15" customHeight="1" x14ac:dyDescent="0.2">
      <c r="A210" s="8" t="s">
        <v>2248</v>
      </c>
    </row>
    <row r="211" spans="1:1" ht="15" customHeight="1" x14ac:dyDescent="0.2">
      <c r="A211" s="9" t="s">
        <v>2249</v>
      </c>
    </row>
    <row r="212" spans="1:1" ht="15" customHeight="1" x14ac:dyDescent="0.2">
      <c r="A212" s="9" t="s">
        <v>2250</v>
      </c>
    </row>
    <row r="213" spans="1:1" ht="15" customHeight="1" x14ac:dyDescent="0.2">
      <c r="A213" s="9" t="s">
        <v>2251</v>
      </c>
    </row>
    <row r="214" spans="1:1" ht="15" customHeight="1" x14ac:dyDescent="0.2">
      <c r="A214" s="9" t="s">
        <v>2252</v>
      </c>
    </row>
    <row r="216" spans="1:1" ht="15" customHeight="1" x14ac:dyDescent="0.2">
      <c r="A216" s="9" t="s">
        <v>80</v>
      </c>
    </row>
    <row r="218" spans="1:1" ht="15" customHeight="1" x14ac:dyDescent="0.2">
      <c r="A218" s="9" t="s">
        <v>2253</v>
      </c>
    </row>
    <row r="220" spans="1:1" ht="15" customHeight="1" x14ac:dyDescent="0.2">
      <c r="A220" s="8" t="s">
        <v>2254</v>
      </c>
    </row>
    <row r="221" spans="1:1" ht="15" customHeight="1" x14ac:dyDescent="0.2">
      <c r="A221" s="9" t="s">
        <v>2249</v>
      </c>
    </row>
    <row r="222" spans="1:1" ht="15" customHeight="1" x14ac:dyDescent="0.2">
      <c r="A222" s="9" t="s">
        <v>2250</v>
      </c>
    </row>
    <row r="223" spans="1:1" ht="15" customHeight="1" x14ac:dyDescent="0.2">
      <c r="A223" s="9" t="s">
        <v>2251</v>
      </c>
    </row>
    <row r="224" spans="1:1" ht="15" customHeight="1" x14ac:dyDescent="0.2">
      <c r="A224" s="9" t="s">
        <v>2252</v>
      </c>
    </row>
    <row r="226" spans="1:1" ht="15" customHeight="1" x14ac:dyDescent="0.2">
      <c r="A226" s="9" t="s">
        <v>88</v>
      </c>
    </row>
    <row r="228" spans="1:1" ht="15" customHeight="1" x14ac:dyDescent="0.2">
      <c r="A228" s="9" t="s">
        <v>2255</v>
      </c>
    </row>
    <row r="230" spans="1:1" ht="15" customHeight="1" x14ac:dyDescent="0.2">
      <c r="A230" s="8" t="s">
        <v>2256</v>
      </c>
    </row>
    <row r="231" spans="1:1" ht="15" customHeight="1" x14ac:dyDescent="0.2">
      <c r="A231" s="9" t="s">
        <v>2257</v>
      </c>
    </row>
    <row r="232" spans="1:1" ht="15" customHeight="1" x14ac:dyDescent="0.2">
      <c r="A232" s="9" t="s">
        <v>2258</v>
      </c>
    </row>
    <row r="233" spans="1:1" ht="15" customHeight="1" x14ac:dyDescent="0.2">
      <c r="A233" s="9" t="s">
        <v>2259</v>
      </c>
    </row>
    <row r="234" spans="1:1" ht="15" customHeight="1" x14ac:dyDescent="0.2">
      <c r="A234" s="9" t="s">
        <v>2260</v>
      </c>
    </row>
    <row r="236" spans="1:1" ht="15" customHeight="1" x14ac:dyDescent="0.2">
      <c r="A236" s="9" t="s">
        <v>88</v>
      </c>
    </row>
    <row r="238" spans="1:1" ht="15" customHeight="1" x14ac:dyDescent="0.2">
      <c r="A238" s="9" t="s">
        <v>2261</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6878"/>
    <pageSetUpPr fitToPage="1"/>
  </sheetPr>
  <dimension ref="A1:P259"/>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1016</v>
      </c>
      <c r="B1" s="76"/>
      <c r="C1" s="76"/>
      <c r="D1" s="76"/>
      <c r="E1" s="76"/>
      <c r="F1" s="76"/>
      <c r="G1" s="76"/>
      <c r="H1" s="76"/>
      <c r="I1" s="76"/>
      <c r="J1" s="76"/>
      <c r="K1" s="76"/>
      <c r="L1" s="76"/>
      <c r="M1" s="76"/>
      <c r="N1" s="76"/>
      <c r="O1" s="76"/>
      <c r="P1" s="76"/>
    </row>
    <row r="3" spans="1:16" s="8" customFormat="1" ht="15" customHeight="1" x14ac:dyDescent="0.2">
      <c r="A3" s="8" t="s">
        <v>2262</v>
      </c>
    </row>
    <row r="4" spans="1:16" ht="15" customHeight="1" x14ac:dyDescent="0.2">
      <c r="A4" s="9" t="s">
        <v>1246</v>
      </c>
    </row>
    <row r="5" spans="1:16" ht="15" customHeight="1" x14ac:dyDescent="0.2">
      <c r="A5" s="9" t="s">
        <v>1247</v>
      </c>
    </row>
    <row r="6" spans="1:16" ht="15" customHeight="1" x14ac:dyDescent="0.2">
      <c r="A6" s="9" t="s">
        <v>1248</v>
      </c>
    </row>
    <row r="7" spans="1:16" ht="15" customHeight="1" x14ac:dyDescent="0.2">
      <c r="A7" s="9" t="s">
        <v>1249</v>
      </c>
    </row>
    <row r="9" spans="1:16" ht="15" customHeight="1" x14ac:dyDescent="0.2">
      <c r="A9" s="9" t="s">
        <v>80</v>
      </c>
    </row>
    <row r="11" spans="1:16" ht="15" customHeight="1" x14ac:dyDescent="0.2">
      <c r="A11" s="9" t="s">
        <v>2263</v>
      </c>
    </row>
    <row r="13" spans="1:16" ht="15" customHeight="1" x14ac:dyDescent="0.2">
      <c r="A13" s="8" t="s">
        <v>2264</v>
      </c>
    </row>
    <row r="14" spans="1:16" ht="15" customHeight="1" x14ac:dyDescent="0.2">
      <c r="A14" s="9" t="s">
        <v>1246</v>
      </c>
    </row>
    <row r="15" spans="1:16" ht="15" customHeight="1" x14ac:dyDescent="0.2">
      <c r="A15" s="9" t="s">
        <v>1247</v>
      </c>
    </row>
    <row r="16" spans="1:16" ht="15" customHeight="1" x14ac:dyDescent="0.2">
      <c r="A16" s="9" t="s">
        <v>1248</v>
      </c>
    </row>
    <row r="17" spans="1:1" ht="15" customHeight="1" x14ac:dyDescent="0.2">
      <c r="A17" s="9" t="s">
        <v>1249</v>
      </c>
    </row>
    <row r="19" spans="1:1" ht="15" customHeight="1" x14ac:dyDescent="0.2">
      <c r="A19" s="9" t="s">
        <v>98</v>
      </c>
    </row>
    <row r="21" spans="1:1" ht="15" customHeight="1" x14ac:dyDescent="0.2">
      <c r="A21" s="9" t="s">
        <v>3520</v>
      </c>
    </row>
    <row r="23" spans="1:1" ht="15" customHeight="1" x14ac:dyDescent="0.25">
      <c r="A23" s="8" t="s">
        <v>3521</v>
      </c>
    </row>
    <row r="24" spans="1:1" ht="15" customHeight="1" x14ac:dyDescent="0.2">
      <c r="A24" s="9" t="s">
        <v>2265</v>
      </c>
    </row>
    <row r="25" spans="1:1" ht="15" customHeight="1" x14ac:dyDescent="0.2">
      <c r="A25" s="9" t="s">
        <v>2266</v>
      </c>
    </row>
    <row r="26" spans="1:1" ht="15" customHeight="1" x14ac:dyDescent="0.2">
      <c r="A26" s="9" t="s">
        <v>2267</v>
      </c>
    </row>
    <row r="27" spans="1:1" ht="15" customHeight="1" x14ac:dyDescent="0.2">
      <c r="A27" s="9" t="s">
        <v>2268</v>
      </c>
    </row>
    <row r="29" spans="1:1" ht="15" customHeight="1" x14ac:dyDescent="0.2">
      <c r="A29" s="9" t="s">
        <v>98</v>
      </c>
    </row>
    <row r="31" spans="1:1" ht="15" customHeight="1" x14ac:dyDescent="0.2">
      <c r="A31" s="9" t="s">
        <v>3522</v>
      </c>
    </row>
    <row r="33" spans="1:2" ht="15" customHeight="1" x14ac:dyDescent="0.25">
      <c r="A33" s="25" t="s">
        <v>3523</v>
      </c>
      <c r="B33" s="21">
        <v>0.02</v>
      </c>
    </row>
    <row r="34" spans="1:2" ht="15" customHeight="1" x14ac:dyDescent="0.25">
      <c r="A34" s="25" t="s">
        <v>3524</v>
      </c>
      <c r="B34" s="21">
        <v>0.03</v>
      </c>
    </row>
    <row r="35" spans="1:2" ht="15" customHeight="1" x14ac:dyDescent="0.2">
      <c r="A35" s="9" t="s">
        <v>14</v>
      </c>
      <c r="B35" s="9">
        <v>0.9</v>
      </c>
    </row>
    <row r="37" spans="1:2" ht="15" customHeight="1" x14ac:dyDescent="0.25">
      <c r="A37" s="25" t="s">
        <v>3525</v>
      </c>
      <c r="B37" s="30">
        <f>B35*B33^2+(1-B35)*B34^2</f>
        <v>4.4999999999999999E-4</v>
      </c>
    </row>
    <row r="38" spans="1:2" ht="15" customHeight="1" x14ac:dyDescent="0.25">
      <c r="A38" s="25" t="s">
        <v>3526</v>
      </c>
      <c r="B38" s="14">
        <f>SQRT(B37)</f>
        <v>2.1213203435596427E-2</v>
      </c>
    </row>
    <row r="40" spans="1:2" ht="15" customHeight="1" x14ac:dyDescent="0.25">
      <c r="A40" s="8" t="s">
        <v>3527</v>
      </c>
    </row>
    <row r="41" spans="1:2" ht="15" customHeight="1" x14ac:dyDescent="0.2">
      <c r="A41" s="9" t="s">
        <v>2269</v>
      </c>
    </row>
    <row r="42" spans="1:2" ht="15" customHeight="1" x14ac:dyDescent="0.2">
      <c r="A42" s="9" t="s">
        <v>2270</v>
      </c>
    </row>
    <row r="43" spans="1:2" ht="15" customHeight="1" x14ac:dyDescent="0.2">
      <c r="A43" s="9" t="s">
        <v>2271</v>
      </c>
    </row>
    <row r="44" spans="1:2" ht="15" customHeight="1" x14ac:dyDescent="0.2">
      <c r="A44" s="9" t="s">
        <v>2272</v>
      </c>
    </row>
    <row r="46" spans="1:2" ht="15" customHeight="1" x14ac:dyDescent="0.2">
      <c r="A46" s="9" t="s">
        <v>88</v>
      </c>
    </row>
    <row r="48" spans="1:2" ht="15" customHeight="1" x14ac:dyDescent="0.2">
      <c r="A48" s="9" t="s">
        <v>3528</v>
      </c>
    </row>
    <row r="50" spans="1:2" ht="15" customHeight="1" x14ac:dyDescent="0.25">
      <c r="A50" s="25" t="s">
        <v>3523</v>
      </c>
      <c r="B50" s="21">
        <v>0.01</v>
      </c>
    </row>
    <row r="51" spans="1:2" ht="15" customHeight="1" x14ac:dyDescent="0.25">
      <c r="A51" s="25" t="s">
        <v>3524</v>
      </c>
      <c r="B51" s="21">
        <v>0</v>
      </c>
    </row>
    <row r="52" spans="1:2" ht="15" customHeight="1" x14ac:dyDescent="0.2">
      <c r="A52" s="9" t="s">
        <v>14</v>
      </c>
      <c r="B52" s="9">
        <v>0.9</v>
      </c>
    </row>
    <row r="54" spans="1:2" ht="15" customHeight="1" x14ac:dyDescent="0.25">
      <c r="A54" s="25" t="s">
        <v>3525</v>
      </c>
      <c r="B54" s="30">
        <f>B52*B50^2+(1-B52)*B51^2</f>
        <v>9.0000000000000006E-5</v>
      </c>
    </row>
    <row r="55" spans="1:2" ht="15" customHeight="1" x14ac:dyDescent="0.25">
      <c r="A55" s="25" t="s">
        <v>3526</v>
      </c>
      <c r="B55" s="14">
        <f>SQRT(B54)</f>
        <v>9.4868329805051377E-3</v>
      </c>
    </row>
    <row r="57" spans="1:2" ht="15" customHeight="1" x14ac:dyDescent="0.25">
      <c r="A57" s="8" t="s">
        <v>3529</v>
      </c>
    </row>
    <row r="58" spans="1:2" s="8" customFormat="1" ht="15" customHeight="1" x14ac:dyDescent="0.25">
      <c r="A58" s="8" t="s">
        <v>3530</v>
      </c>
    </row>
    <row r="59" spans="1:2" ht="15" customHeight="1" x14ac:dyDescent="0.2">
      <c r="A59" s="31" t="s">
        <v>2273</v>
      </c>
    </row>
    <row r="60" spans="1:2" ht="15" customHeight="1" x14ac:dyDescent="0.2">
      <c r="A60" s="9" t="s">
        <v>2274</v>
      </c>
    </row>
    <row r="61" spans="1:2" ht="15" customHeight="1" x14ac:dyDescent="0.2">
      <c r="A61" s="9" t="s">
        <v>2275</v>
      </c>
    </row>
    <row r="62" spans="1:2" ht="15" customHeight="1" x14ac:dyDescent="0.2">
      <c r="A62" s="9" t="s">
        <v>2276</v>
      </c>
    </row>
    <row r="64" spans="1:2" ht="15" customHeight="1" x14ac:dyDescent="0.2">
      <c r="A64" s="9" t="s">
        <v>80</v>
      </c>
    </row>
    <row r="66" spans="1:2" ht="15" customHeight="1" x14ac:dyDescent="0.2">
      <c r="A66" s="9" t="s">
        <v>3531</v>
      </c>
    </row>
    <row r="68" spans="1:2" ht="15" customHeight="1" x14ac:dyDescent="0.25">
      <c r="A68" s="25" t="s">
        <v>3532</v>
      </c>
      <c r="B68" s="9">
        <v>1E-4</v>
      </c>
    </row>
    <row r="69" spans="1:2" ht="15" customHeight="1" x14ac:dyDescent="0.25">
      <c r="A69" s="25" t="s">
        <v>3533</v>
      </c>
      <c r="B69" s="21">
        <v>0.03</v>
      </c>
    </row>
    <row r="70" spans="1:2" ht="15" customHeight="1" x14ac:dyDescent="0.25">
      <c r="A70" s="25" t="s">
        <v>3534</v>
      </c>
      <c r="B70" s="21">
        <v>0</v>
      </c>
    </row>
    <row r="71" spans="1:2" ht="15" customHeight="1" x14ac:dyDescent="0.2">
      <c r="A71" s="9" t="s">
        <v>14</v>
      </c>
      <c r="B71" s="9">
        <v>0.9</v>
      </c>
    </row>
    <row r="73" spans="1:2" ht="15" customHeight="1" x14ac:dyDescent="0.25">
      <c r="A73" s="25" t="s">
        <v>3532</v>
      </c>
      <c r="B73" s="24">
        <f>B71*B68+(1-B71)*B69*B70</f>
        <v>9.0000000000000006E-5</v>
      </c>
    </row>
    <row r="74" spans="1:2" ht="15" customHeight="1" x14ac:dyDescent="0.2">
      <c r="A74" s="25"/>
      <c r="B74" s="24"/>
    </row>
    <row r="75" spans="1:2" ht="15" customHeight="1" x14ac:dyDescent="0.25">
      <c r="A75" s="8" t="s">
        <v>3535</v>
      </c>
      <c r="B75" s="24"/>
    </row>
    <row r="76" spans="1:2" ht="15" customHeight="1" x14ac:dyDescent="0.2">
      <c r="A76" s="9" t="s">
        <v>3536</v>
      </c>
      <c r="B76" s="24"/>
    </row>
    <row r="77" spans="1:2" ht="15" customHeight="1" x14ac:dyDescent="0.2">
      <c r="A77" s="9" t="s">
        <v>3537</v>
      </c>
      <c r="B77" s="24"/>
    </row>
    <row r="78" spans="1:2" ht="15" customHeight="1" x14ac:dyDescent="0.2">
      <c r="A78" s="9" t="s">
        <v>3538</v>
      </c>
      <c r="B78" s="24"/>
    </row>
    <row r="79" spans="1:2" ht="15" customHeight="1" x14ac:dyDescent="0.2">
      <c r="A79" s="9" t="s">
        <v>3539</v>
      </c>
      <c r="B79" s="24"/>
    </row>
    <row r="80" spans="1:2" ht="15" customHeight="1" x14ac:dyDescent="0.2">
      <c r="B80" s="24"/>
    </row>
    <row r="81" spans="1:2" ht="15" customHeight="1" x14ac:dyDescent="0.2">
      <c r="A81" s="9" t="s">
        <v>110</v>
      </c>
      <c r="B81" s="24"/>
    </row>
    <row r="82" spans="1:2" ht="15" customHeight="1" x14ac:dyDescent="0.2">
      <c r="B82" s="24"/>
    </row>
    <row r="83" spans="1:2" ht="15" customHeight="1" x14ac:dyDescent="0.2">
      <c r="A83" s="9" t="s">
        <v>2277</v>
      </c>
      <c r="B83" s="24"/>
    </row>
    <row r="84" spans="1:2" ht="15" customHeight="1" x14ac:dyDescent="0.2">
      <c r="B84" s="24"/>
    </row>
    <row r="85" spans="1:2" ht="15" customHeight="1" x14ac:dyDescent="0.2">
      <c r="A85" s="8" t="s">
        <v>2278</v>
      </c>
      <c r="B85" s="24"/>
    </row>
    <row r="86" spans="1:2" ht="15" customHeight="1" x14ac:dyDescent="0.2">
      <c r="A86" s="9" t="s">
        <v>2279</v>
      </c>
      <c r="B86" s="24"/>
    </row>
    <row r="87" spans="1:2" ht="15" customHeight="1" x14ac:dyDescent="0.2">
      <c r="A87" s="9" t="s">
        <v>2280</v>
      </c>
      <c r="B87" s="24"/>
    </row>
    <row r="88" spans="1:2" ht="15" customHeight="1" x14ac:dyDescent="0.2">
      <c r="A88" s="9" t="s">
        <v>2281</v>
      </c>
      <c r="B88" s="24"/>
    </row>
    <row r="89" spans="1:2" ht="15" customHeight="1" x14ac:dyDescent="0.2">
      <c r="A89" s="9" t="s">
        <v>2282</v>
      </c>
      <c r="B89" s="24"/>
    </row>
    <row r="90" spans="1:2" ht="15" customHeight="1" x14ac:dyDescent="0.2">
      <c r="B90" s="24"/>
    </row>
    <row r="91" spans="1:2" ht="15" customHeight="1" x14ac:dyDescent="0.2">
      <c r="A91" s="9" t="s">
        <v>98</v>
      </c>
      <c r="B91" s="24"/>
    </row>
    <row r="92" spans="1:2" ht="15" customHeight="1" x14ac:dyDescent="0.2">
      <c r="B92" s="24"/>
    </row>
    <row r="93" spans="1:2" ht="15" customHeight="1" x14ac:dyDescent="0.2">
      <c r="A93" s="9" t="s">
        <v>2283</v>
      </c>
      <c r="B93" s="24"/>
    </row>
    <row r="94" spans="1:2" ht="15" customHeight="1" x14ac:dyDescent="0.2">
      <c r="B94" s="24"/>
    </row>
    <row r="95" spans="1:2" ht="15" customHeight="1" x14ac:dyDescent="0.2">
      <c r="A95" s="8" t="s">
        <v>2284</v>
      </c>
      <c r="B95" s="24"/>
    </row>
    <row r="96" spans="1:2" ht="15" customHeight="1" x14ac:dyDescent="0.2">
      <c r="A96" s="9" t="s">
        <v>2285</v>
      </c>
      <c r="B96" s="24"/>
    </row>
    <row r="97" spans="1:2" ht="15" customHeight="1" x14ac:dyDescent="0.2">
      <c r="A97" s="9" t="s">
        <v>2286</v>
      </c>
      <c r="B97" s="24"/>
    </row>
    <row r="98" spans="1:2" ht="15" customHeight="1" x14ac:dyDescent="0.2">
      <c r="A98" s="9" t="s">
        <v>2287</v>
      </c>
      <c r="B98" s="24"/>
    </row>
    <row r="99" spans="1:2" ht="15" customHeight="1" x14ac:dyDescent="0.2">
      <c r="A99" s="9" t="s">
        <v>2288</v>
      </c>
      <c r="B99" s="24"/>
    </row>
    <row r="100" spans="1:2" ht="15" customHeight="1" x14ac:dyDescent="0.2">
      <c r="B100" s="24"/>
    </row>
    <row r="101" spans="1:2" ht="15" customHeight="1" x14ac:dyDescent="0.2">
      <c r="A101" s="9" t="s">
        <v>110</v>
      </c>
      <c r="B101" s="24"/>
    </row>
    <row r="102" spans="1:2" ht="15" customHeight="1" x14ac:dyDescent="0.2">
      <c r="B102" s="24"/>
    </row>
    <row r="103" spans="1:2" ht="15" customHeight="1" x14ac:dyDescent="0.2">
      <c r="A103" s="9" t="s">
        <v>2289</v>
      </c>
      <c r="B103" s="24"/>
    </row>
    <row r="104" spans="1:2" ht="15" customHeight="1" x14ac:dyDescent="0.2">
      <c r="B104" s="24"/>
    </row>
    <row r="105" spans="1:2" ht="15" customHeight="1" x14ac:dyDescent="0.2">
      <c r="A105" s="8" t="s">
        <v>2290</v>
      </c>
      <c r="B105" s="24"/>
    </row>
    <row r="106" spans="1:2" ht="15" customHeight="1" x14ac:dyDescent="0.2">
      <c r="A106" s="9" t="s">
        <v>2291</v>
      </c>
      <c r="B106" s="24"/>
    </row>
    <row r="107" spans="1:2" ht="15" customHeight="1" x14ac:dyDescent="0.2">
      <c r="A107" s="9" t="s">
        <v>2292</v>
      </c>
      <c r="B107" s="24"/>
    </row>
    <row r="108" spans="1:2" ht="15" customHeight="1" x14ac:dyDescent="0.2">
      <c r="A108" s="9" t="s">
        <v>2293</v>
      </c>
      <c r="B108" s="24"/>
    </row>
    <row r="109" spans="1:2" ht="15" customHeight="1" x14ac:dyDescent="0.2">
      <c r="A109" s="9" t="s">
        <v>2294</v>
      </c>
      <c r="B109" s="24"/>
    </row>
    <row r="110" spans="1:2" ht="15" customHeight="1" x14ac:dyDescent="0.2">
      <c r="B110" s="24"/>
    </row>
    <row r="111" spans="1:2" ht="15" customHeight="1" x14ac:dyDescent="0.2">
      <c r="A111" s="9" t="s">
        <v>88</v>
      </c>
      <c r="B111" s="24"/>
    </row>
    <row r="112" spans="1:2" ht="15" customHeight="1" x14ac:dyDescent="0.2">
      <c r="B112" s="24"/>
    </row>
    <row r="113" spans="1:2" ht="15" customHeight="1" x14ac:dyDescent="0.2">
      <c r="A113" s="8" t="s">
        <v>2295</v>
      </c>
      <c r="B113" s="24"/>
    </row>
    <row r="114" spans="1:2" ht="15" customHeight="1" x14ac:dyDescent="0.2">
      <c r="A114" s="9" t="s">
        <v>2296</v>
      </c>
      <c r="B114" s="24"/>
    </row>
    <row r="115" spans="1:2" ht="15" customHeight="1" x14ac:dyDescent="0.2">
      <c r="A115" s="9" t="s">
        <v>2297</v>
      </c>
      <c r="B115" s="24"/>
    </row>
    <row r="116" spans="1:2" ht="15" customHeight="1" x14ac:dyDescent="0.2">
      <c r="A116" s="9" t="s">
        <v>2298</v>
      </c>
      <c r="B116" s="24"/>
    </row>
    <row r="117" spans="1:2" ht="15" customHeight="1" x14ac:dyDescent="0.2">
      <c r="A117" s="9" t="s">
        <v>2299</v>
      </c>
      <c r="B117" s="24"/>
    </row>
    <row r="118" spans="1:2" ht="15" customHeight="1" x14ac:dyDescent="0.2">
      <c r="B118" s="24"/>
    </row>
    <row r="119" spans="1:2" ht="15" customHeight="1" x14ac:dyDescent="0.2">
      <c r="A119" s="9" t="s">
        <v>88</v>
      </c>
      <c r="B119" s="24"/>
    </row>
    <row r="120" spans="1:2" ht="15" customHeight="1" x14ac:dyDescent="0.2">
      <c r="B120" s="24"/>
    </row>
    <row r="121" spans="1:2" ht="15" customHeight="1" x14ac:dyDescent="0.2">
      <c r="A121" s="9" t="s">
        <v>2300</v>
      </c>
      <c r="B121" s="24"/>
    </row>
    <row r="122" spans="1:2" ht="15" customHeight="1" x14ac:dyDescent="0.2">
      <c r="B122" s="24"/>
    </row>
    <row r="123" spans="1:2" ht="15" customHeight="1" x14ac:dyDescent="0.25">
      <c r="A123" s="25" t="s">
        <v>3540</v>
      </c>
      <c r="B123" s="2">
        <v>0.2</v>
      </c>
    </row>
    <row r="124" spans="1:2" ht="15" customHeight="1" x14ac:dyDescent="0.2">
      <c r="A124" s="25" t="s">
        <v>83</v>
      </c>
      <c r="B124" s="3">
        <f>3/12</f>
        <v>0.25</v>
      </c>
    </row>
    <row r="125" spans="1:2" ht="15" customHeight="1" x14ac:dyDescent="0.2">
      <c r="B125" s="24"/>
    </row>
    <row r="126" spans="1:2" ht="15" customHeight="1" x14ac:dyDescent="0.25">
      <c r="A126" s="25" t="s">
        <v>3541</v>
      </c>
      <c r="B126" s="2">
        <f>B123*SQRT(B124)</f>
        <v>0.1</v>
      </c>
    </row>
    <row r="127" spans="1:2" ht="15" customHeight="1" x14ac:dyDescent="0.2">
      <c r="B127" s="24"/>
    </row>
    <row r="128" spans="1:2" ht="15" customHeight="1" x14ac:dyDescent="0.2">
      <c r="A128" s="8" t="s">
        <v>2301</v>
      </c>
      <c r="B128" s="24"/>
    </row>
    <row r="129" spans="1:2" ht="15" customHeight="1" x14ac:dyDescent="0.2">
      <c r="A129" s="9" t="s">
        <v>2302</v>
      </c>
      <c r="B129" s="24"/>
    </row>
    <row r="130" spans="1:2" ht="15" customHeight="1" x14ac:dyDescent="0.2">
      <c r="A130" s="9" t="s">
        <v>2303</v>
      </c>
      <c r="B130" s="24"/>
    </row>
    <row r="131" spans="1:2" ht="15" customHeight="1" x14ac:dyDescent="0.2">
      <c r="A131" s="9" t="s">
        <v>2304</v>
      </c>
      <c r="B131" s="24"/>
    </row>
    <row r="132" spans="1:2" ht="15" customHeight="1" x14ac:dyDescent="0.2">
      <c r="A132" s="9" t="s">
        <v>2305</v>
      </c>
      <c r="B132" s="24"/>
    </row>
    <row r="133" spans="1:2" ht="15" customHeight="1" x14ac:dyDescent="0.2">
      <c r="B133" s="24"/>
    </row>
    <row r="134" spans="1:2" ht="15" customHeight="1" x14ac:dyDescent="0.2">
      <c r="A134" s="9" t="s">
        <v>80</v>
      </c>
      <c r="B134" s="24"/>
    </row>
    <row r="135" spans="1:2" ht="15" customHeight="1" x14ac:dyDescent="0.2">
      <c r="B135" s="24"/>
    </row>
    <row r="136" spans="1:2" ht="15" customHeight="1" x14ac:dyDescent="0.2">
      <c r="A136" s="9" t="s">
        <v>2306</v>
      </c>
      <c r="B136" s="24"/>
    </row>
    <row r="137" spans="1:2" ht="15" customHeight="1" x14ac:dyDescent="0.2">
      <c r="B137" s="24"/>
    </row>
    <row r="138" spans="1:2" ht="15" customHeight="1" x14ac:dyDescent="0.2">
      <c r="A138" s="8" t="s">
        <v>2307</v>
      </c>
      <c r="B138" s="24"/>
    </row>
    <row r="139" spans="1:2" ht="15" customHeight="1" x14ac:dyDescent="0.2">
      <c r="A139" s="9" t="s">
        <v>2308</v>
      </c>
      <c r="B139" s="24"/>
    </row>
    <row r="140" spans="1:2" ht="15" customHeight="1" x14ac:dyDescent="0.2">
      <c r="A140" s="9" t="s">
        <v>2309</v>
      </c>
      <c r="B140" s="24"/>
    </row>
    <row r="141" spans="1:2" ht="15" customHeight="1" x14ac:dyDescent="0.2">
      <c r="A141" s="9" t="s">
        <v>2310</v>
      </c>
      <c r="B141" s="24"/>
    </row>
    <row r="142" spans="1:2" ht="15" customHeight="1" x14ac:dyDescent="0.2">
      <c r="A142" s="9" t="s">
        <v>2311</v>
      </c>
      <c r="B142" s="24"/>
    </row>
    <row r="143" spans="1:2" ht="15" customHeight="1" x14ac:dyDescent="0.2">
      <c r="B143" s="24"/>
    </row>
    <row r="144" spans="1:2" ht="15" customHeight="1" x14ac:dyDescent="0.2">
      <c r="A144" s="9" t="s">
        <v>98</v>
      </c>
      <c r="B144" s="24"/>
    </row>
    <row r="145" spans="1:2" ht="15" customHeight="1" x14ac:dyDescent="0.2">
      <c r="B145" s="24"/>
    </row>
    <row r="146" spans="1:2" ht="15" customHeight="1" x14ac:dyDescent="0.2">
      <c r="A146" s="9" t="s">
        <v>2312</v>
      </c>
      <c r="B146" s="24"/>
    </row>
    <row r="147" spans="1:2" ht="15" customHeight="1" x14ac:dyDescent="0.2">
      <c r="A147" s="9" t="s">
        <v>2313</v>
      </c>
      <c r="B147" s="24"/>
    </row>
    <row r="148" spans="1:2" ht="15" customHeight="1" x14ac:dyDescent="0.2">
      <c r="B148" s="24"/>
    </row>
    <row r="149" spans="1:2" ht="15" customHeight="1" x14ac:dyDescent="0.2">
      <c r="A149" s="8" t="s">
        <v>2314</v>
      </c>
      <c r="B149" s="24"/>
    </row>
    <row r="150" spans="1:2" ht="15" customHeight="1" x14ac:dyDescent="0.2">
      <c r="A150" s="9" t="s">
        <v>2315</v>
      </c>
      <c r="B150" s="24"/>
    </row>
    <row r="151" spans="1:2" ht="15" customHeight="1" x14ac:dyDescent="0.2">
      <c r="A151" s="9" t="s">
        <v>2316</v>
      </c>
      <c r="B151" s="24"/>
    </row>
    <row r="152" spans="1:2" ht="15" customHeight="1" x14ac:dyDescent="0.2">
      <c r="A152" s="9" t="s">
        <v>3265</v>
      </c>
      <c r="B152" s="24"/>
    </row>
    <row r="153" spans="1:2" ht="15" customHeight="1" x14ac:dyDescent="0.2">
      <c r="A153" s="9" t="s">
        <v>2317</v>
      </c>
      <c r="B153" s="24"/>
    </row>
    <row r="154" spans="1:2" ht="15" customHeight="1" x14ac:dyDescent="0.2">
      <c r="B154" s="24"/>
    </row>
    <row r="155" spans="1:2" ht="15" customHeight="1" x14ac:dyDescent="0.2">
      <c r="A155" s="9" t="s">
        <v>110</v>
      </c>
      <c r="B155" s="24"/>
    </row>
    <row r="156" spans="1:2" ht="15" customHeight="1" x14ac:dyDescent="0.2">
      <c r="B156" s="24"/>
    </row>
    <row r="157" spans="1:2" ht="15" customHeight="1" x14ac:dyDescent="0.2">
      <c r="A157" s="9" t="s">
        <v>2318</v>
      </c>
      <c r="B157" s="24"/>
    </row>
    <row r="158" spans="1:2" ht="15" customHeight="1" x14ac:dyDescent="0.2">
      <c r="B158" s="24"/>
    </row>
    <row r="159" spans="1:2" ht="15" customHeight="1" x14ac:dyDescent="0.2">
      <c r="A159" s="8" t="s">
        <v>3117</v>
      </c>
      <c r="B159" s="24"/>
    </row>
    <row r="160" spans="1:2" ht="15" customHeight="1" x14ac:dyDescent="0.2">
      <c r="A160" s="9" t="s">
        <v>3118</v>
      </c>
      <c r="B160" s="24"/>
    </row>
    <row r="161" spans="1:2" ht="15" customHeight="1" x14ac:dyDescent="0.2">
      <c r="A161" s="9" t="s">
        <v>3119</v>
      </c>
      <c r="B161" s="24"/>
    </row>
    <row r="162" spans="1:2" ht="15" customHeight="1" x14ac:dyDescent="0.2">
      <c r="A162" s="9" t="s">
        <v>3120</v>
      </c>
      <c r="B162" s="24"/>
    </row>
    <row r="163" spans="1:2" ht="15" customHeight="1" x14ac:dyDescent="0.2">
      <c r="A163" s="9" t="s">
        <v>3121</v>
      </c>
      <c r="B163" s="24"/>
    </row>
    <row r="164" spans="1:2" ht="15" customHeight="1" x14ac:dyDescent="0.2">
      <c r="B164" s="24"/>
    </row>
    <row r="165" spans="1:2" ht="15" customHeight="1" x14ac:dyDescent="0.2">
      <c r="A165" s="9" t="s">
        <v>88</v>
      </c>
      <c r="B165" s="24"/>
    </row>
    <row r="166" spans="1:2" ht="15" customHeight="1" x14ac:dyDescent="0.2">
      <c r="B166" s="24"/>
    </row>
    <row r="167" spans="1:2" ht="15" customHeight="1" x14ac:dyDescent="0.2">
      <c r="A167" s="9" t="s">
        <v>3122</v>
      </c>
      <c r="B167" s="24"/>
    </row>
    <row r="168" spans="1:2" ht="15" customHeight="1" x14ac:dyDescent="0.2">
      <c r="B168" s="24"/>
    </row>
    <row r="169" spans="1:2" ht="15" customHeight="1" x14ac:dyDescent="0.25">
      <c r="A169" s="8" t="s">
        <v>3542</v>
      </c>
      <c r="B169" s="24"/>
    </row>
    <row r="170" spans="1:2" ht="15" customHeight="1" x14ac:dyDescent="0.2">
      <c r="A170" s="9" t="s">
        <v>2319</v>
      </c>
    </row>
    <row r="171" spans="1:2" ht="15" customHeight="1" x14ac:dyDescent="0.2">
      <c r="A171" s="9" t="s">
        <v>2320</v>
      </c>
    </row>
    <row r="172" spans="1:2" ht="15" customHeight="1" x14ac:dyDescent="0.2">
      <c r="A172" s="9" t="s">
        <v>2321</v>
      </c>
    </row>
    <row r="173" spans="1:2" ht="15" customHeight="1" x14ac:dyDescent="0.2">
      <c r="A173" s="9" t="s">
        <v>2322</v>
      </c>
    </row>
    <row r="175" spans="1:2" ht="15" customHeight="1" x14ac:dyDescent="0.2">
      <c r="A175" s="9" t="s">
        <v>98</v>
      </c>
    </row>
    <row r="177" spans="1:2" ht="15" customHeight="1" x14ac:dyDescent="0.2">
      <c r="A177" s="9" t="s">
        <v>3543</v>
      </c>
    </row>
    <row r="179" spans="1:2" ht="15" customHeight="1" x14ac:dyDescent="0.2">
      <c r="A179" s="25" t="s">
        <v>2130</v>
      </c>
      <c r="B179" s="9">
        <v>1.9999999999999999E-6</v>
      </c>
    </row>
    <row r="180" spans="1:2" ht="15" customHeight="1" x14ac:dyDescent="0.2">
      <c r="A180" s="25" t="s">
        <v>127</v>
      </c>
      <c r="B180" s="9">
        <v>0.04</v>
      </c>
    </row>
    <row r="181" spans="1:2" ht="15" customHeight="1" x14ac:dyDescent="0.2">
      <c r="A181" s="25" t="s">
        <v>1700</v>
      </c>
      <c r="B181" s="9">
        <v>0.95</v>
      </c>
    </row>
    <row r="182" spans="1:2" ht="15" customHeight="1" x14ac:dyDescent="0.2">
      <c r="A182" s="25" t="s">
        <v>190</v>
      </c>
      <c r="B182" s="21">
        <v>0.01</v>
      </c>
    </row>
    <row r="183" spans="1:2" ht="15" customHeight="1" x14ac:dyDescent="0.2">
      <c r="A183" s="25" t="s">
        <v>55</v>
      </c>
      <c r="B183" s="21">
        <v>0.02</v>
      </c>
    </row>
    <row r="185" spans="1:2" ht="15" customHeight="1" x14ac:dyDescent="0.2">
      <c r="A185" s="25" t="s">
        <v>3544</v>
      </c>
      <c r="B185" s="9">
        <f>B179+B180*B183^2+B181*B182^2</f>
        <v>1.1300000000000001E-4</v>
      </c>
    </row>
    <row r="186" spans="1:2" ht="15" customHeight="1" x14ac:dyDescent="0.2">
      <c r="A186" s="25" t="s">
        <v>190</v>
      </c>
      <c r="B186" s="1">
        <f>SQRT(B185)</f>
        <v>1.0630145812734649E-2</v>
      </c>
    </row>
    <row r="188" spans="1:2" ht="15" customHeight="1" x14ac:dyDescent="0.25">
      <c r="A188" s="8" t="s">
        <v>3545</v>
      </c>
    </row>
    <row r="189" spans="1:2" ht="15" customHeight="1" x14ac:dyDescent="0.2">
      <c r="A189" s="9" t="s">
        <v>2323</v>
      </c>
    </row>
    <row r="190" spans="1:2" ht="15" customHeight="1" x14ac:dyDescent="0.2">
      <c r="A190" s="9" t="s">
        <v>2324</v>
      </c>
    </row>
    <row r="191" spans="1:2" ht="15" customHeight="1" x14ac:dyDescent="0.2">
      <c r="A191" s="9" t="s">
        <v>2325</v>
      </c>
    </row>
    <row r="192" spans="1:2" ht="15" customHeight="1" x14ac:dyDescent="0.2">
      <c r="A192" s="9" t="s">
        <v>2326</v>
      </c>
    </row>
    <row r="194" spans="1:2" ht="15" customHeight="1" x14ac:dyDescent="0.2">
      <c r="A194" s="9" t="s">
        <v>110</v>
      </c>
    </row>
    <row r="196" spans="1:2" ht="15" customHeight="1" x14ac:dyDescent="0.2">
      <c r="A196" s="9" t="s">
        <v>2327</v>
      </c>
    </row>
    <row r="198" spans="1:2" ht="15" customHeight="1" x14ac:dyDescent="0.2">
      <c r="A198" s="25" t="s">
        <v>2130</v>
      </c>
      <c r="B198" s="9">
        <v>1.9999999999999999E-6</v>
      </c>
    </row>
    <row r="199" spans="1:2" ht="15" customHeight="1" x14ac:dyDescent="0.2">
      <c r="A199" s="25" t="s">
        <v>127</v>
      </c>
      <c r="B199" s="9">
        <v>0.04</v>
      </c>
    </row>
    <row r="200" spans="1:2" ht="15" customHeight="1" x14ac:dyDescent="0.2">
      <c r="A200" s="25" t="s">
        <v>1700</v>
      </c>
      <c r="B200" s="9">
        <v>0.95</v>
      </c>
    </row>
    <row r="202" spans="1:2" ht="15" customHeight="1" x14ac:dyDescent="0.25">
      <c r="A202" s="25" t="s">
        <v>3546</v>
      </c>
      <c r="B202" s="9">
        <f>B198/(1-B199-B200)</f>
        <v>1.9999999999999982E-4</v>
      </c>
    </row>
    <row r="203" spans="1:2" ht="15" customHeight="1" x14ac:dyDescent="0.25">
      <c r="A203" s="25" t="s">
        <v>3547</v>
      </c>
      <c r="B203" s="4">
        <f>SQRT(B202)</f>
        <v>1.4142135623730944E-2</v>
      </c>
    </row>
    <row r="205" spans="1:2" ht="15" customHeight="1" x14ac:dyDescent="0.25">
      <c r="A205" s="8" t="s">
        <v>3548</v>
      </c>
    </row>
    <row r="206" spans="1:2" ht="15" customHeight="1" x14ac:dyDescent="0.2">
      <c r="A206" s="9" t="s">
        <v>2328</v>
      </c>
    </row>
    <row r="207" spans="1:2" ht="15" customHeight="1" x14ac:dyDescent="0.2">
      <c r="A207" s="9" t="s">
        <v>2329</v>
      </c>
    </row>
    <row r="208" spans="1:2" ht="15" customHeight="1" x14ac:dyDescent="0.2">
      <c r="A208" s="9" t="s">
        <v>2330</v>
      </c>
    </row>
    <row r="209" spans="1:2" ht="15" customHeight="1" x14ac:dyDescent="0.2">
      <c r="A209" s="9" t="s">
        <v>2331</v>
      </c>
    </row>
    <row r="211" spans="1:2" ht="15" customHeight="1" x14ac:dyDescent="0.2">
      <c r="A211" s="9" t="s">
        <v>80</v>
      </c>
    </row>
    <row r="213" spans="1:2" ht="15" customHeight="1" x14ac:dyDescent="0.2">
      <c r="A213" s="9" t="s">
        <v>3549</v>
      </c>
    </row>
    <row r="215" spans="1:2" ht="15" customHeight="1" x14ac:dyDescent="0.2">
      <c r="A215" s="25" t="s">
        <v>2130</v>
      </c>
      <c r="B215" s="9">
        <v>1.9999999999999999E-6</v>
      </c>
    </row>
    <row r="216" spans="1:2" ht="15" customHeight="1" x14ac:dyDescent="0.2">
      <c r="A216" s="25" t="s">
        <v>127</v>
      </c>
      <c r="B216" s="9">
        <v>0.04</v>
      </c>
    </row>
    <row r="217" spans="1:2" ht="15" customHeight="1" x14ac:dyDescent="0.2">
      <c r="A217" s="25" t="s">
        <v>1700</v>
      </c>
      <c r="B217" s="9">
        <v>0.95</v>
      </c>
    </row>
    <row r="218" spans="1:2" ht="15" customHeight="1" x14ac:dyDescent="0.2">
      <c r="A218" s="25" t="s">
        <v>178</v>
      </c>
      <c r="B218" s="9">
        <v>20</v>
      </c>
    </row>
    <row r="219" spans="1:2" ht="15" customHeight="1" x14ac:dyDescent="0.2">
      <c r="A219" s="25" t="s">
        <v>190</v>
      </c>
      <c r="B219" s="21">
        <v>0.01</v>
      </c>
    </row>
    <row r="221" spans="1:2" ht="15" customHeight="1" x14ac:dyDescent="0.25">
      <c r="A221" s="25" t="s">
        <v>3546</v>
      </c>
      <c r="B221" s="9">
        <f>B215/(1-B216-B217)</f>
        <v>1.9999999999999982E-4</v>
      </c>
    </row>
    <row r="222" spans="1:2" ht="15" customHeight="1" x14ac:dyDescent="0.25">
      <c r="A222" s="25" t="s">
        <v>3550</v>
      </c>
      <c r="B222" s="9">
        <f>B221+(B216+B217)^B218*(B219^2-B221)</f>
        <v>1.182093062402769E-4</v>
      </c>
    </row>
    <row r="223" spans="1:2" ht="15" customHeight="1" x14ac:dyDescent="0.25">
      <c r="A223" s="25" t="s">
        <v>3551</v>
      </c>
      <c r="B223" s="1">
        <f>SQRT(B222)</f>
        <v>1.0872410323395493E-2</v>
      </c>
    </row>
    <row r="225" spans="1:1" ht="15" customHeight="1" x14ac:dyDescent="0.2">
      <c r="A225" s="8" t="s">
        <v>2332</v>
      </c>
    </row>
    <row r="226" spans="1:1" ht="15" customHeight="1" x14ac:dyDescent="0.2">
      <c r="A226" s="9" t="s">
        <v>2333</v>
      </c>
    </row>
    <row r="227" spans="1:1" ht="15" customHeight="1" x14ac:dyDescent="0.2">
      <c r="A227" s="9" t="s">
        <v>2334</v>
      </c>
    </row>
    <row r="228" spans="1:1" ht="15" customHeight="1" x14ac:dyDescent="0.2">
      <c r="A228" s="9" t="s">
        <v>2335</v>
      </c>
    </row>
    <row r="229" spans="1:1" ht="15" customHeight="1" x14ac:dyDescent="0.2">
      <c r="A229" s="9" t="s">
        <v>2336</v>
      </c>
    </row>
    <row r="231" spans="1:1" ht="15" customHeight="1" x14ac:dyDescent="0.2">
      <c r="A231" s="9" t="s">
        <v>80</v>
      </c>
    </row>
    <row r="233" spans="1:1" ht="15" customHeight="1" x14ac:dyDescent="0.2">
      <c r="A233" s="9" t="s">
        <v>3320</v>
      </c>
    </row>
    <row r="235" spans="1:1" ht="15" customHeight="1" x14ac:dyDescent="0.25">
      <c r="A235" s="8" t="s">
        <v>3552</v>
      </c>
    </row>
    <row r="236" spans="1:1" ht="15" customHeight="1" x14ac:dyDescent="0.2">
      <c r="A236" s="9" t="s">
        <v>2337</v>
      </c>
    </row>
    <row r="237" spans="1:1" ht="15" customHeight="1" x14ac:dyDescent="0.2">
      <c r="A237" s="9" t="s">
        <v>2338</v>
      </c>
    </row>
    <row r="238" spans="1:1" ht="15" customHeight="1" x14ac:dyDescent="0.2">
      <c r="A238" s="9" t="s">
        <v>2339</v>
      </c>
    </row>
    <row r="239" spans="1:1" ht="15" customHeight="1" x14ac:dyDescent="0.2">
      <c r="A239" s="9" t="s">
        <v>2340</v>
      </c>
    </row>
    <row r="241" spans="1:2" ht="15" customHeight="1" x14ac:dyDescent="0.2">
      <c r="A241" s="9" t="s">
        <v>88</v>
      </c>
    </row>
    <row r="243" spans="1:2" ht="15" customHeight="1" x14ac:dyDescent="0.25">
      <c r="A243" s="9" t="s">
        <v>3553</v>
      </c>
    </row>
    <row r="245" spans="1:2" ht="15" customHeight="1" x14ac:dyDescent="0.2">
      <c r="A245" s="25" t="s">
        <v>2130</v>
      </c>
      <c r="B245" s="9">
        <v>1.9999999999999999E-6</v>
      </c>
    </row>
    <row r="246" spans="1:2" ht="15" customHeight="1" x14ac:dyDescent="0.2">
      <c r="A246" s="25" t="s">
        <v>127</v>
      </c>
      <c r="B246" s="9">
        <v>0.04</v>
      </c>
    </row>
    <row r="247" spans="1:2" ht="15" customHeight="1" x14ac:dyDescent="0.2">
      <c r="A247" s="25" t="s">
        <v>1700</v>
      </c>
      <c r="B247" s="9">
        <v>0.95</v>
      </c>
    </row>
    <row r="249" spans="1:2" ht="15" customHeight="1" x14ac:dyDescent="0.2">
      <c r="A249" s="9" t="s">
        <v>3554</v>
      </c>
      <c r="B249" s="4">
        <f>1-B246-B247</f>
        <v>1.0000000000000009E-2</v>
      </c>
    </row>
    <row r="251" spans="1:2" ht="15" customHeight="1" x14ac:dyDescent="0.2">
      <c r="A251" s="8" t="s">
        <v>2341</v>
      </c>
    </row>
    <row r="252" spans="1:2" ht="15" customHeight="1" x14ac:dyDescent="0.2">
      <c r="A252" s="9" t="s">
        <v>2342</v>
      </c>
    </row>
    <row r="253" spans="1:2" ht="15" customHeight="1" x14ac:dyDescent="0.2">
      <c r="A253" s="9" t="s">
        <v>2343</v>
      </c>
    </row>
    <row r="254" spans="1:2" ht="15" customHeight="1" x14ac:dyDescent="0.2">
      <c r="A254" s="9" t="s">
        <v>2344</v>
      </c>
    </row>
    <row r="255" spans="1:2" ht="15" customHeight="1" x14ac:dyDescent="0.2">
      <c r="A255" s="9" t="s">
        <v>2345</v>
      </c>
    </row>
    <row r="257" spans="1:1" ht="15" customHeight="1" x14ac:dyDescent="0.2">
      <c r="A257" s="9" t="s">
        <v>80</v>
      </c>
    </row>
    <row r="259" spans="1:1" ht="15" customHeight="1" x14ac:dyDescent="0.25">
      <c r="A259" s="9" t="s">
        <v>3555</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6878"/>
    <pageSetUpPr fitToPage="1"/>
  </sheetPr>
  <dimension ref="A1:P238"/>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 width="9.140625" style="9"/>
    <col min="2" max="2" width="9.5703125" style="9" customWidth="1"/>
    <col min="3" max="7" width="9.140625" style="9"/>
    <col min="8" max="8" width="10" style="9" customWidth="1"/>
    <col min="9" max="16384" width="9.140625" style="9"/>
  </cols>
  <sheetData>
    <row r="1" spans="1:16" ht="15" customHeight="1" x14ac:dyDescent="0.2">
      <c r="A1" s="75" t="s">
        <v>1017</v>
      </c>
      <c r="B1" s="76"/>
      <c r="C1" s="76"/>
      <c r="D1" s="76"/>
      <c r="E1" s="76"/>
      <c r="F1" s="76"/>
      <c r="G1" s="76"/>
      <c r="H1" s="76"/>
      <c r="I1" s="76"/>
      <c r="J1" s="76"/>
      <c r="K1" s="76"/>
      <c r="L1" s="76"/>
      <c r="M1" s="76"/>
      <c r="N1" s="76"/>
      <c r="O1" s="76"/>
      <c r="P1" s="76"/>
    </row>
    <row r="3" spans="1:16" ht="15" customHeight="1" x14ac:dyDescent="0.2">
      <c r="A3" s="8" t="s">
        <v>2346</v>
      </c>
    </row>
    <row r="4" spans="1:16" ht="15" customHeight="1" x14ac:dyDescent="0.2">
      <c r="A4" s="8" t="s">
        <v>2347</v>
      </c>
      <c r="B4" s="27"/>
    </row>
    <row r="5" spans="1:16" ht="15" customHeight="1" x14ac:dyDescent="0.2">
      <c r="A5" s="9" t="s">
        <v>2348</v>
      </c>
      <c r="B5" s="27"/>
    </row>
    <row r="6" spans="1:16" ht="15" customHeight="1" x14ac:dyDescent="0.2">
      <c r="A6" s="9" t="s">
        <v>2349</v>
      </c>
      <c r="B6" s="27"/>
    </row>
    <row r="7" spans="1:16" ht="15" customHeight="1" x14ac:dyDescent="0.2">
      <c r="A7" s="9" t="s">
        <v>2350</v>
      </c>
      <c r="B7" s="27"/>
    </row>
    <row r="8" spans="1:16" ht="15" customHeight="1" x14ac:dyDescent="0.2">
      <c r="A8" s="9" t="s">
        <v>2351</v>
      </c>
      <c r="B8" s="27"/>
    </row>
    <row r="9" spans="1:16" ht="15" customHeight="1" x14ac:dyDescent="0.2">
      <c r="B9" s="27"/>
    </row>
    <row r="10" spans="1:16" ht="15" customHeight="1" x14ac:dyDescent="0.2">
      <c r="A10" s="9" t="s">
        <v>88</v>
      </c>
      <c r="B10" s="27"/>
    </row>
    <row r="11" spans="1:16" ht="15" customHeight="1" x14ac:dyDescent="0.2">
      <c r="B11" s="27"/>
    </row>
    <row r="12" spans="1:16" ht="15" customHeight="1" x14ac:dyDescent="0.2">
      <c r="A12" s="9" t="s">
        <v>2352</v>
      </c>
      <c r="B12" s="27"/>
    </row>
    <row r="13" spans="1:16" ht="15" customHeight="1" x14ac:dyDescent="0.2">
      <c r="A13" s="9" t="s">
        <v>3416</v>
      </c>
      <c r="B13" s="27"/>
    </row>
    <row r="14" spans="1:16" ht="15" customHeight="1" x14ac:dyDescent="0.2">
      <c r="B14" s="27"/>
    </row>
    <row r="15" spans="1:16" ht="15" customHeight="1" x14ac:dyDescent="0.25">
      <c r="A15" s="25" t="s">
        <v>3476</v>
      </c>
      <c r="B15" s="20">
        <v>0.03</v>
      </c>
      <c r="D15" s="25" t="s">
        <v>3477</v>
      </c>
      <c r="E15" s="20">
        <f>B15</f>
        <v>0.03</v>
      </c>
      <c r="G15" s="25" t="s">
        <v>3478</v>
      </c>
      <c r="H15" s="20">
        <f>1-B15</f>
        <v>0.97</v>
      </c>
      <c r="J15" s="25" t="s">
        <v>3479</v>
      </c>
      <c r="K15" s="20">
        <f>B15</f>
        <v>0.03</v>
      </c>
    </row>
    <row r="16" spans="1:16" ht="15" customHeight="1" x14ac:dyDescent="0.25">
      <c r="A16" s="25" t="s">
        <v>3480</v>
      </c>
      <c r="B16" s="20">
        <v>6.5000000000000002E-2</v>
      </c>
      <c r="D16" s="25" t="s">
        <v>3481</v>
      </c>
      <c r="E16" s="20">
        <f>B16-B15</f>
        <v>3.5000000000000003E-2</v>
      </c>
      <c r="G16" s="25" t="s">
        <v>3482</v>
      </c>
      <c r="H16" s="20">
        <f>1-B16</f>
        <v>0.93500000000000005</v>
      </c>
      <c r="J16" s="25" t="s">
        <v>3483</v>
      </c>
      <c r="K16" s="20">
        <f>E16/H15</f>
        <v>3.6082474226804127E-2</v>
      </c>
    </row>
    <row r="17" spans="1:11" ht="15" customHeight="1" x14ac:dyDescent="0.25">
      <c r="A17" s="25" t="s">
        <v>3484</v>
      </c>
      <c r="B17" s="20">
        <v>0.1</v>
      </c>
      <c r="D17" s="25" t="s">
        <v>3485</v>
      </c>
      <c r="E17" s="20">
        <f>B17-B16</f>
        <v>3.5000000000000003E-2</v>
      </c>
      <c r="G17" s="25" t="s">
        <v>3486</v>
      </c>
      <c r="H17" s="28">
        <f>1-B17</f>
        <v>0.9</v>
      </c>
      <c r="J17" s="25" t="s">
        <v>3487</v>
      </c>
      <c r="K17" s="20">
        <f>E17/H16</f>
        <v>3.7433155080213908E-2</v>
      </c>
    </row>
    <row r="18" spans="1:11" ht="15" customHeight="1" x14ac:dyDescent="0.25">
      <c r="A18" s="25" t="s">
        <v>3488</v>
      </c>
      <c r="B18" s="20">
        <v>0.14499999999999999</v>
      </c>
      <c r="D18" s="25" t="s">
        <v>3489</v>
      </c>
      <c r="E18" s="28">
        <f>B18-B17</f>
        <v>4.4999999999999984E-2</v>
      </c>
      <c r="G18" s="25" t="s">
        <v>3490</v>
      </c>
      <c r="H18" s="20">
        <f>1-B18</f>
        <v>0.85499999999999998</v>
      </c>
      <c r="J18" s="25" t="s">
        <v>3491</v>
      </c>
      <c r="K18" s="28">
        <f>E18/H17</f>
        <v>4.9999999999999982E-2</v>
      </c>
    </row>
    <row r="20" spans="1:11" ht="15" customHeight="1" x14ac:dyDescent="0.2">
      <c r="A20" s="8" t="s">
        <v>2354</v>
      </c>
    </row>
    <row r="21" spans="1:11" ht="15" customHeight="1" x14ac:dyDescent="0.2">
      <c r="A21" s="26" t="s">
        <v>49</v>
      </c>
      <c r="B21" s="26"/>
    </row>
    <row r="22" spans="1:11" ht="15" customHeight="1" x14ac:dyDescent="0.2">
      <c r="A22" s="26" t="s">
        <v>50</v>
      </c>
      <c r="B22" s="26"/>
    </row>
    <row r="23" spans="1:11" ht="15" customHeight="1" x14ac:dyDescent="0.2">
      <c r="A23" s="26" t="s">
        <v>51</v>
      </c>
      <c r="B23" s="26"/>
    </row>
    <row r="24" spans="1:11" ht="15" customHeight="1" x14ac:dyDescent="0.2">
      <c r="A24" s="26" t="s">
        <v>52</v>
      </c>
      <c r="B24" s="26"/>
    </row>
    <row r="26" spans="1:11" ht="15" customHeight="1" x14ac:dyDescent="0.2">
      <c r="A26" s="9" t="s">
        <v>80</v>
      </c>
    </row>
    <row r="28" spans="1:11" ht="15" customHeight="1" x14ac:dyDescent="0.2">
      <c r="A28" s="9" t="s">
        <v>2355</v>
      </c>
    </row>
    <row r="29" spans="1:11" ht="15" customHeight="1" x14ac:dyDescent="0.2">
      <c r="A29" s="9" t="s">
        <v>2356</v>
      </c>
    </row>
    <row r="31" spans="1:11" ht="15" customHeight="1" x14ac:dyDescent="0.2">
      <c r="A31" s="8" t="s">
        <v>2357</v>
      </c>
    </row>
    <row r="32" spans="1:11" ht="15" customHeight="1" x14ac:dyDescent="0.2">
      <c r="A32" s="26" t="s">
        <v>129</v>
      </c>
      <c r="B32" s="26"/>
    </row>
    <row r="33" spans="1:2" ht="15" customHeight="1" x14ac:dyDescent="0.2">
      <c r="A33" s="26" t="s">
        <v>130</v>
      </c>
      <c r="B33" s="26"/>
    </row>
    <row r="34" spans="1:2" ht="15" customHeight="1" x14ac:dyDescent="0.2">
      <c r="A34" s="26" t="s">
        <v>131</v>
      </c>
      <c r="B34" s="26"/>
    </row>
    <row r="35" spans="1:2" ht="15" customHeight="1" x14ac:dyDescent="0.2">
      <c r="A35" s="26" t="s">
        <v>3492</v>
      </c>
      <c r="B35" s="26"/>
    </row>
    <row r="37" spans="1:2" ht="15" customHeight="1" x14ac:dyDescent="0.2">
      <c r="A37" s="9" t="s">
        <v>88</v>
      </c>
    </row>
    <row r="39" spans="1:2" ht="15" customHeight="1" x14ac:dyDescent="0.2">
      <c r="A39" s="9" t="s">
        <v>2358</v>
      </c>
    </row>
    <row r="41" spans="1:2" ht="15" customHeight="1" x14ac:dyDescent="0.2">
      <c r="A41" s="8" t="s">
        <v>2359</v>
      </c>
    </row>
    <row r="42" spans="1:2" ht="15" customHeight="1" x14ac:dyDescent="0.2">
      <c r="A42" s="9" t="s">
        <v>2360</v>
      </c>
    </row>
    <row r="43" spans="1:2" ht="15" customHeight="1" x14ac:dyDescent="0.2">
      <c r="A43" s="9" t="s">
        <v>2361</v>
      </c>
    </row>
    <row r="44" spans="1:2" ht="15" customHeight="1" x14ac:dyDescent="0.2">
      <c r="A44" s="9" t="s">
        <v>2362</v>
      </c>
    </row>
    <row r="45" spans="1:2" ht="15" customHeight="1" x14ac:dyDescent="0.2">
      <c r="A45" s="9" t="s">
        <v>2363</v>
      </c>
    </row>
    <row r="47" spans="1:2" ht="15" customHeight="1" x14ac:dyDescent="0.2">
      <c r="A47" s="9" t="s">
        <v>98</v>
      </c>
    </row>
    <row r="49" spans="1:2" ht="15" customHeight="1" x14ac:dyDescent="0.2">
      <c r="A49" s="9" t="s">
        <v>3493</v>
      </c>
    </row>
    <row r="51" spans="1:2" ht="15" customHeight="1" x14ac:dyDescent="0.2">
      <c r="A51" s="25" t="s">
        <v>2364</v>
      </c>
      <c r="B51" s="21">
        <v>0.01</v>
      </c>
    </row>
    <row r="52" spans="1:2" ht="15" customHeight="1" x14ac:dyDescent="0.2">
      <c r="A52" s="25" t="s">
        <v>83</v>
      </c>
      <c r="B52" s="9">
        <v>2</v>
      </c>
    </row>
    <row r="54" spans="1:2" ht="15" customHeight="1" x14ac:dyDescent="0.2">
      <c r="A54" s="9" t="s">
        <v>3494</v>
      </c>
      <c r="B54" s="1">
        <f>EXP(-B51*B52)</f>
        <v>0.98019867330675525</v>
      </c>
    </row>
    <row r="55" spans="1:2" ht="15" customHeight="1" x14ac:dyDescent="0.2">
      <c r="A55" s="9" t="s">
        <v>3495</v>
      </c>
      <c r="B55" s="14">
        <f>1-B54</f>
        <v>1.9801326693244747E-2</v>
      </c>
    </row>
    <row r="57" spans="1:2" ht="15" customHeight="1" x14ac:dyDescent="0.2">
      <c r="A57" s="8" t="s">
        <v>2370</v>
      </c>
    </row>
    <row r="58" spans="1:2" ht="15" customHeight="1" x14ac:dyDescent="0.2">
      <c r="A58" s="9" t="s">
        <v>2365</v>
      </c>
    </row>
    <row r="59" spans="1:2" ht="15" customHeight="1" x14ac:dyDescent="0.2">
      <c r="A59" s="9" t="s">
        <v>2366</v>
      </c>
    </row>
    <row r="60" spans="1:2" ht="15" customHeight="1" x14ac:dyDescent="0.2">
      <c r="A60" s="9" t="s">
        <v>2367</v>
      </c>
    </row>
    <row r="61" spans="1:2" ht="15" customHeight="1" x14ac:dyDescent="0.2">
      <c r="A61" s="9" t="s">
        <v>2368</v>
      </c>
    </row>
    <row r="63" spans="1:2" ht="15" customHeight="1" x14ac:dyDescent="0.2">
      <c r="A63" s="9" t="s">
        <v>98</v>
      </c>
    </row>
    <row r="65" spans="1:1" ht="15" customHeight="1" x14ac:dyDescent="0.2">
      <c r="A65" s="9" t="s">
        <v>2369</v>
      </c>
    </row>
    <row r="67" spans="1:1" ht="15" customHeight="1" x14ac:dyDescent="0.2">
      <c r="A67" s="8" t="s">
        <v>2371</v>
      </c>
    </row>
    <row r="68" spans="1:1" ht="15" customHeight="1" x14ac:dyDescent="0.2">
      <c r="A68" s="9" t="s">
        <v>2372</v>
      </c>
    </row>
    <row r="69" spans="1:1" ht="15" customHeight="1" x14ac:dyDescent="0.2">
      <c r="A69" s="9" t="s">
        <v>2373</v>
      </c>
    </row>
    <row r="70" spans="1:1" ht="15" customHeight="1" x14ac:dyDescent="0.2">
      <c r="A70" s="9" t="s">
        <v>2374</v>
      </c>
    </row>
    <row r="71" spans="1:1" ht="15" customHeight="1" x14ac:dyDescent="0.2">
      <c r="A71" s="9" t="s">
        <v>2375</v>
      </c>
    </row>
    <row r="73" spans="1:1" ht="15" customHeight="1" x14ac:dyDescent="0.2">
      <c r="A73" s="9" t="s">
        <v>80</v>
      </c>
    </row>
    <row r="75" spans="1:1" ht="15" customHeight="1" x14ac:dyDescent="0.2">
      <c r="A75" s="9" t="s">
        <v>2376</v>
      </c>
    </row>
    <row r="76" spans="1:1" ht="15" customHeight="1" x14ac:dyDescent="0.2">
      <c r="A76" s="9" t="s">
        <v>2377</v>
      </c>
    </row>
    <row r="78" spans="1:1" ht="15" customHeight="1" x14ac:dyDescent="0.2">
      <c r="A78" s="8" t="s">
        <v>2378</v>
      </c>
    </row>
    <row r="79" spans="1:1" ht="15" customHeight="1" x14ac:dyDescent="0.2">
      <c r="A79" s="9" t="s">
        <v>2379</v>
      </c>
    </row>
    <row r="80" spans="1:1" ht="15" customHeight="1" x14ac:dyDescent="0.2">
      <c r="A80" s="9" t="s">
        <v>2324</v>
      </c>
    </row>
    <row r="81" spans="1:2" ht="15" customHeight="1" x14ac:dyDescent="0.2">
      <c r="A81" s="9" t="s">
        <v>2380</v>
      </c>
    </row>
    <row r="82" spans="1:2" ht="15" customHeight="1" x14ac:dyDescent="0.2">
      <c r="A82" s="9" t="s">
        <v>2381</v>
      </c>
    </row>
    <row r="84" spans="1:2" ht="15" customHeight="1" x14ac:dyDescent="0.2">
      <c r="A84" s="9" t="s">
        <v>110</v>
      </c>
    </row>
    <row r="86" spans="1:2" ht="15" customHeight="1" x14ac:dyDescent="0.2">
      <c r="A86" s="9" t="s">
        <v>3496</v>
      </c>
    </row>
    <row r="88" spans="1:2" ht="15" customHeight="1" x14ac:dyDescent="0.2">
      <c r="A88" s="25" t="s">
        <v>2382</v>
      </c>
      <c r="B88" s="21">
        <v>0.02</v>
      </c>
    </row>
    <row r="89" spans="1:2" ht="15" customHeight="1" x14ac:dyDescent="0.2">
      <c r="A89" s="25" t="s">
        <v>2383</v>
      </c>
      <c r="B89" s="21">
        <v>0.2</v>
      </c>
    </row>
    <row r="91" spans="1:2" ht="15" customHeight="1" x14ac:dyDescent="0.2">
      <c r="A91" s="25" t="s">
        <v>2364</v>
      </c>
      <c r="B91" s="4">
        <f>B88/(1-B89)</f>
        <v>2.4999999999999998E-2</v>
      </c>
    </row>
    <row r="93" spans="1:2" ht="15" customHeight="1" x14ac:dyDescent="0.2">
      <c r="A93" s="8" t="s">
        <v>2384</v>
      </c>
    </row>
    <row r="94" spans="1:2" ht="15" customHeight="1" x14ac:dyDescent="0.2">
      <c r="A94" s="9" t="s">
        <v>2385</v>
      </c>
    </row>
    <row r="95" spans="1:2" ht="15" customHeight="1" x14ac:dyDescent="0.2">
      <c r="A95" s="9" t="s">
        <v>2386</v>
      </c>
    </row>
    <row r="96" spans="1:2" ht="15" customHeight="1" x14ac:dyDescent="0.2">
      <c r="A96" s="9" t="s">
        <v>2387</v>
      </c>
    </row>
    <row r="97" spans="1:1" ht="15" customHeight="1" x14ac:dyDescent="0.2">
      <c r="A97" s="9" t="s">
        <v>2388</v>
      </c>
    </row>
    <row r="99" spans="1:1" ht="15" customHeight="1" x14ac:dyDescent="0.2">
      <c r="A99" s="9" t="s">
        <v>98</v>
      </c>
    </row>
    <row r="101" spans="1:1" ht="15" customHeight="1" x14ac:dyDescent="0.2">
      <c r="A101" s="9" t="s">
        <v>2389</v>
      </c>
    </row>
    <row r="103" spans="1:1" ht="15" customHeight="1" x14ac:dyDescent="0.2">
      <c r="A103" s="8" t="s">
        <v>3417</v>
      </c>
    </row>
    <row r="104" spans="1:1" ht="15" customHeight="1" x14ac:dyDescent="0.2">
      <c r="A104" s="9" t="s">
        <v>3418</v>
      </c>
    </row>
    <row r="105" spans="1:1" ht="15" customHeight="1" x14ac:dyDescent="0.2">
      <c r="A105" s="9" t="s">
        <v>3419</v>
      </c>
    </row>
    <row r="106" spans="1:1" ht="15" customHeight="1" x14ac:dyDescent="0.2">
      <c r="A106" s="9" t="s">
        <v>3427</v>
      </c>
    </row>
    <row r="107" spans="1:1" ht="15" customHeight="1" x14ac:dyDescent="0.2">
      <c r="A107" s="9" t="s">
        <v>3420</v>
      </c>
    </row>
    <row r="109" spans="1:1" ht="15" customHeight="1" x14ac:dyDescent="0.2">
      <c r="A109" s="9" t="s">
        <v>88</v>
      </c>
    </row>
    <row r="111" spans="1:1" ht="15" customHeight="1" x14ac:dyDescent="0.2">
      <c r="A111" s="9" t="s">
        <v>3421</v>
      </c>
    </row>
    <row r="113" spans="1:2" ht="15" customHeight="1" x14ac:dyDescent="0.2">
      <c r="A113" s="8" t="s">
        <v>2353</v>
      </c>
    </row>
    <row r="114" spans="1:2" ht="15" customHeight="1" x14ac:dyDescent="0.2">
      <c r="A114" s="29" t="s">
        <v>80</v>
      </c>
      <c r="B114" s="26" t="s">
        <v>45</v>
      </c>
    </row>
    <row r="115" spans="1:2" ht="15" customHeight="1" x14ac:dyDescent="0.2">
      <c r="A115" s="29" t="s">
        <v>88</v>
      </c>
      <c r="B115" s="26" t="s">
        <v>46</v>
      </c>
    </row>
    <row r="116" spans="1:2" ht="15" customHeight="1" x14ac:dyDescent="0.2">
      <c r="A116" s="29" t="s">
        <v>98</v>
      </c>
      <c r="B116" s="26" t="s">
        <v>47</v>
      </c>
    </row>
    <row r="117" spans="1:2" ht="15" customHeight="1" x14ac:dyDescent="0.2">
      <c r="A117" s="29" t="s">
        <v>110</v>
      </c>
      <c r="B117" s="26" t="s">
        <v>48</v>
      </c>
    </row>
    <row r="119" spans="1:2" ht="15" customHeight="1" x14ac:dyDescent="0.2">
      <c r="A119" s="29" t="s">
        <v>98</v>
      </c>
    </row>
    <row r="121" spans="1:2" ht="15" customHeight="1" x14ac:dyDescent="0.2">
      <c r="A121" s="8" t="s">
        <v>2390</v>
      </c>
    </row>
    <row r="122" spans="1:2" ht="15" customHeight="1" x14ac:dyDescent="0.2">
      <c r="A122" s="26" t="s">
        <v>3497</v>
      </c>
    </row>
    <row r="123" spans="1:2" ht="15" customHeight="1" x14ac:dyDescent="0.2">
      <c r="A123" s="26" t="s">
        <v>3498</v>
      </c>
    </row>
    <row r="124" spans="1:2" ht="15" customHeight="1" x14ac:dyDescent="0.2">
      <c r="A124" s="9" t="s">
        <v>3499</v>
      </c>
    </row>
    <row r="125" spans="1:2" ht="15" customHeight="1" x14ac:dyDescent="0.2">
      <c r="A125" s="26" t="s">
        <v>3500</v>
      </c>
    </row>
    <row r="127" spans="1:2" ht="15" customHeight="1" x14ac:dyDescent="0.2">
      <c r="A127" s="9" t="s">
        <v>98</v>
      </c>
    </row>
    <row r="129" spans="1:1" ht="15" customHeight="1" x14ac:dyDescent="0.2">
      <c r="A129" s="9" t="s">
        <v>2391</v>
      </c>
    </row>
    <row r="131" spans="1:1" ht="15" customHeight="1" x14ac:dyDescent="0.2">
      <c r="A131" s="8" t="s">
        <v>2392</v>
      </c>
    </row>
    <row r="132" spans="1:1" ht="15" customHeight="1" x14ac:dyDescent="0.2">
      <c r="A132" s="26" t="s">
        <v>3501</v>
      </c>
    </row>
    <row r="133" spans="1:1" ht="15" customHeight="1" x14ac:dyDescent="0.2">
      <c r="A133" s="26" t="s">
        <v>3502</v>
      </c>
    </row>
    <row r="134" spans="1:1" ht="15" customHeight="1" x14ac:dyDescent="0.2">
      <c r="A134" s="26" t="s">
        <v>3503</v>
      </c>
    </row>
    <row r="135" spans="1:1" ht="15" customHeight="1" x14ac:dyDescent="0.2">
      <c r="A135" s="26" t="s">
        <v>3504</v>
      </c>
    </row>
    <row r="137" spans="1:1" ht="15" customHeight="1" x14ac:dyDescent="0.2">
      <c r="A137" s="9" t="s">
        <v>88</v>
      </c>
    </row>
    <row r="139" spans="1:1" ht="15" customHeight="1" x14ac:dyDescent="0.2">
      <c r="A139" s="9" t="s">
        <v>2393</v>
      </c>
    </row>
    <row r="140" spans="1:1" ht="15" customHeight="1" x14ac:dyDescent="0.2">
      <c r="A140" s="9" t="s">
        <v>2394</v>
      </c>
    </row>
    <row r="142" spans="1:1" ht="15" customHeight="1" x14ac:dyDescent="0.2">
      <c r="A142" s="8" t="s">
        <v>2395</v>
      </c>
    </row>
    <row r="143" spans="1:1" ht="15" customHeight="1" x14ac:dyDescent="0.2">
      <c r="A143" s="9" t="s">
        <v>2396</v>
      </c>
    </row>
    <row r="144" spans="1:1" ht="15" customHeight="1" x14ac:dyDescent="0.2">
      <c r="A144" s="9" t="s">
        <v>2397</v>
      </c>
    </row>
    <row r="145" spans="1:1" ht="15" customHeight="1" x14ac:dyDescent="0.2">
      <c r="A145" s="9" t="s">
        <v>2398</v>
      </c>
    </row>
    <row r="146" spans="1:1" ht="15" customHeight="1" x14ac:dyDescent="0.2">
      <c r="A146" s="9" t="s">
        <v>3505</v>
      </c>
    </row>
    <row r="148" spans="1:1" ht="15" customHeight="1" x14ac:dyDescent="0.2">
      <c r="A148" s="9" t="s">
        <v>88</v>
      </c>
    </row>
    <row r="150" spans="1:1" ht="15" customHeight="1" x14ac:dyDescent="0.2">
      <c r="A150" s="9" t="s">
        <v>2399</v>
      </c>
    </row>
    <row r="151" spans="1:1" ht="15" customHeight="1" x14ac:dyDescent="0.2">
      <c r="A151" s="9" t="s">
        <v>3266</v>
      </c>
    </row>
    <row r="153" spans="1:1" ht="15" customHeight="1" x14ac:dyDescent="0.2">
      <c r="A153" s="8" t="s">
        <v>2400</v>
      </c>
    </row>
    <row r="154" spans="1:1" ht="15" customHeight="1" x14ac:dyDescent="0.2">
      <c r="A154" s="9" t="s">
        <v>2401</v>
      </c>
    </row>
    <row r="155" spans="1:1" ht="15" customHeight="1" x14ac:dyDescent="0.2">
      <c r="A155" s="9" t="s">
        <v>2402</v>
      </c>
    </row>
    <row r="156" spans="1:1" ht="15" customHeight="1" x14ac:dyDescent="0.2">
      <c r="A156" s="9" t="s">
        <v>2403</v>
      </c>
    </row>
    <row r="157" spans="1:1" ht="15" customHeight="1" x14ac:dyDescent="0.2">
      <c r="A157" s="9" t="s">
        <v>2404</v>
      </c>
    </row>
    <row r="159" spans="1:1" ht="15" customHeight="1" x14ac:dyDescent="0.2">
      <c r="A159" s="9" t="s">
        <v>80</v>
      </c>
    </row>
    <row r="161" spans="1:1" ht="15" customHeight="1" x14ac:dyDescent="0.2">
      <c r="A161" s="9" t="s">
        <v>2405</v>
      </c>
    </row>
    <row r="163" spans="1:1" ht="15" customHeight="1" x14ac:dyDescent="0.2">
      <c r="A163" s="8" t="s">
        <v>2406</v>
      </c>
    </row>
    <row r="164" spans="1:1" ht="15" customHeight="1" x14ac:dyDescent="0.2">
      <c r="A164" s="9" t="s">
        <v>2407</v>
      </c>
    </row>
    <row r="165" spans="1:1" ht="15" customHeight="1" x14ac:dyDescent="0.2">
      <c r="A165" s="9" t="s">
        <v>2408</v>
      </c>
    </row>
    <row r="166" spans="1:1" ht="15" customHeight="1" x14ac:dyDescent="0.2">
      <c r="A166" s="9" t="s">
        <v>2409</v>
      </c>
    </row>
    <row r="167" spans="1:1" ht="15" customHeight="1" x14ac:dyDescent="0.2">
      <c r="A167" s="9" t="s">
        <v>2410</v>
      </c>
    </row>
    <row r="169" spans="1:1" ht="15" customHeight="1" x14ac:dyDescent="0.2">
      <c r="A169" s="9" t="s">
        <v>110</v>
      </c>
    </row>
    <row r="171" spans="1:1" ht="15" customHeight="1" x14ac:dyDescent="0.2">
      <c r="A171" s="9" t="s">
        <v>2411</v>
      </c>
    </row>
    <row r="173" spans="1:1" ht="15" customHeight="1" x14ac:dyDescent="0.2">
      <c r="A173" s="8" t="s">
        <v>2412</v>
      </c>
    </row>
    <row r="174" spans="1:1" ht="15" customHeight="1" x14ac:dyDescent="0.2">
      <c r="A174" s="9" t="s">
        <v>2413</v>
      </c>
    </row>
    <row r="175" spans="1:1" ht="15" customHeight="1" x14ac:dyDescent="0.2">
      <c r="A175" s="9" t="s">
        <v>2414</v>
      </c>
    </row>
    <row r="176" spans="1:1" ht="15" customHeight="1" x14ac:dyDescent="0.2">
      <c r="A176" s="9" t="s">
        <v>59</v>
      </c>
    </row>
    <row r="177" spans="1:1" ht="15" customHeight="1" x14ac:dyDescent="0.2">
      <c r="A177" s="9" t="s">
        <v>404</v>
      </c>
    </row>
    <row r="179" spans="1:1" ht="15" customHeight="1" x14ac:dyDescent="0.2">
      <c r="A179" s="9" t="s">
        <v>88</v>
      </c>
    </row>
    <row r="181" spans="1:1" ht="15" customHeight="1" x14ac:dyDescent="0.2">
      <c r="A181" s="9" t="s">
        <v>2415</v>
      </c>
    </row>
    <row r="183" spans="1:1" ht="15" customHeight="1" x14ac:dyDescent="0.2">
      <c r="A183" s="8" t="s">
        <v>2416</v>
      </c>
    </row>
    <row r="184" spans="1:1" ht="15" customHeight="1" x14ac:dyDescent="0.2">
      <c r="A184" s="8" t="s">
        <v>2417</v>
      </c>
    </row>
    <row r="185" spans="1:1" ht="15" customHeight="1" x14ac:dyDescent="0.2">
      <c r="A185" s="9" t="s">
        <v>2418</v>
      </c>
    </row>
    <row r="186" spans="1:1" ht="15" customHeight="1" x14ac:dyDescent="0.2">
      <c r="A186" s="9" t="s">
        <v>2419</v>
      </c>
    </row>
    <row r="187" spans="1:1" ht="15" customHeight="1" x14ac:dyDescent="0.2">
      <c r="A187" s="9" t="s">
        <v>2420</v>
      </c>
    </row>
    <row r="188" spans="1:1" ht="15" customHeight="1" x14ac:dyDescent="0.2">
      <c r="A188" s="9" t="s">
        <v>2421</v>
      </c>
    </row>
    <row r="190" spans="1:1" ht="15" customHeight="1" x14ac:dyDescent="0.2">
      <c r="A190" s="9" t="s">
        <v>98</v>
      </c>
    </row>
    <row r="192" spans="1:1" ht="15" customHeight="1" x14ac:dyDescent="0.2">
      <c r="A192" s="9" t="s">
        <v>3506</v>
      </c>
    </row>
    <row r="194" spans="1:1" ht="15" customHeight="1" x14ac:dyDescent="0.2">
      <c r="A194" s="8" t="s">
        <v>2422</v>
      </c>
    </row>
    <row r="195" spans="1:1" ht="15" customHeight="1" x14ac:dyDescent="0.2">
      <c r="A195" s="9" t="s">
        <v>2423</v>
      </c>
    </row>
    <row r="196" spans="1:1" ht="15" customHeight="1" x14ac:dyDescent="0.2">
      <c r="A196" s="9" t="s">
        <v>2424</v>
      </c>
    </row>
    <row r="197" spans="1:1" ht="15" customHeight="1" x14ac:dyDescent="0.2">
      <c r="A197" s="9" t="s">
        <v>2425</v>
      </c>
    </row>
    <row r="198" spans="1:1" ht="15" customHeight="1" x14ac:dyDescent="0.2">
      <c r="A198" s="9" t="s">
        <v>354</v>
      </c>
    </row>
    <row r="200" spans="1:1" ht="15" customHeight="1" x14ac:dyDescent="0.2">
      <c r="A200" s="9" t="s">
        <v>110</v>
      </c>
    </row>
    <row r="202" spans="1:1" ht="15" customHeight="1" x14ac:dyDescent="0.2">
      <c r="A202" s="9" t="s">
        <v>2157</v>
      </c>
    </row>
    <row r="204" spans="1:1" ht="15" customHeight="1" x14ac:dyDescent="0.2">
      <c r="A204" s="8" t="s">
        <v>2426</v>
      </c>
    </row>
    <row r="205" spans="1:1" ht="15" customHeight="1" x14ac:dyDescent="0.2">
      <c r="A205" s="9" t="s">
        <v>621</v>
      </c>
    </row>
    <row r="206" spans="1:1" ht="15" customHeight="1" x14ac:dyDescent="0.2">
      <c r="A206" s="9" t="s">
        <v>2428</v>
      </c>
    </row>
    <row r="207" spans="1:1" ht="15" customHeight="1" x14ac:dyDescent="0.2">
      <c r="A207" s="9" t="s">
        <v>2427</v>
      </c>
    </row>
    <row r="208" spans="1:1" ht="15" customHeight="1" x14ac:dyDescent="0.2">
      <c r="A208" s="9" t="s">
        <v>2429</v>
      </c>
    </row>
    <row r="210" spans="1:2" ht="15" customHeight="1" x14ac:dyDescent="0.2">
      <c r="A210" s="9" t="s">
        <v>98</v>
      </c>
    </row>
    <row r="212" spans="1:2" ht="15" customHeight="1" x14ac:dyDescent="0.25">
      <c r="A212" s="9" t="s">
        <v>3507</v>
      </c>
    </row>
    <row r="213" spans="1:2" ht="15" customHeight="1" x14ac:dyDescent="0.25">
      <c r="A213" s="9" t="s">
        <v>3508</v>
      </c>
    </row>
    <row r="214" spans="1:2" ht="15" customHeight="1" x14ac:dyDescent="0.25">
      <c r="A214" s="9" t="s">
        <v>3509</v>
      </c>
    </row>
    <row r="215" spans="1:2" ht="15" customHeight="1" x14ac:dyDescent="0.25">
      <c r="A215" s="9" t="s">
        <v>3510</v>
      </c>
    </row>
    <row r="216" spans="1:2" ht="15" customHeight="1" x14ac:dyDescent="0.2">
      <c r="A216" s="9" t="s">
        <v>2430</v>
      </c>
    </row>
    <row r="218" spans="1:2" ht="15" customHeight="1" x14ac:dyDescent="0.25">
      <c r="A218" s="9" t="s">
        <v>3511</v>
      </c>
      <c r="B218" s="20">
        <v>0.02</v>
      </c>
    </row>
    <row r="219" spans="1:2" ht="15" customHeight="1" x14ac:dyDescent="0.25">
      <c r="A219" s="9" t="s">
        <v>3512</v>
      </c>
      <c r="B219" s="20">
        <v>2.1999999999999999E-2</v>
      </c>
    </row>
    <row r="220" spans="1:2" ht="15" customHeight="1" x14ac:dyDescent="0.25">
      <c r="A220" s="9" t="s">
        <v>3513</v>
      </c>
      <c r="B220" s="5">
        <v>5</v>
      </c>
    </row>
    <row r="221" spans="1:2" ht="15" customHeight="1" x14ac:dyDescent="0.25">
      <c r="A221" s="9" t="s">
        <v>3514</v>
      </c>
      <c r="B221" s="5">
        <v>6</v>
      </c>
    </row>
    <row r="222" spans="1:2" ht="15" customHeight="1" x14ac:dyDescent="0.2">
      <c r="A222" s="25" t="s">
        <v>2383</v>
      </c>
      <c r="B222" s="21">
        <v>0.6</v>
      </c>
    </row>
    <row r="224" spans="1:2" ht="15" customHeight="1" x14ac:dyDescent="0.25">
      <c r="A224" s="9" t="s">
        <v>3515</v>
      </c>
      <c r="B224" s="4">
        <f>B218/(1-B222)</f>
        <v>4.9999999999999996E-2</v>
      </c>
    </row>
    <row r="225" spans="1:2" ht="15" customHeight="1" x14ac:dyDescent="0.25">
      <c r="A225" s="9" t="s">
        <v>3516</v>
      </c>
      <c r="B225" s="4">
        <f>B219/(1-B222)</f>
        <v>5.4999999999999993E-2</v>
      </c>
    </row>
    <row r="226" spans="1:2" ht="15" customHeight="1" x14ac:dyDescent="0.25">
      <c r="A226" s="9" t="s">
        <v>3517</v>
      </c>
      <c r="B226" s="1">
        <f>EXP(-B224*B220)</f>
        <v>0.77880078307140488</v>
      </c>
    </row>
    <row r="227" spans="1:2" ht="15" customHeight="1" x14ac:dyDescent="0.25">
      <c r="A227" s="9" t="s">
        <v>3518</v>
      </c>
      <c r="B227" s="1">
        <f>EXP(-B225*B221)</f>
        <v>0.71892373343192617</v>
      </c>
    </row>
    <row r="228" spans="1:2" ht="15" customHeight="1" x14ac:dyDescent="0.25">
      <c r="A228" s="9" t="s">
        <v>3519</v>
      </c>
      <c r="B228" s="14">
        <f>B226-B227</f>
        <v>5.9877049639478708E-2</v>
      </c>
    </row>
    <row r="230" spans="1:2" ht="15" customHeight="1" x14ac:dyDescent="0.2">
      <c r="A230" s="8" t="s">
        <v>2431</v>
      </c>
    </row>
    <row r="231" spans="1:2" ht="15" customHeight="1" x14ac:dyDescent="0.2">
      <c r="A231" s="9" t="s">
        <v>2432</v>
      </c>
    </row>
    <row r="232" spans="1:2" ht="15" customHeight="1" x14ac:dyDescent="0.2">
      <c r="A232" s="9" t="s">
        <v>2433</v>
      </c>
    </row>
    <row r="233" spans="1:2" ht="15" customHeight="1" x14ac:dyDescent="0.2">
      <c r="A233" s="9" t="s">
        <v>2434</v>
      </c>
    </row>
    <row r="234" spans="1:2" ht="15" customHeight="1" x14ac:dyDescent="0.2">
      <c r="A234" s="9" t="s">
        <v>2435</v>
      </c>
    </row>
    <row r="236" spans="1:2" ht="15" customHeight="1" x14ac:dyDescent="0.2">
      <c r="A236" s="9" t="s">
        <v>110</v>
      </c>
    </row>
    <row r="238" spans="1:2" ht="15" customHeight="1" x14ac:dyDescent="0.2">
      <c r="A238" s="9" t="s">
        <v>2436</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3">
    <tabColor rgb="FF536878"/>
    <pageSetUpPr fitToPage="1"/>
  </sheetPr>
  <dimension ref="A1:P213"/>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1018</v>
      </c>
      <c r="B1" s="76"/>
      <c r="C1" s="76"/>
      <c r="D1" s="76"/>
      <c r="E1" s="76"/>
      <c r="F1" s="76"/>
      <c r="G1" s="76"/>
      <c r="H1" s="76"/>
      <c r="I1" s="76"/>
      <c r="J1" s="76"/>
      <c r="K1" s="76"/>
      <c r="L1" s="76"/>
      <c r="M1" s="76"/>
      <c r="N1" s="76"/>
      <c r="O1" s="76"/>
      <c r="P1" s="76"/>
    </row>
    <row r="3" spans="1:16" ht="15" customHeight="1" x14ac:dyDescent="0.2">
      <c r="A3" s="8" t="s">
        <v>2437</v>
      </c>
    </row>
    <row r="4" spans="1:16" ht="15" customHeight="1" x14ac:dyDescent="0.2">
      <c r="A4" s="9" t="s">
        <v>28</v>
      </c>
    </row>
    <row r="5" spans="1:16" ht="15" customHeight="1" x14ac:dyDescent="0.2">
      <c r="A5" s="9" t="s">
        <v>29</v>
      </c>
    </row>
    <row r="6" spans="1:16" ht="15" customHeight="1" x14ac:dyDescent="0.2">
      <c r="A6" s="9" t="s">
        <v>30</v>
      </c>
    </row>
    <row r="7" spans="1:16" ht="15" customHeight="1" x14ac:dyDescent="0.2">
      <c r="A7" s="9" t="s">
        <v>31</v>
      </c>
    </row>
    <row r="9" spans="1:16" ht="15" customHeight="1" x14ac:dyDescent="0.2">
      <c r="A9" s="9" t="s">
        <v>110</v>
      </c>
    </row>
    <row r="11" spans="1:16" ht="15" customHeight="1" x14ac:dyDescent="0.2">
      <c r="A11" s="9" t="s">
        <v>2444</v>
      </c>
    </row>
    <row r="13" spans="1:16" ht="15" customHeight="1" x14ac:dyDescent="0.2">
      <c r="A13" s="8" t="s">
        <v>2445</v>
      </c>
    </row>
    <row r="14" spans="1:16" ht="15" customHeight="1" x14ac:dyDescent="0.2">
      <c r="A14" s="9" t="s">
        <v>28</v>
      </c>
    </row>
    <row r="15" spans="1:16" ht="15" customHeight="1" x14ac:dyDescent="0.2">
      <c r="A15" s="9" t="s">
        <v>29</v>
      </c>
    </row>
    <row r="16" spans="1:16" ht="15" customHeight="1" x14ac:dyDescent="0.2">
      <c r="A16" s="9" t="s">
        <v>30</v>
      </c>
    </row>
    <row r="17" spans="1:1" ht="15" customHeight="1" x14ac:dyDescent="0.2">
      <c r="A17" s="9" t="s">
        <v>31</v>
      </c>
    </row>
    <row r="19" spans="1:1" ht="15" customHeight="1" x14ac:dyDescent="0.2">
      <c r="A19" s="9" t="s">
        <v>110</v>
      </c>
    </row>
    <row r="21" spans="1:1" ht="15" customHeight="1" x14ac:dyDescent="0.2">
      <c r="A21" s="9" t="s">
        <v>2446</v>
      </c>
    </row>
    <row r="23" spans="1:1" ht="15" customHeight="1" x14ac:dyDescent="0.2">
      <c r="A23" s="8" t="s">
        <v>2439</v>
      </c>
    </row>
    <row r="24" spans="1:1" ht="15" customHeight="1" x14ac:dyDescent="0.2">
      <c r="A24" s="9" t="s">
        <v>32</v>
      </c>
    </row>
    <row r="25" spans="1:1" ht="15" customHeight="1" x14ac:dyDescent="0.2">
      <c r="A25" s="9" t="s">
        <v>33</v>
      </c>
    </row>
    <row r="26" spans="1:1" ht="15" customHeight="1" x14ac:dyDescent="0.2">
      <c r="A26" s="9" t="s">
        <v>34</v>
      </c>
    </row>
    <row r="27" spans="1:1" ht="15" customHeight="1" x14ac:dyDescent="0.2">
      <c r="A27" s="9" t="s">
        <v>35</v>
      </c>
    </row>
    <row r="29" spans="1:1" ht="15" customHeight="1" x14ac:dyDescent="0.2">
      <c r="A29" s="9" t="s">
        <v>88</v>
      </c>
    </row>
    <row r="31" spans="1:1" ht="15" customHeight="1" x14ac:dyDescent="0.2">
      <c r="A31" s="9" t="s">
        <v>2447</v>
      </c>
    </row>
    <row r="33" spans="1:2" ht="15" customHeight="1" x14ac:dyDescent="0.2">
      <c r="A33" s="8" t="s">
        <v>2440</v>
      </c>
    </row>
    <row r="34" spans="1:2" ht="15" customHeight="1" x14ac:dyDescent="0.2">
      <c r="A34" s="9" t="s">
        <v>37</v>
      </c>
    </row>
    <row r="35" spans="1:2" ht="15" customHeight="1" x14ac:dyDescent="0.2">
      <c r="A35" s="9" t="s">
        <v>38</v>
      </c>
    </row>
    <row r="36" spans="1:2" ht="15" customHeight="1" x14ac:dyDescent="0.2">
      <c r="A36" s="9" t="s">
        <v>39</v>
      </c>
    </row>
    <row r="37" spans="1:2" ht="15" customHeight="1" x14ac:dyDescent="0.2">
      <c r="A37" s="9" t="s">
        <v>40</v>
      </c>
    </row>
    <row r="38" spans="1:2" ht="15" customHeight="1" x14ac:dyDescent="0.2">
      <c r="A38" s="25"/>
      <c r="B38" s="12"/>
    </row>
    <row r="39" spans="1:2" ht="15" customHeight="1" x14ac:dyDescent="0.2">
      <c r="A39" s="9" t="s">
        <v>110</v>
      </c>
      <c r="B39" s="12"/>
    </row>
    <row r="40" spans="1:2" ht="15" customHeight="1" x14ac:dyDescent="0.2">
      <c r="B40" s="12"/>
    </row>
    <row r="41" spans="1:2" ht="15" customHeight="1" x14ac:dyDescent="0.2">
      <c r="A41" s="9" t="s">
        <v>2448</v>
      </c>
      <c r="B41" s="12"/>
    </row>
    <row r="42" spans="1:2" ht="15" customHeight="1" x14ac:dyDescent="0.2">
      <c r="A42" s="8"/>
    </row>
    <row r="43" spans="1:2" ht="15" customHeight="1" x14ac:dyDescent="0.2">
      <c r="A43" s="25" t="s">
        <v>108</v>
      </c>
      <c r="B43" s="12">
        <v>100</v>
      </c>
    </row>
    <row r="44" spans="1:2" ht="15" customHeight="1" x14ac:dyDescent="0.2">
      <c r="A44" s="25" t="s">
        <v>100</v>
      </c>
      <c r="B44" s="21">
        <v>0.3</v>
      </c>
    </row>
    <row r="46" spans="1:2" ht="15" customHeight="1" x14ac:dyDescent="0.2">
      <c r="A46" s="25" t="s">
        <v>36</v>
      </c>
      <c r="B46" s="12">
        <f>B43*(1-B44)</f>
        <v>70</v>
      </c>
    </row>
    <row r="48" spans="1:2" ht="15" customHeight="1" x14ac:dyDescent="0.2">
      <c r="A48" s="8" t="s">
        <v>2441</v>
      </c>
    </row>
    <row r="49" spans="1:1" ht="15" customHeight="1" x14ac:dyDescent="0.2">
      <c r="A49" s="9" t="s">
        <v>3456</v>
      </c>
    </row>
    <row r="50" spans="1:1" ht="15" customHeight="1" x14ac:dyDescent="0.2">
      <c r="A50" s="9" t="s">
        <v>3457</v>
      </c>
    </row>
    <row r="51" spans="1:1" ht="15" customHeight="1" x14ac:dyDescent="0.2">
      <c r="A51" s="9" t="s">
        <v>3458</v>
      </c>
    </row>
    <row r="52" spans="1:1" ht="15" customHeight="1" x14ac:dyDescent="0.2">
      <c r="A52" s="9" t="s">
        <v>3459</v>
      </c>
    </row>
    <row r="54" spans="1:1" ht="15" customHeight="1" x14ac:dyDescent="0.2">
      <c r="A54" s="9" t="s">
        <v>110</v>
      </c>
    </row>
    <row r="56" spans="1:1" ht="15" customHeight="1" x14ac:dyDescent="0.2">
      <c r="A56" s="9" t="s">
        <v>2449</v>
      </c>
    </row>
    <row r="58" spans="1:1" ht="15" customHeight="1" x14ac:dyDescent="0.2">
      <c r="A58" s="8" t="s">
        <v>2438</v>
      </c>
    </row>
    <row r="59" spans="1:1" ht="15" customHeight="1" x14ac:dyDescent="0.2">
      <c r="A59" s="9" t="s">
        <v>3460</v>
      </c>
    </row>
    <row r="60" spans="1:1" ht="15" customHeight="1" x14ac:dyDescent="0.2">
      <c r="A60" s="9" t="s">
        <v>3461</v>
      </c>
    </row>
    <row r="61" spans="1:1" ht="15" customHeight="1" x14ac:dyDescent="0.2">
      <c r="A61" s="9" t="s">
        <v>3462</v>
      </c>
    </row>
    <row r="62" spans="1:1" ht="15" customHeight="1" x14ac:dyDescent="0.2">
      <c r="A62" s="9" t="s">
        <v>3463</v>
      </c>
    </row>
    <row r="64" spans="1:1" ht="15" customHeight="1" x14ac:dyDescent="0.2">
      <c r="A64" s="9" t="s">
        <v>110</v>
      </c>
    </row>
    <row r="66" spans="1:1" ht="15" customHeight="1" x14ac:dyDescent="0.2">
      <c r="A66" s="9" t="s">
        <v>3464</v>
      </c>
    </row>
    <row r="67" spans="1:1" ht="15" customHeight="1" x14ac:dyDescent="0.2">
      <c r="A67" s="9" t="s">
        <v>2450</v>
      </c>
    </row>
    <row r="69" spans="1:1" ht="15" customHeight="1" x14ac:dyDescent="0.2">
      <c r="A69" s="8" t="s">
        <v>2451</v>
      </c>
    </row>
    <row r="70" spans="1:1" ht="15" customHeight="1" x14ac:dyDescent="0.2">
      <c r="A70" s="9" t="s">
        <v>2452</v>
      </c>
    </row>
    <row r="71" spans="1:1" ht="15" customHeight="1" x14ac:dyDescent="0.2">
      <c r="A71" s="9" t="s">
        <v>2453</v>
      </c>
    </row>
    <row r="72" spans="1:1" ht="15" customHeight="1" x14ac:dyDescent="0.2">
      <c r="A72" s="9" t="s">
        <v>2454</v>
      </c>
    </row>
    <row r="73" spans="1:1" ht="15" customHeight="1" x14ac:dyDescent="0.2">
      <c r="A73" s="9" t="s">
        <v>5</v>
      </c>
    </row>
    <row r="75" spans="1:1" ht="15" customHeight="1" x14ac:dyDescent="0.2">
      <c r="A75" s="9" t="s">
        <v>88</v>
      </c>
    </row>
    <row r="77" spans="1:1" ht="15" customHeight="1" x14ac:dyDescent="0.2">
      <c r="A77" s="9" t="s">
        <v>2455</v>
      </c>
    </row>
    <row r="79" spans="1:1" ht="15" customHeight="1" x14ac:dyDescent="0.2">
      <c r="A79" s="8" t="s">
        <v>3422</v>
      </c>
    </row>
    <row r="80" spans="1:1" ht="15" customHeight="1" x14ac:dyDescent="0.2">
      <c r="A80" s="9" t="s">
        <v>2456</v>
      </c>
    </row>
    <row r="81" spans="1:1" ht="15" customHeight="1" x14ac:dyDescent="0.2">
      <c r="A81" s="9" t="s">
        <v>2457</v>
      </c>
    </row>
    <row r="82" spans="1:1" ht="15" customHeight="1" x14ac:dyDescent="0.2">
      <c r="A82" s="9" t="s">
        <v>2458</v>
      </c>
    </row>
    <row r="83" spans="1:1" ht="15" customHeight="1" x14ac:dyDescent="0.2">
      <c r="A83" s="9" t="s">
        <v>3465</v>
      </c>
    </row>
    <row r="85" spans="1:1" ht="15" customHeight="1" x14ac:dyDescent="0.2">
      <c r="A85" s="9" t="s">
        <v>88</v>
      </c>
    </row>
    <row r="87" spans="1:1" ht="15" customHeight="1" x14ac:dyDescent="0.2">
      <c r="A87" s="9" t="s">
        <v>2459</v>
      </c>
    </row>
    <row r="89" spans="1:1" ht="15" customHeight="1" x14ac:dyDescent="0.2">
      <c r="A89" s="8" t="s">
        <v>2460</v>
      </c>
    </row>
    <row r="90" spans="1:1" ht="15" customHeight="1" x14ac:dyDescent="0.2">
      <c r="A90" s="9" t="s">
        <v>2461</v>
      </c>
    </row>
    <row r="91" spans="1:1" ht="15" customHeight="1" x14ac:dyDescent="0.2">
      <c r="A91" s="9" t="s">
        <v>2462</v>
      </c>
    </row>
    <row r="92" spans="1:1" ht="15" customHeight="1" x14ac:dyDescent="0.2">
      <c r="A92" s="9" t="s">
        <v>2463</v>
      </c>
    </row>
    <row r="93" spans="1:1" ht="15" customHeight="1" x14ac:dyDescent="0.2">
      <c r="A93" s="9" t="s">
        <v>2464</v>
      </c>
    </row>
    <row r="95" spans="1:1" ht="15" customHeight="1" x14ac:dyDescent="0.2">
      <c r="A95" s="9" t="s">
        <v>98</v>
      </c>
    </row>
    <row r="97" spans="1:3" ht="15" customHeight="1" x14ac:dyDescent="0.2">
      <c r="A97" s="9" t="s">
        <v>2465</v>
      </c>
    </row>
    <row r="99" spans="1:3" ht="15" customHeight="1" x14ac:dyDescent="0.2">
      <c r="A99" s="8" t="s">
        <v>2466</v>
      </c>
    </row>
    <row r="100" spans="1:3" ht="15" customHeight="1" x14ac:dyDescent="0.2">
      <c r="A100" s="9" t="s">
        <v>2467</v>
      </c>
    </row>
    <row r="101" spans="1:3" ht="15" customHeight="1" x14ac:dyDescent="0.2">
      <c r="A101" s="9" t="s">
        <v>2468</v>
      </c>
    </row>
    <row r="102" spans="1:3" ht="15" customHeight="1" x14ac:dyDescent="0.2">
      <c r="A102" s="9" t="s">
        <v>2469</v>
      </c>
    </row>
    <row r="103" spans="1:3" ht="15" customHeight="1" x14ac:dyDescent="0.2">
      <c r="A103" s="9" t="s">
        <v>2470</v>
      </c>
    </row>
    <row r="105" spans="1:3" ht="15" customHeight="1" x14ac:dyDescent="0.2">
      <c r="A105" s="9" t="s">
        <v>98</v>
      </c>
    </row>
    <row r="107" spans="1:3" ht="15" customHeight="1" x14ac:dyDescent="0.2">
      <c r="A107" s="9" t="s">
        <v>3466</v>
      </c>
    </row>
    <row r="109" spans="1:3" ht="15" customHeight="1" x14ac:dyDescent="0.2">
      <c r="A109" s="25" t="s">
        <v>2471</v>
      </c>
      <c r="B109" s="9">
        <v>120</v>
      </c>
      <c r="C109" s="9" t="s">
        <v>2472</v>
      </c>
    </row>
    <row r="110" spans="1:3" ht="15" customHeight="1" x14ac:dyDescent="0.2">
      <c r="A110" s="25" t="s">
        <v>100</v>
      </c>
      <c r="B110" s="21">
        <v>0.4</v>
      </c>
    </row>
    <row r="112" spans="1:3" ht="15" customHeight="1" x14ac:dyDescent="0.25">
      <c r="A112" s="25" t="s">
        <v>3467</v>
      </c>
      <c r="B112" s="9">
        <f>B109/(1-B110)</f>
        <v>200</v>
      </c>
    </row>
    <row r="114" spans="1:1" ht="15" customHeight="1" x14ac:dyDescent="0.2">
      <c r="A114" s="8" t="s">
        <v>2442</v>
      </c>
    </row>
    <row r="115" spans="1:1" ht="15" customHeight="1" x14ac:dyDescent="0.2">
      <c r="A115" s="26" t="s">
        <v>2473</v>
      </c>
    </row>
    <row r="116" spans="1:1" ht="15" customHeight="1" x14ac:dyDescent="0.2">
      <c r="A116" s="26" t="s">
        <v>2474</v>
      </c>
    </row>
    <row r="117" spans="1:1" ht="15" customHeight="1" x14ac:dyDescent="0.2">
      <c r="A117" s="26" t="s">
        <v>2475</v>
      </c>
    </row>
    <row r="118" spans="1:1" ht="15" customHeight="1" x14ac:dyDescent="0.2">
      <c r="A118" s="26" t="s">
        <v>2476</v>
      </c>
    </row>
    <row r="120" spans="1:1" ht="15" customHeight="1" x14ac:dyDescent="0.2">
      <c r="A120" s="9" t="s">
        <v>110</v>
      </c>
    </row>
    <row r="122" spans="1:1" ht="15" customHeight="1" x14ac:dyDescent="0.2">
      <c r="A122" s="9" t="s">
        <v>2477</v>
      </c>
    </row>
    <row r="124" spans="1:1" ht="15" customHeight="1" x14ac:dyDescent="0.2">
      <c r="A124" s="8" t="s">
        <v>2478</v>
      </c>
    </row>
    <row r="125" spans="1:1" ht="15" customHeight="1" x14ac:dyDescent="0.2">
      <c r="A125" s="9" t="s">
        <v>2479</v>
      </c>
    </row>
    <row r="126" spans="1:1" ht="15" customHeight="1" x14ac:dyDescent="0.2">
      <c r="A126" s="9" t="s">
        <v>2480</v>
      </c>
    </row>
    <row r="127" spans="1:1" ht="15" customHeight="1" x14ac:dyDescent="0.2">
      <c r="A127" s="9" t="s">
        <v>2481</v>
      </c>
    </row>
    <row r="128" spans="1:1" ht="15" customHeight="1" x14ac:dyDescent="0.2">
      <c r="A128" s="9" t="s">
        <v>2482</v>
      </c>
    </row>
    <row r="130" spans="1:1" ht="15" customHeight="1" x14ac:dyDescent="0.2">
      <c r="A130" s="9" t="s">
        <v>110</v>
      </c>
    </row>
    <row r="132" spans="1:1" ht="15" customHeight="1" x14ac:dyDescent="0.2">
      <c r="A132" s="9" t="s">
        <v>2483</v>
      </c>
    </row>
    <row r="134" spans="1:1" ht="15" customHeight="1" x14ac:dyDescent="0.25">
      <c r="A134" s="8" t="s">
        <v>3468</v>
      </c>
    </row>
    <row r="135" spans="1:1" ht="15" customHeight="1" x14ac:dyDescent="0.2">
      <c r="A135" s="9" t="s">
        <v>3469</v>
      </c>
    </row>
    <row r="136" spans="1:1" ht="15" customHeight="1" x14ac:dyDescent="0.2">
      <c r="A136" s="9" t="s">
        <v>3470</v>
      </c>
    </row>
    <row r="137" spans="1:1" ht="15" customHeight="1" x14ac:dyDescent="0.2">
      <c r="A137" s="9" t="s">
        <v>3471</v>
      </c>
    </row>
    <row r="138" spans="1:1" ht="15" customHeight="1" x14ac:dyDescent="0.2">
      <c r="A138" s="9" t="s">
        <v>3472</v>
      </c>
    </row>
    <row r="140" spans="1:1" ht="15" customHeight="1" x14ac:dyDescent="0.2">
      <c r="A140" s="9" t="s">
        <v>80</v>
      </c>
    </row>
    <row r="142" spans="1:1" ht="15" customHeight="1" x14ac:dyDescent="0.2">
      <c r="A142" s="9" t="s">
        <v>2484</v>
      </c>
    </row>
    <row r="144" spans="1:1" ht="15" customHeight="1" x14ac:dyDescent="0.2">
      <c r="A144" s="8" t="s">
        <v>2485</v>
      </c>
    </row>
    <row r="145" spans="1:1" ht="15" customHeight="1" x14ac:dyDescent="0.2">
      <c r="A145" s="9" t="s">
        <v>2486</v>
      </c>
    </row>
    <row r="146" spans="1:1" ht="15" customHeight="1" x14ac:dyDescent="0.2">
      <c r="A146" s="9" t="s">
        <v>2487</v>
      </c>
    </row>
    <row r="147" spans="1:1" ht="15" customHeight="1" x14ac:dyDescent="0.2">
      <c r="A147" s="9" t="s">
        <v>2488</v>
      </c>
    </row>
    <row r="148" spans="1:1" ht="15" customHeight="1" x14ac:dyDescent="0.2">
      <c r="A148" s="9" t="s">
        <v>2489</v>
      </c>
    </row>
    <row r="150" spans="1:1" ht="15" customHeight="1" x14ac:dyDescent="0.2">
      <c r="A150" s="9" t="s">
        <v>88</v>
      </c>
    </row>
    <row r="152" spans="1:1" ht="15" customHeight="1" x14ac:dyDescent="0.2">
      <c r="A152" s="9" t="s">
        <v>2490</v>
      </c>
    </row>
    <row r="154" spans="1:1" ht="15" customHeight="1" x14ac:dyDescent="0.2">
      <c r="A154" s="8" t="s">
        <v>2491</v>
      </c>
    </row>
    <row r="155" spans="1:1" ht="15" customHeight="1" x14ac:dyDescent="0.2">
      <c r="A155" s="9" t="s">
        <v>3428</v>
      </c>
    </row>
    <row r="156" spans="1:1" ht="15" customHeight="1" x14ac:dyDescent="0.2">
      <c r="A156" s="9" t="s">
        <v>3429</v>
      </c>
    </row>
    <row r="157" spans="1:1" ht="15" customHeight="1" x14ac:dyDescent="0.2">
      <c r="A157" s="9" t="s">
        <v>3430</v>
      </c>
    </row>
    <row r="158" spans="1:1" ht="15" customHeight="1" x14ac:dyDescent="0.2">
      <c r="A158" s="9" t="s">
        <v>3431</v>
      </c>
    </row>
    <row r="160" spans="1:1" ht="15" customHeight="1" x14ac:dyDescent="0.2">
      <c r="A160" s="9" t="s">
        <v>80</v>
      </c>
    </row>
    <row r="162" spans="1:1" ht="15" customHeight="1" x14ac:dyDescent="0.2">
      <c r="A162" s="9" t="s">
        <v>3423</v>
      </c>
    </row>
    <row r="164" spans="1:1" ht="15" customHeight="1" x14ac:dyDescent="0.2">
      <c r="A164" s="8" t="s">
        <v>3424</v>
      </c>
    </row>
    <row r="165" spans="1:1" ht="15" customHeight="1" x14ac:dyDescent="0.2">
      <c r="A165" s="9" t="s">
        <v>2492</v>
      </c>
    </row>
    <row r="166" spans="1:1" ht="15" customHeight="1" x14ac:dyDescent="0.2">
      <c r="A166" s="9" t="s">
        <v>2493</v>
      </c>
    </row>
    <row r="167" spans="1:1" ht="15" customHeight="1" x14ac:dyDescent="0.2">
      <c r="A167" s="9" t="s">
        <v>2494</v>
      </c>
    </row>
    <row r="168" spans="1:1" ht="15" customHeight="1" x14ac:dyDescent="0.2">
      <c r="A168" s="9" t="s">
        <v>2495</v>
      </c>
    </row>
    <row r="170" spans="1:1" ht="15" customHeight="1" x14ac:dyDescent="0.2">
      <c r="A170" s="9" t="s">
        <v>110</v>
      </c>
    </row>
    <row r="172" spans="1:1" ht="15" customHeight="1" x14ac:dyDescent="0.2">
      <c r="A172" s="9" t="s">
        <v>2496</v>
      </c>
    </row>
    <row r="174" spans="1:1" ht="15" customHeight="1" x14ac:dyDescent="0.2">
      <c r="A174" s="8" t="s">
        <v>2443</v>
      </c>
    </row>
    <row r="175" spans="1:1" ht="15" customHeight="1" x14ac:dyDescent="0.2">
      <c r="A175" s="26" t="s">
        <v>3473</v>
      </c>
    </row>
    <row r="176" spans="1:1" ht="15" customHeight="1" x14ac:dyDescent="0.2">
      <c r="A176" s="26" t="s">
        <v>3474</v>
      </c>
    </row>
    <row r="177" spans="1:1" ht="15" customHeight="1" x14ac:dyDescent="0.2">
      <c r="A177" s="26" t="s">
        <v>3475</v>
      </c>
    </row>
    <row r="178" spans="1:1" ht="15" customHeight="1" x14ac:dyDescent="0.2">
      <c r="A178" s="26" t="s">
        <v>5</v>
      </c>
    </row>
    <row r="180" spans="1:1" ht="15" customHeight="1" x14ac:dyDescent="0.2">
      <c r="A180" s="9" t="s">
        <v>80</v>
      </c>
    </row>
    <row r="182" spans="1:1" ht="15" customHeight="1" x14ac:dyDescent="0.2">
      <c r="A182" s="9" t="s">
        <v>2497</v>
      </c>
    </row>
    <row r="184" spans="1:1" ht="15" customHeight="1" x14ac:dyDescent="0.2">
      <c r="A184" s="8" t="s">
        <v>3271</v>
      </c>
    </row>
    <row r="185" spans="1:1" ht="15" customHeight="1" x14ac:dyDescent="0.2">
      <c r="A185" s="8" t="s">
        <v>2498</v>
      </c>
    </row>
    <row r="186" spans="1:1" ht="15" customHeight="1" x14ac:dyDescent="0.2">
      <c r="A186" s="26" t="s">
        <v>60</v>
      </c>
    </row>
    <row r="187" spans="1:1" ht="15" customHeight="1" x14ac:dyDescent="0.2">
      <c r="A187" s="26" t="s">
        <v>61</v>
      </c>
    </row>
    <row r="188" spans="1:1" ht="15" customHeight="1" x14ac:dyDescent="0.2">
      <c r="A188" s="26" t="s">
        <v>62</v>
      </c>
    </row>
    <row r="189" spans="1:1" ht="15" customHeight="1" x14ac:dyDescent="0.2">
      <c r="A189" s="26" t="s">
        <v>63</v>
      </c>
    </row>
    <row r="191" spans="1:1" ht="15" customHeight="1" x14ac:dyDescent="0.2">
      <c r="A191" s="9" t="s">
        <v>110</v>
      </c>
    </row>
    <row r="193" spans="1:1" ht="15" customHeight="1" x14ac:dyDescent="0.2">
      <c r="A193" s="9" t="s">
        <v>2499</v>
      </c>
    </row>
    <row r="195" spans="1:1" ht="15" customHeight="1" x14ac:dyDescent="0.2">
      <c r="A195" s="8" t="s">
        <v>2500</v>
      </c>
    </row>
    <row r="196" spans="1:1" ht="15" customHeight="1" x14ac:dyDescent="0.2">
      <c r="A196" s="9" t="s">
        <v>2501</v>
      </c>
    </row>
    <row r="197" spans="1:1" ht="15" customHeight="1" x14ac:dyDescent="0.2">
      <c r="A197" s="9" t="s">
        <v>2502</v>
      </c>
    </row>
    <row r="198" spans="1:1" ht="15" customHeight="1" x14ac:dyDescent="0.2">
      <c r="A198" s="9" t="s">
        <v>2503</v>
      </c>
    </row>
    <row r="199" spans="1:1" ht="15" customHeight="1" x14ac:dyDescent="0.2">
      <c r="A199" s="9" t="s">
        <v>2504</v>
      </c>
    </row>
    <row r="201" spans="1:1" ht="15" customHeight="1" x14ac:dyDescent="0.2">
      <c r="A201" s="9" t="s">
        <v>88</v>
      </c>
    </row>
    <row r="203" spans="1:1" ht="15" customHeight="1" x14ac:dyDescent="0.2">
      <c r="A203" s="9" t="s">
        <v>2505</v>
      </c>
    </row>
    <row r="205" spans="1:1" ht="15" customHeight="1" x14ac:dyDescent="0.2">
      <c r="A205" s="8" t="s">
        <v>2506</v>
      </c>
    </row>
    <row r="206" spans="1:1" ht="15" customHeight="1" x14ac:dyDescent="0.2">
      <c r="A206" s="9" t="s">
        <v>2507</v>
      </c>
    </row>
    <row r="207" spans="1:1" ht="15" customHeight="1" x14ac:dyDescent="0.2">
      <c r="A207" s="9" t="s">
        <v>2508</v>
      </c>
    </row>
    <row r="208" spans="1:1" ht="15" customHeight="1" x14ac:dyDescent="0.2">
      <c r="A208" s="9" t="s">
        <v>2509</v>
      </c>
    </row>
    <row r="209" spans="1:1" ht="15" customHeight="1" x14ac:dyDescent="0.2">
      <c r="A209" s="9" t="s">
        <v>2510</v>
      </c>
    </row>
    <row r="211" spans="1:1" ht="15" customHeight="1" x14ac:dyDescent="0.2">
      <c r="A211" s="9" t="s">
        <v>110</v>
      </c>
    </row>
    <row r="213" spans="1:1" ht="15" customHeight="1" x14ac:dyDescent="0.2">
      <c r="A213" s="9" t="s">
        <v>2511</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2">
    <tabColor rgb="FF536878"/>
    <pageSetUpPr fitToPage="1"/>
  </sheetPr>
  <dimension ref="A1:P223"/>
  <sheetViews>
    <sheetView showGridLines="0" zoomScaleNormal="100" workbookViewId="0">
      <pane ySplit="2" topLeftCell="A3" activePane="bottomLeft" state="frozen"/>
      <selection sqref="A1:P1"/>
      <selection pane="bottomLeft" sqref="A1:P1"/>
    </sheetView>
  </sheetViews>
  <sheetFormatPr defaultRowHeight="15" customHeight="1" x14ac:dyDescent="0.2"/>
  <cols>
    <col min="1" max="16384" width="9.140625" style="9"/>
  </cols>
  <sheetData>
    <row r="1" spans="1:16" ht="15" customHeight="1" x14ac:dyDescent="0.2">
      <c r="A1" s="75" t="s">
        <v>4026</v>
      </c>
      <c r="B1" s="76"/>
      <c r="C1" s="76"/>
      <c r="D1" s="76"/>
      <c r="E1" s="76"/>
      <c r="F1" s="76"/>
      <c r="G1" s="76"/>
      <c r="H1" s="76"/>
      <c r="I1" s="76"/>
      <c r="J1" s="76"/>
      <c r="K1" s="76"/>
      <c r="L1" s="76"/>
      <c r="M1" s="76"/>
      <c r="N1" s="76"/>
      <c r="O1" s="76"/>
      <c r="P1" s="76"/>
    </row>
    <row r="3" spans="1:16" ht="15" customHeight="1" x14ac:dyDescent="0.2">
      <c r="A3" s="8" t="s">
        <v>4022</v>
      </c>
    </row>
    <row r="4" spans="1:16" ht="15" customHeight="1" x14ac:dyDescent="0.2">
      <c r="A4" s="9" t="s">
        <v>3432</v>
      </c>
    </row>
    <row r="5" spans="1:16" ht="15" customHeight="1" x14ac:dyDescent="0.2">
      <c r="A5" s="9" t="s">
        <v>3433</v>
      </c>
    </row>
    <row r="6" spans="1:16" ht="15" customHeight="1" x14ac:dyDescent="0.2">
      <c r="A6" s="9" t="s">
        <v>17</v>
      </c>
    </row>
    <row r="7" spans="1:16" ht="15" customHeight="1" x14ac:dyDescent="0.2">
      <c r="A7" s="9" t="s">
        <v>3434</v>
      </c>
    </row>
    <row r="9" spans="1:16" ht="15" customHeight="1" x14ac:dyDescent="0.2">
      <c r="A9" s="9" t="s">
        <v>88</v>
      </c>
    </row>
    <row r="11" spans="1:16" ht="15" customHeight="1" x14ac:dyDescent="0.2">
      <c r="A11" s="9" t="s">
        <v>2512</v>
      </c>
    </row>
    <row r="13" spans="1:16" ht="15" customHeight="1" x14ac:dyDescent="0.2">
      <c r="A13" s="8" t="s">
        <v>3123</v>
      </c>
    </row>
    <row r="14" spans="1:16" ht="15" customHeight="1" x14ac:dyDescent="0.2">
      <c r="A14" s="9" t="s">
        <v>18</v>
      </c>
    </row>
    <row r="15" spans="1:16" ht="15" customHeight="1" x14ac:dyDescent="0.2">
      <c r="A15" s="9" t="s">
        <v>19</v>
      </c>
    </row>
    <row r="16" spans="1:16" ht="15" customHeight="1" x14ac:dyDescent="0.2">
      <c r="A16" s="9" t="s">
        <v>20</v>
      </c>
    </row>
    <row r="17" spans="1:1" ht="15" customHeight="1" x14ac:dyDescent="0.2">
      <c r="A17" s="9" t="s">
        <v>21</v>
      </c>
    </row>
    <row r="19" spans="1:1" ht="15" customHeight="1" x14ac:dyDescent="0.2">
      <c r="A19" s="9" t="s">
        <v>88</v>
      </c>
    </row>
    <row r="21" spans="1:1" ht="15" customHeight="1" x14ac:dyDescent="0.2">
      <c r="A21" s="9" t="s">
        <v>2513</v>
      </c>
    </row>
    <row r="23" spans="1:1" ht="15" customHeight="1" x14ac:dyDescent="0.2">
      <c r="A23" s="8" t="s">
        <v>4019</v>
      </c>
    </row>
    <row r="24" spans="1:1" ht="15" customHeight="1" x14ac:dyDescent="0.2">
      <c r="A24" s="9" t="s">
        <v>2514</v>
      </c>
    </row>
    <row r="25" spans="1:1" ht="15" customHeight="1" x14ac:dyDescent="0.2">
      <c r="A25" s="9" t="s">
        <v>2515</v>
      </c>
    </row>
    <row r="26" spans="1:1" ht="15" customHeight="1" x14ac:dyDescent="0.2">
      <c r="A26" s="9" t="s">
        <v>2516</v>
      </c>
    </row>
    <row r="27" spans="1:1" ht="15" customHeight="1" x14ac:dyDescent="0.2">
      <c r="A27" s="9" t="s">
        <v>2517</v>
      </c>
    </row>
    <row r="29" spans="1:1" ht="15" customHeight="1" x14ac:dyDescent="0.2">
      <c r="A29" s="9" t="s">
        <v>88</v>
      </c>
    </row>
    <row r="31" spans="1:1" ht="15" customHeight="1" x14ac:dyDescent="0.2">
      <c r="A31" s="9" t="s">
        <v>2518</v>
      </c>
    </row>
    <row r="33" spans="1:1" ht="15" customHeight="1" x14ac:dyDescent="0.2">
      <c r="A33" s="8" t="s">
        <v>4020</v>
      </c>
    </row>
    <row r="34" spans="1:1" ht="15" customHeight="1" x14ac:dyDescent="0.2">
      <c r="A34" s="9" t="s">
        <v>2514</v>
      </c>
    </row>
    <row r="35" spans="1:1" ht="15" customHeight="1" x14ac:dyDescent="0.2">
      <c r="A35" s="9" t="s">
        <v>2515</v>
      </c>
    </row>
    <row r="36" spans="1:1" ht="15" customHeight="1" x14ac:dyDescent="0.2">
      <c r="A36" s="9" t="s">
        <v>2516</v>
      </c>
    </row>
    <row r="37" spans="1:1" ht="15" customHeight="1" x14ac:dyDescent="0.2">
      <c r="A37" s="9" t="s">
        <v>2517</v>
      </c>
    </row>
    <row r="39" spans="1:1" ht="15" customHeight="1" x14ac:dyDescent="0.2">
      <c r="A39" s="9" t="s">
        <v>110</v>
      </c>
    </row>
    <row r="41" spans="1:1" ht="15" customHeight="1" x14ac:dyDescent="0.2">
      <c r="A41" s="9" t="s">
        <v>2519</v>
      </c>
    </row>
    <row r="43" spans="1:1" ht="15" customHeight="1" x14ac:dyDescent="0.2">
      <c r="A43" s="8" t="s">
        <v>2520</v>
      </c>
    </row>
    <row r="44" spans="1:1" ht="15" customHeight="1" x14ac:dyDescent="0.2">
      <c r="A44" s="9" t="s">
        <v>22</v>
      </c>
    </row>
    <row r="45" spans="1:1" ht="15" customHeight="1" x14ac:dyDescent="0.2">
      <c r="A45" s="9" t="s">
        <v>23</v>
      </c>
    </row>
    <row r="46" spans="1:1" ht="15" customHeight="1" x14ac:dyDescent="0.2">
      <c r="A46" s="9" t="s">
        <v>24</v>
      </c>
    </row>
    <row r="47" spans="1:1" ht="15" customHeight="1" x14ac:dyDescent="0.2">
      <c r="A47" s="9" t="s">
        <v>25</v>
      </c>
    </row>
    <row r="49" spans="1:3" ht="15" customHeight="1" x14ac:dyDescent="0.2">
      <c r="A49" s="9" t="s">
        <v>98</v>
      </c>
    </row>
    <row r="51" spans="1:3" ht="15" customHeight="1" x14ac:dyDescent="0.2">
      <c r="A51" s="9" t="s">
        <v>2521</v>
      </c>
    </row>
    <row r="52" spans="1:3" ht="15" customHeight="1" x14ac:dyDescent="0.2">
      <c r="A52" s="9" t="s">
        <v>2522</v>
      </c>
    </row>
    <row r="54" spans="1:3" ht="15" customHeight="1" x14ac:dyDescent="0.2">
      <c r="A54" s="25" t="s">
        <v>82</v>
      </c>
      <c r="B54" s="12">
        <v>30</v>
      </c>
    </row>
    <row r="55" spans="1:3" ht="15" customHeight="1" x14ac:dyDescent="0.25">
      <c r="A55" s="25" t="s">
        <v>3435</v>
      </c>
      <c r="B55" s="12">
        <v>40</v>
      </c>
    </row>
    <row r="56" spans="1:3" ht="15" customHeight="1" x14ac:dyDescent="0.25">
      <c r="A56" s="25" t="s">
        <v>3436</v>
      </c>
      <c r="B56" s="12">
        <v>35</v>
      </c>
    </row>
    <row r="57" spans="1:3" ht="15" customHeight="1" x14ac:dyDescent="0.2">
      <c r="A57" s="25"/>
      <c r="B57" s="12"/>
    </row>
    <row r="58" spans="1:3" ht="15" customHeight="1" x14ac:dyDescent="0.25">
      <c r="A58" s="9" t="s">
        <v>3437</v>
      </c>
      <c r="B58" s="12"/>
      <c r="C58" s="12">
        <f>MAX(B55-B54,B56-B54)</f>
        <v>10</v>
      </c>
    </row>
    <row r="60" spans="1:3" ht="15" customHeight="1" x14ac:dyDescent="0.2">
      <c r="A60" s="8" t="s">
        <v>4021</v>
      </c>
    </row>
    <row r="61" spans="1:3" ht="15" customHeight="1" x14ac:dyDescent="0.25">
      <c r="A61" s="9" t="s">
        <v>3438</v>
      </c>
    </row>
    <row r="62" spans="1:3" ht="15" customHeight="1" x14ac:dyDescent="0.25">
      <c r="A62" s="9" t="s">
        <v>3439</v>
      </c>
    </row>
    <row r="63" spans="1:3" ht="15" customHeight="1" x14ac:dyDescent="0.25">
      <c r="A63" s="9" t="s">
        <v>3440</v>
      </c>
    </row>
    <row r="64" spans="1:3" ht="15" customHeight="1" x14ac:dyDescent="0.25">
      <c r="A64" s="9" t="s">
        <v>3441</v>
      </c>
    </row>
    <row r="66" spans="1:1" ht="15" customHeight="1" x14ac:dyDescent="0.2">
      <c r="A66" s="9" t="s">
        <v>80</v>
      </c>
    </row>
    <row r="68" spans="1:1" ht="15" customHeight="1" x14ac:dyDescent="0.25">
      <c r="A68" s="9" t="s">
        <v>3442</v>
      </c>
    </row>
    <row r="70" spans="1:1" ht="15" customHeight="1" x14ac:dyDescent="0.2">
      <c r="A70" s="8" t="s">
        <v>2523</v>
      </c>
    </row>
    <row r="71" spans="1:1" ht="15" customHeight="1" x14ac:dyDescent="0.25">
      <c r="A71" s="9" t="s">
        <v>3438</v>
      </c>
    </row>
    <row r="72" spans="1:1" ht="15" customHeight="1" x14ac:dyDescent="0.25">
      <c r="A72" s="9" t="s">
        <v>3439</v>
      </c>
    </row>
    <row r="73" spans="1:1" ht="15" customHeight="1" x14ac:dyDescent="0.25">
      <c r="A73" s="9" t="s">
        <v>3440</v>
      </c>
    </row>
    <row r="74" spans="1:1" ht="15" customHeight="1" x14ac:dyDescent="0.25">
      <c r="A74" s="9" t="s">
        <v>3441</v>
      </c>
    </row>
    <row r="76" spans="1:1" ht="15" customHeight="1" x14ac:dyDescent="0.2">
      <c r="A76" s="9" t="s">
        <v>98</v>
      </c>
    </row>
    <row r="78" spans="1:1" ht="15" customHeight="1" x14ac:dyDescent="0.25">
      <c r="A78" s="9" t="s">
        <v>3443</v>
      </c>
    </row>
    <row r="80" spans="1:1" ht="15" customHeight="1" x14ac:dyDescent="0.2">
      <c r="A80" s="8" t="s">
        <v>2524</v>
      </c>
    </row>
    <row r="81" spans="1:1" ht="15" customHeight="1" x14ac:dyDescent="0.2">
      <c r="A81" s="9" t="s">
        <v>2525</v>
      </c>
    </row>
    <row r="82" spans="1:1" ht="15" customHeight="1" x14ac:dyDescent="0.2">
      <c r="A82" s="9" t="s">
        <v>2526</v>
      </c>
    </row>
    <row r="83" spans="1:1" ht="15" customHeight="1" x14ac:dyDescent="0.2">
      <c r="A83" s="9" t="s">
        <v>2527</v>
      </c>
    </row>
    <row r="84" spans="1:1" ht="15" customHeight="1" x14ac:dyDescent="0.2">
      <c r="A84" s="9" t="s">
        <v>2528</v>
      </c>
    </row>
    <row r="86" spans="1:1" ht="15" customHeight="1" x14ac:dyDescent="0.2">
      <c r="A86" s="9" t="s">
        <v>110</v>
      </c>
    </row>
    <row r="88" spans="1:1" ht="15" customHeight="1" x14ac:dyDescent="0.25">
      <c r="A88" s="9" t="s">
        <v>3444</v>
      </c>
    </row>
    <row r="90" spans="1:1" ht="15" customHeight="1" x14ac:dyDescent="0.2">
      <c r="A90" s="8" t="s">
        <v>2529</v>
      </c>
    </row>
    <row r="91" spans="1:1" ht="15" customHeight="1" x14ac:dyDescent="0.2">
      <c r="A91" s="9" t="s">
        <v>2525</v>
      </c>
    </row>
    <row r="92" spans="1:1" ht="15" customHeight="1" x14ac:dyDescent="0.2">
      <c r="A92" s="9" t="s">
        <v>2526</v>
      </c>
    </row>
    <row r="93" spans="1:1" ht="15" customHeight="1" x14ac:dyDescent="0.2">
      <c r="A93" s="9" t="s">
        <v>2527</v>
      </c>
    </row>
    <row r="94" spans="1:1" ht="15" customHeight="1" x14ac:dyDescent="0.2">
      <c r="A94" s="9" t="s">
        <v>2528</v>
      </c>
    </row>
    <row r="96" spans="1:1" ht="15" customHeight="1" x14ac:dyDescent="0.2">
      <c r="A96" s="9" t="s">
        <v>80</v>
      </c>
    </row>
    <row r="98" spans="1:1" ht="15" customHeight="1" x14ac:dyDescent="0.25">
      <c r="A98" s="9" t="s">
        <v>3445</v>
      </c>
    </row>
    <row r="100" spans="1:1" ht="15" customHeight="1" x14ac:dyDescent="0.2">
      <c r="A100" s="8" t="s">
        <v>2530</v>
      </c>
    </row>
    <row r="101" spans="1:1" ht="15" customHeight="1" x14ac:dyDescent="0.2">
      <c r="A101" s="9" t="s">
        <v>2531</v>
      </c>
    </row>
    <row r="102" spans="1:1" ht="15" customHeight="1" x14ac:dyDescent="0.2">
      <c r="A102" s="9" t="s">
        <v>2532</v>
      </c>
    </row>
    <row r="103" spans="1:1" ht="15" customHeight="1" x14ac:dyDescent="0.2">
      <c r="A103" s="9" t="s">
        <v>2533</v>
      </c>
    </row>
    <row r="104" spans="1:1" ht="15" customHeight="1" x14ac:dyDescent="0.2">
      <c r="A104" s="9" t="s">
        <v>2534</v>
      </c>
    </row>
    <row r="106" spans="1:1" ht="15" customHeight="1" x14ac:dyDescent="0.2">
      <c r="A106" s="9" t="s">
        <v>110</v>
      </c>
    </row>
    <row r="108" spans="1:1" ht="15" customHeight="1" x14ac:dyDescent="0.2">
      <c r="A108" s="9" t="s">
        <v>2535</v>
      </c>
    </row>
    <row r="109" spans="1:1" ht="15" customHeight="1" x14ac:dyDescent="0.2">
      <c r="A109" s="9" t="s">
        <v>2536</v>
      </c>
    </row>
    <row r="111" spans="1:1" ht="15" customHeight="1" x14ac:dyDescent="0.2">
      <c r="A111" s="8" t="s">
        <v>2537</v>
      </c>
    </row>
    <row r="112" spans="1:1" ht="15" customHeight="1" x14ac:dyDescent="0.2">
      <c r="A112" s="9" t="s">
        <v>2538</v>
      </c>
    </row>
    <row r="113" spans="1:1" ht="15" customHeight="1" x14ac:dyDescent="0.2">
      <c r="A113" s="9" t="s">
        <v>2539</v>
      </c>
    </row>
    <row r="114" spans="1:1" ht="15" customHeight="1" x14ac:dyDescent="0.2">
      <c r="A114" s="9" t="s">
        <v>2540</v>
      </c>
    </row>
    <row r="115" spans="1:1" ht="15" customHeight="1" x14ac:dyDescent="0.2">
      <c r="A115" s="9" t="s">
        <v>2541</v>
      </c>
    </row>
    <row r="117" spans="1:1" ht="15" customHeight="1" x14ac:dyDescent="0.2">
      <c r="A117" s="9" t="s">
        <v>88</v>
      </c>
    </row>
    <row r="119" spans="1:1" ht="15" customHeight="1" x14ac:dyDescent="0.2">
      <c r="A119" s="9" t="s">
        <v>2542</v>
      </c>
    </row>
    <row r="121" spans="1:1" ht="15" customHeight="1" x14ac:dyDescent="0.2">
      <c r="A121" s="8" t="s">
        <v>2543</v>
      </c>
    </row>
    <row r="122" spans="1:1" ht="15" customHeight="1" x14ac:dyDescent="0.2">
      <c r="A122" s="9" t="s">
        <v>2544</v>
      </c>
    </row>
    <row r="123" spans="1:1" ht="15" customHeight="1" x14ac:dyDescent="0.2">
      <c r="A123" s="9" t="s">
        <v>2545</v>
      </c>
    </row>
    <row r="124" spans="1:1" ht="15" customHeight="1" x14ac:dyDescent="0.2">
      <c r="A124" s="9" t="s">
        <v>2546</v>
      </c>
    </row>
    <row r="125" spans="1:1" ht="15" customHeight="1" x14ac:dyDescent="0.2">
      <c r="A125" s="9" t="s">
        <v>2547</v>
      </c>
    </row>
    <row r="127" spans="1:1" ht="15" customHeight="1" x14ac:dyDescent="0.2">
      <c r="A127" s="9" t="s">
        <v>110</v>
      </c>
    </row>
    <row r="129" spans="1:1" ht="15" customHeight="1" x14ac:dyDescent="0.2">
      <c r="A129" s="9" t="s">
        <v>2548</v>
      </c>
    </row>
    <row r="131" spans="1:1" ht="15" customHeight="1" x14ac:dyDescent="0.2">
      <c r="A131" s="8" t="s">
        <v>2549</v>
      </c>
    </row>
    <row r="132" spans="1:1" ht="15" customHeight="1" x14ac:dyDescent="0.2">
      <c r="A132" s="9" t="s">
        <v>2550</v>
      </c>
    </row>
    <row r="133" spans="1:1" ht="15" customHeight="1" x14ac:dyDescent="0.2">
      <c r="A133" s="9" t="s">
        <v>2552</v>
      </c>
    </row>
    <row r="134" spans="1:1" ht="15" customHeight="1" x14ac:dyDescent="0.2">
      <c r="A134" s="9" t="s">
        <v>2553</v>
      </c>
    </row>
    <row r="135" spans="1:1" ht="15" customHeight="1" x14ac:dyDescent="0.2">
      <c r="A135" s="9" t="s">
        <v>2555</v>
      </c>
    </row>
    <row r="137" spans="1:1" ht="15" customHeight="1" x14ac:dyDescent="0.2">
      <c r="A137" s="9" t="s">
        <v>88</v>
      </c>
    </row>
    <row r="139" spans="1:1" ht="15" customHeight="1" x14ac:dyDescent="0.2">
      <c r="A139" s="9" t="s">
        <v>2556</v>
      </c>
    </row>
    <row r="141" spans="1:1" ht="15" customHeight="1" x14ac:dyDescent="0.2">
      <c r="A141" s="8" t="s">
        <v>2557</v>
      </c>
    </row>
    <row r="142" spans="1:1" ht="15" customHeight="1" x14ac:dyDescent="0.2">
      <c r="A142" s="9" t="s">
        <v>2550</v>
      </c>
    </row>
    <row r="143" spans="1:1" ht="15" customHeight="1" x14ac:dyDescent="0.2">
      <c r="A143" s="9" t="s">
        <v>2551</v>
      </c>
    </row>
    <row r="144" spans="1:1" ht="15" customHeight="1" x14ac:dyDescent="0.2">
      <c r="A144" s="9" t="s">
        <v>2553</v>
      </c>
    </row>
    <row r="145" spans="1:1" ht="15" customHeight="1" x14ac:dyDescent="0.2">
      <c r="A145" s="9" t="s">
        <v>2554</v>
      </c>
    </row>
    <row r="147" spans="1:1" ht="15" customHeight="1" x14ac:dyDescent="0.2">
      <c r="A147" s="9" t="s">
        <v>110</v>
      </c>
    </row>
    <row r="149" spans="1:1" ht="15" customHeight="1" x14ac:dyDescent="0.2">
      <c r="A149" s="9" t="s">
        <v>2558</v>
      </c>
    </row>
    <row r="151" spans="1:1" ht="15" customHeight="1" x14ac:dyDescent="0.2">
      <c r="A151" s="8" t="s">
        <v>2559</v>
      </c>
    </row>
    <row r="152" spans="1:1" ht="15" customHeight="1" x14ac:dyDescent="0.2">
      <c r="A152" s="8" t="s">
        <v>2560</v>
      </c>
    </row>
    <row r="153" spans="1:1" ht="15" customHeight="1" x14ac:dyDescent="0.2">
      <c r="A153" s="9" t="s">
        <v>3446</v>
      </c>
    </row>
    <row r="154" spans="1:1" ht="15" customHeight="1" x14ac:dyDescent="0.2">
      <c r="A154" s="9" t="s">
        <v>3447</v>
      </c>
    </row>
    <row r="155" spans="1:1" ht="15" customHeight="1" x14ac:dyDescent="0.2">
      <c r="A155" s="9" t="s">
        <v>3448</v>
      </c>
    </row>
    <row r="156" spans="1:1" ht="15" customHeight="1" x14ac:dyDescent="0.2">
      <c r="A156" s="9" t="s">
        <v>3449</v>
      </c>
    </row>
    <row r="158" spans="1:1" ht="15" customHeight="1" x14ac:dyDescent="0.2">
      <c r="A158" s="9" t="s">
        <v>98</v>
      </c>
    </row>
    <row r="160" spans="1:1" ht="15" customHeight="1" x14ac:dyDescent="0.2">
      <c r="A160" s="9" t="s">
        <v>2561</v>
      </c>
    </row>
    <row r="162" spans="1:2" ht="15" customHeight="1" x14ac:dyDescent="0.2">
      <c r="A162" s="9" t="s">
        <v>3124</v>
      </c>
    </row>
    <row r="163" spans="1:2" ht="15" customHeight="1" x14ac:dyDescent="0.2">
      <c r="A163" s="9" t="s">
        <v>3450</v>
      </c>
    </row>
    <row r="165" spans="1:2" ht="15" customHeight="1" x14ac:dyDescent="0.25">
      <c r="A165" s="25" t="s">
        <v>3451</v>
      </c>
      <c r="B165" s="12">
        <v>100</v>
      </c>
    </row>
    <row r="166" spans="1:2" ht="15" customHeight="1" x14ac:dyDescent="0.2">
      <c r="A166" s="25" t="s">
        <v>82</v>
      </c>
      <c r="B166" s="12">
        <v>100</v>
      </c>
    </row>
    <row r="167" spans="1:2" ht="15" customHeight="1" x14ac:dyDescent="0.2">
      <c r="A167" s="25" t="s">
        <v>83</v>
      </c>
      <c r="B167" s="9">
        <v>0.25</v>
      </c>
    </row>
    <row r="168" spans="1:2" ht="15" customHeight="1" x14ac:dyDescent="0.2">
      <c r="A168" s="25" t="s">
        <v>99</v>
      </c>
      <c r="B168" s="21">
        <v>0.03</v>
      </c>
    </row>
    <row r="169" spans="1:2" ht="15" customHeight="1" x14ac:dyDescent="0.2">
      <c r="A169" s="25" t="s">
        <v>190</v>
      </c>
      <c r="B169" s="21">
        <v>0.4</v>
      </c>
    </row>
    <row r="171" spans="1:2" ht="15" customHeight="1" x14ac:dyDescent="0.2">
      <c r="A171" s="25" t="s">
        <v>3452</v>
      </c>
      <c r="B171" s="15">
        <f>B166*EXP(-B168*B167)</f>
        <v>99.252805481913839</v>
      </c>
    </row>
    <row r="172" spans="1:2" ht="15" customHeight="1" x14ac:dyDescent="0.25">
      <c r="A172" s="25" t="s">
        <v>3453</v>
      </c>
      <c r="B172" s="9">
        <f>(LN(B165/B166)+(B168-B169^2/2)*B167)/(B169*SQRT(B167))</f>
        <v>-6.2500000000000014E-2</v>
      </c>
    </row>
    <row r="174" spans="1:2" ht="15" customHeight="1" x14ac:dyDescent="0.2">
      <c r="A174" s="8" t="s">
        <v>2562</v>
      </c>
    </row>
    <row r="175" spans="1:2" ht="15" customHeight="1" x14ac:dyDescent="0.2">
      <c r="A175" s="9" t="s">
        <v>2563</v>
      </c>
    </row>
    <row r="176" spans="1:2" ht="15" customHeight="1" x14ac:dyDescent="0.2">
      <c r="A176" s="9" t="s">
        <v>2564</v>
      </c>
    </row>
    <row r="177" spans="1:1" ht="15" customHeight="1" x14ac:dyDescent="0.2">
      <c r="A177" s="9" t="s">
        <v>2565</v>
      </c>
    </row>
    <row r="178" spans="1:1" ht="15" customHeight="1" x14ac:dyDescent="0.2">
      <c r="A178" s="9" t="s">
        <v>2566</v>
      </c>
    </row>
    <row r="180" spans="1:1" ht="15" customHeight="1" x14ac:dyDescent="0.2">
      <c r="A180" s="9" t="s">
        <v>110</v>
      </c>
    </row>
    <row r="182" spans="1:1" ht="15" customHeight="1" x14ac:dyDescent="0.2">
      <c r="A182" s="9" t="s">
        <v>2567</v>
      </c>
    </row>
    <row r="184" spans="1:1" ht="15" customHeight="1" x14ac:dyDescent="0.2">
      <c r="A184" s="8" t="s">
        <v>2568</v>
      </c>
    </row>
    <row r="185" spans="1:1" ht="15" customHeight="1" x14ac:dyDescent="0.2">
      <c r="A185" s="9" t="s">
        <v>2569</v>
      </c>
    </row>
    <row r="186" spans="1:1" ht="15" customHeight="1" x14ac:dyDescent="0.2">
      <c r="A186" s="9" t="s">
        <v>2570</v>
      </c>
    </row>
    <row r="187" spans="1:1" ht="15" customHeight="1" x14ac:dyDescent="0.2">
      <c r="A187" s="9" t="s">
        <v>2571</v>
      </c>
    </row>
    <row r="188" spans="1:1" ht="15" customHeight="1" x14ac:dyDescent="0.2">
      <c r="A188" s="9" t="s">
        <v>354</v>
      </c>
    </row>
    <row r="190" spans="1:1" ht="15" customHeight="1" x14ac:dyDescent="0.2">
      <c r="A190" s="9" t="s">
        <v>110</v>
      </c>
    </row>
    <row r="192" spans="1:1" ht="15" customHeight="1" x14ac:dyDescent="0.25">
      <c r="A192" s="9" t="s">
        <v>3454</v>
      </c>
    </row>
    <row r="194" spans="1:1" ht="15" customHeight="1" x14ac:dyDescent="0.2">
      <c r="A194" s="8" t="s">
        <v>2572</v>
      </c>
    </row>
    <row r="195" spans="1:1" ht="15" customHeight="1" x14ac:dyDescent="0.2">
      <c r="A195" s="9" t="s">
        <v>2573</v>
      </c>
    </row>
    <row r="196" spans="1:1" ht="15" customHeight="1" x14ac:dyDescent="0.2">
      <c r="A196" s="9" t="s">
        <v>2574</v>
      </c>
    </row>
    <row r="197" spans="1:1" ht="15" customHeight="1" x14ac:dyDescent="0.2">
      <c r="A197" s="9" t="s">
        <v>2575</v>
      </c>
    </row>
    <row r="198" spans="1:1" ht="15" customHeight="1" x14ac:dyDescent="0.2">
      <c r="A198" s="9" t="s">
        <v>404</v>
      </c>
    </row>
    <row r="200" spans="1:1" ht="15" customHeight="1" x14ac:dyDescent="0.2">
      <c r="A200" s="9" t="s">
        <v>98</v>
      </c>
    </row>
    <row r="202" spans="1:1" ht="15" customHeight="1" x14ac:dyDescent="0.2">
      <c r="A202" s="9" t="s">
        <v>2576</v>
      </c>
    </row>
    <row r="204" spans="1:1" ht="15" customHeight="1" x14ac:dyDescent="0.2">
      <c r="A204" s="8" t="s">
        <v>2577</v>
      </c>
    </row>
    <row r="205" spans="1:1" ht="15" customHeight="1" x14ac:dyDescent="0.2">
      <c r="A205" s="9" t="s">
        <v>2578</v>
      </c>
    </row>
    <row r="206" spans="1:1" ht="15" customHeight="1" x14ac:dyDescent="0.2">
      <c r="A206" s="9" t="s">
        <v>2579</v>
      </c>
    </row>
    <row r="207" spans="1:1" ht="15" customHeight="1" x14ac:dyDescent="0.2">
      <c r="A207" s="9" t="s">
        <v>2580</v>
      </c>
    </row>
    <row r="208" spans="1:1" ht="15" customHeight="1" x14ac:dyDescent="0.2">
      <c r="A208" s="9" t="s">
        <v>2581</v>
      </c>
    </row>
    <row r="210" spans="1:1" ht="15" customHeight="1" x14ac:dyDescent="0.2">
      <c r="A210" s="9" t="s">
        <v>88</v>
      </c>
    </row>
    <row r="212" spans="1:1" ht="15" customHeight="1" x14ac:dyDescent="0.2">
      <c r="A212" s="9" t="s">
        <v>3455</v>
      </c>
    </row>
    <row r="213" spans="1:1" ht="15" customHeight="1" x14ac:dyDescent="0.2">
      <c r="A213" s="9" t="s">
        <v>2582</v>
      </c>
    </row>
    <row r="215" spans="1:1" ht="15" customHeight="1" x14ac:dyDescent="0.2">
      <c r="A215" s="8" t="s">
        <v>2583</v>
      </c>
    </row>
    <row r="216" spans="1:1" ht="15" customHeight="1" x14ac:dyDescent="0.2">
      <c r="A216" s="9" t="s">
        <v>2584</v>
      </c>
    </row>
    <row r="217" spans="1:1" ht="15" customHeight="1" x14ac:dyDescent="0.2">
      <c r="A217" s="9" t="s">
        <v>2585</v>
      </c>
    </row>
    <row r="218" spans="1:1" ht="15" customHeight="1" x14ac:dyDescent="0.2">
      <c r="A218" s="9" t="s">
        <v>2586</v>
      </c>
    </row>
    <row r="219" spans="1:1" ht="15" customHeight="1" x14ac:dyDescent="0.2">
      <c r="A219" s="9" t="s">
        <v>2587</v>
      </c>
    </row>
    <row r="221" spans="1:1" ht="15" customHeight="1" x14ac:dyDescent="0.2">
      <c r="A221" s="9" t="s">
        <v>110</v>
      </c>
    </row>
    <row r="223" spans="1:1" ht="15" customHeight="1" x14ac:dyDescent="0.2">
      <c r="A223" s="9" t="s">
        <v>2588</v>
      </c>
    </row>
  </sheetData>
  <mergeCells count="1">
    <mergeCell ref="A1:P1"/>
  </mergeCells>
  <phoneticPr fontId="0" type="noConversion"/>
  <pageMargins left="0.35" right="0.35" top="0.45" bottom="0.45" header="0.2" footer="0.2"/>
  <pageSetup paperSize="9" fitToHeight="0" orientation="landscape"/>
  <headerFooter>
    <oddFooter>&amp;L&amp;"Times New Roman,Regular"&amp;8John C. Hull – 12a edizione&amp;C&amp;"Times New Roman,Regular"&amp;8Tests&amp;R&amp;"Times New Roman,Regular"&amp;8&amp;A | &amp;P</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5">
    <tabColor rgb="FF536878"/>
  </sheetPr>
  <dimension ref="A1:BY204"/>
  <sheetViews>
    <sheetView showGridLines="0" zoomScaleNormal="100" workbookViewId="0">
      <selection sqref="A1:P1"/>
    </sheetView>
  </sheetViews>
  <sheetFormatPr defaultRowHeight="15" customHeight="1" x14ac:dyDescent="0.2"/>
  <cols>
    <col min="1" max="1" width="9.140625" style="8"/>
    <col min="2" max="3" width="9.140625" style="9" customWidth="1"/>
    <col min="4" max="16384" width="9.140625" style="9"/>
  </cols>
  <sheetData>
    <row r="1" spans="1:77" ht="15" customHeight="1" x14ac:dyDescent="0.2">
      <c r="A1" s="8" t="s">
        <v>2611</v>
      </c>
      <c r="B1" s="9" t="str">
        <f>'1'!A9</f>
        <v>(b)</v>
      </c>
      <c r="D1" s="8" t="s">
        <v>2620</v>
      </c>
      <c r="E1" s="9" t="str">
        <f>'2'!A9</f>
        <v>(c)</v>
      </c>
      <c r="G1" s="8" t="s">
        <v>2629</v>
      </c>
      <c r="H1" s="9" t="str">
        <f>'3'!A9</f>
        <v>(a)</v>
      </c>
      <c r="J1" s="8" t="s">
        <v>2649</v>
      </c>
      <c r="K1" s="9" t="str">
        <f>'4'!A9</f>
        <v>(b)</v>
      </c>
      <c r="M1" s="8" t="s">
        <v>2669</v>
      </c>
      <c r="N1" s="9" t="str">
        <f>'5'!A9</f>
        <v>(c)</v>
      </c>
      <c r="P1" s="8" t="s">
        <v>2689</v>
      </c>
      <c r="Q1" s="9" t="str">
        <f>'6'!A9</f>
        <v>(c)</v>
      </c>
      <c r="S1" s="8" t="s">
        <v>2709</v>
      </c>
      <c r="T1" s="9" t="str">
        <f>'7'!A9</f>
        <v>(b)</v>
      </c>
      <c r="V1" s="8" t="s">
        <v>2729</v>
      </c>
      <c r="W1" s="9" t="str">
        <f>'8'!A9</f>
        <v>(c)</v>
      </c>
      <c r="Y1" s="8" t="s">
        <v>2749</v>
      </c>
      <c r="Z1" s="9" t="str">
        <f>'9'!A9</f>
        <v>(c)</v>
      </c>
      <c r="AB1" s="8" t="s">
        <v>2769</v>
      </c>
      <c r="AC1" s="9" t="str">
        <f>'10'!A9</f>
        <v>(a)</v>
      </c>
      <c r="AE1" s="8" t="s">
        <v>2789</v>
      </c>
      <c r="AF1" s="9" t="str">
        <f>'11'!A9</f>
        <v>(c)</v>
      </c>
      <c r="AH1" s="8" t="s">
        <v>2809</v>
      </c>
      <c r="AI1" s="9" t="str">
        <f>'12'!A9</f>
        <v>(a)</v>
      </c>
      <c r="AK1" s="8" t="s">
        <v>2829</v>
      </c>
      <c r="AL1" s="9" t="str">
        <f>'13'!A10</f>
        <v>(b)</v>
      </c>
      <c r="AN1" s="8" t="s">
        <v>2849</v>
      </c>
      <c r="AO1" s="9" t="str">
        <f>'14'!A10</f>
        <v>(c)</v>
      </c>
      <c r="AQ1" s="8" t="s">
        <v>2869</v>
      </c>
      <c r="AR1" s="9" t="str">
        <f>'15'!A9</f>
        <v>(b)</v>
      </c>
      <c r="AT1" s="8" t="s">
        <v>2889</v>
      </c>
      <c r="AU1" s="9" t="str">
        <f>'16'!A9</f>
        <v>(b)</v>
      </c>
      <c r="AW1" s="8" t="s">
        <v>2909</v>
      </c>
      <c r="AX1" s="9" t="str">
        <f>'17'!A9</f>
        <v>(b)</v>
      </c>
      <c r="AZ1" s="8" t="s">
        <v>2929</v>
      </c>
      <c r="BA1" s="9" t="str">
        <f>'18'!A9</f>
        <v>(b)</v>
      </c>
      <c r="BC1" s="8" t="s">
        <v>2949</v>
      </c>
      <c r="BD1" s="9" t="str">
        <f>'19'!A9</f>
        <v>(b)</v>
      </c>
      <c r="BF1" s="8" t="s">
        <v>2969</v>
      </c>
      <c r="BG1" s="9" t="str">
        <f>'20'!A9</f>
        <v>(c)</v>
      </c>
      <c r="BI1" s="8" t="s">
        <v>2989</v>
      </c>
      <c r="BJ1" s="9" t="str">
        <f>'21'!A9</f>
        <v>(c)</v>
      </c>
      <c r="BL1" s="8" t="s">
        <v>3009</v>
      </c>
      <c r="BM1" s="9" t="str">
        <f>'22'!A9</f>
        <v>(c)</v>
      </c>
      <c r="BO1" s="8" t="s">
        <v>3029</v>
      </c>
      <c r="BP1" s="9" t="str">
        <f>'23'!A9</f>
        <v>(a)</v>
      </c>
      <c r="BR1" s="8" t="s">
        <v>3048</v>
      </c>
      <c r="BS1" s="9" t="str">
        <f>'24'!A10</f>
        <v>(b)</v>
      </c>
      <c r="BU1" s="8" t="s">
        <v>3067</v>
      </c>
      <c r="BV1" s="9" t="str">
        <f>'25'!A9</f>
        <v>(d)</v>
      </c>
      <c r="BX1" s="8" t="s">
        <v>3086</v>
      </c>
      <c r="BY1" s="9" t="str">
        <f>'26'!A9</f>
        <v>(b)</v>
      </c>
    </row>
    <row r="2" spans="1:77" ht="15" customHeight="1" x14ac:dyDescent="0.2">
      <c r="A2" s="8" t="s">
        <v>2612</v>
      </c>
      <c r="B2" s="9" t="str">
        <f>'1'!A19</f>
        <v>(a)</v>
      </c>
      <c r="D2" s="8" t="s">
        <v>2621</v>
      </c>
      <c r="E2" s="9" t="str">
        <f>'2'!A19</f>
        <v>(a)</v>
      </c>
      <c r="G2" s="8" t="s">
        <v>2630</v>
      </c>
      <c r="H2" s="9" t="str">
        <f>'3'!A19</f>
        <v>(b)</v>
      </c>
      <c r="J2" s="8" t="s">
        <v>2650</v>
      </c>
      <c r="K2" s="9" t="str">
        <f>'4'!A19</f>
        <v>(c)</v>
      </c>
      <c r="M2" s="8" t="s">
        <v>2670</v>
      </c>
      <c r="N2" s="9" t="str">
        <f>'5'!A20</f>
        <v>(b)</v>
      </c>
      <c r="P2" s="8" t="s">
        <v>2690</v>
      </c>
      <c r="Q2" s="9" t="str">
        <f>'6'!A20</f>
        <v>(c)</v>
      </c>
      <c r="S2" s="8" t="s">
        <v>2710</v>
      </c>
      <c r="T2" s="9" t="str">
        <f>'7'!A25</f>
        <v>(b)</v>
      </c>
      <c r="V2" s="8" t="s">
        <v>2730</v>
      </c>
      <c r="W2" s="9" t="str">
        <f>'8'!A22</f>
        <v>(b)</v>
      </c>
      <c r="Y2" s="8" t="s">
        <v>2750</v>
      </c>
      <c r="Z2" s="9" t="str">
        <f>'9'!A19</f>
        <v>(b)</v>
      </c>
      <c r="AB2" s="8" t="s">
        <v>2770</v>
      </c>
      <c r="AC2" s="9" t="str">
        <f>'10'!A19</f>
        <v>(d)</v>
      </c>
      <c r="AE2" s="8" t="s">
        <v>2790</v>
      </c>
      <c r="AF2" s="9" t="str">
        <f>'11'!A19</f>
        <v>(d)</v>
      </c>
      <c r="AH2" s="8" t="s">
        <v>2810</v>
      </c>
      <c r="AI2" s="9" t="str">
        <f>'12'!A19</f>
        <v>(b)</v>
      </c>
      <c r="AK2" s="8" t="s">
        <v>2830</v>
      </c>
      <c r="AL2" s="9" t="str">
        <f>'13'!A32</f>
        <v>(c)</v>
      </c>
      <c r="AN2" s="8" t="s">
        <v>2850</v>
      </c>
      <c r="AO2" s="9" t="str">
        <f>'14'!A29</f>
        <v>(b)</v>
      </c>
      <c r="AQ2" s="8" t="s">
        <v>2870</v>
      </c>
      <c r="AR2" s="9" t="str">
        <f>'15'!A19</f>
        <v>(d)</v>
      </c>
      <c r="AT2" s="8" t="s">
        <v>2890</v>
      </c>
      <c r="AU2" s="9" t="str">
        <f>'16'!A20</f>
        <v>(b)</v>
      </c>
      <c r="AW2" s="8" t="s">
        <v>2910</v>
      </c>
      <c r="AX2" s="9" t="str">
        <f>'17'!A19</f>
        <v>(d)</v>
      </c>
      <c r="AZ2" s="8" t="s">
        <v>2930</v>
      </c>
      <c r="BA2" s="9" t="str">
        <f>'18'!A19</f>
        <v>(a)</v>
      </c>
      <c r="BC2" s="8" t="s">
        <v>2950</v>
      </c>
      <c r="BD2" s="9" t="str">
        <f>'19'!A25</f>
        <v>(b)</v>
      </c>
      <c r="BF2" s="8" t="s">
        <v>2970</v>
      </c>
      <c r="BG2" s="9" t="str">
        <f>'20'!A19</f>
        <v>(a)</v>
      </c>
      <c r="BI2" s="8" t="s">
        <v>2990</v>
      </c>
      <c r="BJ2" s="9" t="str">
        <f>'21'!A23</f>
        <v>(d)</v>
      </c>
      <c r="BL2" s="8" t="s">
        <v>3010</v>
      </c>
      <c r="BM2" s="9" t="str">
        <f>'22'!A19</f>
        <v>(b)</v>
      </c>
      <c r="BO2" s="8" t="s">
        <v>26</v>
      </c>
      <c r="BP2" s="9" t="str">
        <f>'23'!A19</f>
        <v>(c)</v>
      </c>
      <c r="BR2" s="8" t="s">
        <v>27</v>
      </c>
      <c r="BS2" s="9" t="str">
        <f>'24'!A26</f>
        <v>(a)</v>
      </c>
      <c r="BU2" s="8" t="s">
        <v>166</v>
      </c>
      <c r="BV2" s="9" t="str">
        <f>'25'!A19</f>
        <v>(d)</v>
      </c>
      <c r="BX2" s="8" t="s">
        <v>3087</v>
      </c>
      <c r="BY2" s="9" t="str">
        <f>'26'!A19</f>
        <v>(b)</v>
      </c>
    </row>
    <row r="3" spans="1:77" ht="15" customHeight="1" x14ac:dyDescent="0.2">
      <c r="A3" s="8" t="s">
        <v>2613</v>
      </c>
      <c r="B3" s="9" t="str">
        <f>'1'!A31</f>
        <v>(a)</v>
      </c>
      <c r="D3" s="8" t="s">
        <v>2622</v>
      </c>
      <c r="E3" s="9" t="str">
        <f>'2'!A29</f>
        <v>(b)</v>
      </c>
      <c r="G3" s="8" t="s">
        <v>2631</v>
      </c>
      <c r="H3" s="9" t="str">
        <f>'3'!A31</f>
        <v>(a)</v>
      </c>
      <c r="J3" s="8" t="s">
        <v>2651</v>
      </c>
      <c r="K3" s="9" t="str">
        <f>'4'!A34</f>
        <v>(a)</v>
      </c>
      <c r="M3" s="8" t="s">
        <v>2671</v>
      </c>
      <c r="N3" s="9" t="str">
        <f>'5'!A41</f>
        <v>(a)</v>
      </c>
      <c r="P3" s="8" t="s">
        <v>2691</v>
      </c>
      <c r="Q3" s="9" t="str">
        <f>'6'!A41</f>
        <v>(a)</v>
      </c>
      <c r="S3" s="8" t="s">
        <v>2711</v>
      </c>
      <c r="T3" s="9" t="str">
        <f>'7'!A35</f>
        <v>(a)</v>
      </c>
      <c r="V3" s="8" t="s">
        <v>2731</v>
      </c>
      <c r="W3" s="9" t="str">
        <f>'8'!A34</f>
        <v>(d)</v>
      </c>
      <c r="Y3" s="8" t="s">
        <v>2751</v>
      </c>
      <c r="Z3" s="9" t="str">
        <f>'9'!A29</f>
        <v>(a)</v>
      </c>
      <c r="AB3" s="8" t="s">
        <v>2771</v>
      </c>
      <c r="AC3" s="9" t="str">
        <f>'10'!A30</f>
        <v>(c)</v>
      </c>
      <c r="AE3" s="8" t="s">
        <v>2791</v>
      </c>
      <c r="AF3" s="9" t="str">
        <f>'11'!A29</f>
        <v>(a)</v>
      </c>
      <c r="AH3" s="8" t="s">
        <v>2811</v>
      </c>
      <c r="AI3" s="9" t="str">
        <f>'12'!A29</f>
        <v>(a)</v>
      </c>
      <c r="AK3" s="8" t="s">
        <v>2831</v>
      </c>
      <c r="AL3" s="9" t="str">
        <f>'13'!A54</f>
        <v>(a)</v>
      </c>
      <c r="AN3" s="8" t="s">
        <v>2851</v>
      </c>
      <c r="AO3" s="9" t="str">
        <f>'14'!A49</f>
        <v>(b)</v>
      </c>
      <c r="AQ3" s="8" t="s">
        <v>2871</v>
      </c>
      <c r="AR3" s="9" t="str">
        <f>'15'!A29</f>
        <v>(a)</v>
      </c>
      <c r="AT3" s="8" t="s">
        <v>2891</v>
      </c>
      <c r="AU3" s="9" t="str">
        <f>'16'!A30</f>
        <v>(a)</v>
      </c>
      <c r="AW3" s="8" t="s">
        <v>2911</v>
      </c>
      <c r="AX3" s="9" t="str">
        <f>'17'!A29</f>
        <v>(b)</v>
      </c>
      <c r="AZ3" s="8" t="s">
        <v>2931</v>
      </c>
      <c r="BA3" s="9" t="str">
        <f>'18'!A29</f>
        <v>(a)</v>
      </c>
      <c r="BC3" s="8" t="s">
        <v>2951</v>
      </c>
      <c r="BD3" s="9" t="str">
        <f>'19'!A35</f>
        <v>(a)</v>
      </c>
      <c r="BF3" s="8" t="s">
        <v>2971</v>
      </c>
      <c r="BG3" s="9" t="str">
        <f>'20'!A30</f>
        <v>(d)</v>
      </c>
      <c r="BI3" s="8" t="s">
        <v>2991</v>
      </c>
      <c r="BJ3" s="9" t="str">
        <f>'21'!A33</f>
        <v>(b)</v>
      </c>
      <c r="BL3" s="8" t="s">
        <v>3011</v>
      </c>
      <c r="BM3" s="9" t="str">
        <f>'22'!A36</f>
        <v>(a)</v>
      </c>
      <c r="BO3" s="8" t="s">
        <v>3030</v>
      </c>
      <c r="BP3" s="9" t="str">
        <f>'23'!A29</f>
        <v>(c)</v>
      </c>
      <c r="BR3" s="8" t="s">
        <v>3049</v>
      </c>
      <c r="BS3" s="9" t="str">
        <f>'24'!A37</f>
        <v>(b)</v>
      </c>
      <c r="BU3" s="8" t="s">
        <v>3068</v>
      </c>
      <c r="BV3" s="9" t="str">
        <f>'25'!A29</f>
        <v>(b)</v>
      </c>
      <c r="BX3" s="8" t="s">
        <v>3088</v>
      </c>
      <c r="BY3" s="9" t="str">
        <f>'26'!A29</f>
        <v>(b)</v>
      </c>
    </row>
    <row r="4" spans="1:77" ht="15" customHeight="1" x14ac:dyDescent="0.2">
      <c r="A4" s="8" t="s">
        <v>2614</v>
      </c>
      <c r="B4" s="9" t="str">
        <f>'1'!A48</f>
        <v>(d)</v>
      </c>
      <c r="D4" s="8" t="s">
        <v>2623</v>
      </c>
      <c r="E4" s="9" t="str">
        <f>'2'!A41</f>
        <v>(d)</v>
      </c>
      <c r="G4" s="8" t="s">
        <v>2632</v>
      </c>
      <c r="H4" s="9" t="str">
        <f>'3'!A53</f>
        <v>(d)</v>
      </c>
      <c r="J4" s="8" t="s">
        <v>2652</v>
      </c>
      <c r="K4" s="9" t="str">
        <f>'4'!A49</f>
        <v>(a)</v>
      </c>
      <c r="M4" s="8" t="s">
        <v>2672</v>
      </c>
      <c r="N4" s="9" t="str">
        <f>'5'!A58</f>
        <v>(b)</v>
      </c>
      <c r="P4" s="8" t="s">
        <v>2692</v>
      </c>
      <c r="Q4" s="9" t="str">
        <f>'6'!A62</f>
        <v>(c)</v>
      </c>
      <c r="S4" s="8" t="s">
        <v>2712</v>
      </c>
      <c r="T4" s="9" t="str">
        <f>'7'!A46</f>
        <v>(c)</v>
      </c>
      <c r="V4" s="8" t="s">
        <v>2732</v>
      </c>
      <c r="W4" s="9" t="str">
        <f>'8'!A47</f>
        <v>(b)</v>
      </c>
      <c r="Y4" s="8" t="s">
        <v>2752</v>
      </c>
      <c r="Z4" s="9" t="str">
        <f>'9'!A39</f>
        <v>(b)</v>
      </c>
      <c r="AB4" s="8" t="s">
        <v>2772</v>
      </c>
      <c r="AC4" s="9" t="str">
        <f>'10'!A48</f>
        <v>(d)</v>
      </c>
      <c r="AE4" s="8" t="s">
        <v>2792</v>
      </c>
      <c r="AF4" s="9" t="str">
        <f>'11'!A39</f>
        <v>(d)</v>
      </c>
      <c r="AH4" s="8" t="s">
        <v>2812</v>
      </c>
      <c r="AI4" s="9" t="str">
        <f>'12'!A39</f>
        <v>(b)</v>
      </c>
      <c r="AK4" s="8" t="s">
        <v>2832</v>
      </c>
      <c r="AL4" s="9" t="str">
        <f>'13'!A78</f>
        <v>(c)</v>
      </c>
      <c r="AN4" s="8" t="s">
        <v>2852</v>
      </c>
      <c r="AO4" s="9" t="str">
        <f>'14'!A68</f>
        <v>(a)</v>
      </c>
      <c r="AQ4" s="8" t="s">
        <v>2872</v>
      </c>
      <c r="AR4" s="9" t="str">
        <f>'15'!A40</f>
        <v>(b)</v>
      </c>
      <c r="AT4" s="8" t="s">
        <v>2892</v>
      </c>
      <c r="AU4" s="9" t="str">
        <f>'16'!A40</f>
        <v>(d)</v>
      </c>
      <c r="AW4" s="8" t="s">
        <v>2912</v>
      </c>
      <c r="AX4" s="9" t="str">
        <f>'17'!A40</f>
        <v>(c)</v>
      </c>
      <c r="AZ4" s="8" t="s">
        <v>2932</v>
      </c>
      <c r="BA4" s="9" t="str">
        <f>'18'!A40</f>
        <v>(a)</v>
      </c>
      <c r="BC4" s="8" t="s">
        <v>2952</v>
      </c>
      <c r="BD4" s="9" t="str">
        <f>'19'!A45</f>
        <v>(d)</v>
      </c>
      <c r="BF4" s="8" t="s">
        <v>2972</v>
      </c>
      <c r="BG4" s="9" t="str">
        <f>'20'!A41</f>
        <v>(c)</v>
      </c>
      <c r="BI4" s="8" t="s">
        <v>2992</v>
      </c>
      <c r="BJ4" s="9" t="str">
        <f>'21'!A44</f>
        <v>(d)</v>
      </c>
      <c r="BL4" s="8" t="s">
        <v>3012</v>
      </c>
      <c r="BM4" s="9" t="str">
        <f>'22'!A54</f>
        <v>(c)</v>
      </c>
      <c r="BO4" s="8" t="s">
        <v>3031</v>
      </c>
      <c r="BP4" s="9" t="str">
        <f>'23'!A46</f>
        <v>(b)</v>
      </c>
      <c r="BR4" s="8" t="s">
        <v>3050</v>
      </c>
      <c r="BS4" s="9" t="str">
        <f>'24'!A47</f>
        <v>(c)</v>
      </c>
      <c r="BU4" s="8" t="s">
        <v>3069</v>
      </c>
      <c r="BV4" s="9" t="str">
        <f>'25'!A39</f>
        <v>(d)</v>
      </c>
      <c r="BX4" s="8" t="s">
        <v>3089</v>
      </c>
      <c r="BY4" s="9" t="str">
        <f>'26'!A39</f>
        <v>(d)</v>
      </c>
    </row>
    <row r="5" spans="1:77" ht="15" customHeight="1" x14ac:dyDescent="0.2">
      <c r="A5" s="8" t="s">
        <v>2615</v>
      </c>
      <c r="B5" s="9" t="str">
        <f>'1'!A64</f>
        <v>(d)</v>
      </c>
      <c r="D5" s="8" t="s">
        <v>2624</v>
      </c>
      <c r="E5" s="9" t="str">
        <f>'2'!A62</f>
        <v>(b)</v>
      </c>
      <c r="G5" s="8" t="s">
        <v>2633</v>
      </c>
      <c r="H5" s="9" t="str">
        <f>'3'!A74</f>
        <v>(a)</v>
      </c>
      <c r="J5" s="8" t="s">
        <v>2653</v>
      </c>
      <c r="K5" s="9" t="str">
        <f>'4'!A65</f>
        <v>(d)</v>
      </c>
      <c r="M5" s="8" t="s">
        <v>2673</v>
      </c>
      <c r="N5" s="9" t="str">
        <f>'5'!A83</f>
        <v>(d)</v>
      </c>
      <c r="P5" s="8" t="s">
        <v>2693</v>
      </c>
      <c r="Q5" s="9" t="str">
        <f>'6'!A79</f>
        <v>(d)</v>
      </c>
      <c r="S5" s="8" t="s">
        <v>2713</v>
      </c>
      <c r="T5" s="9" t="str">
        <f>'7'!A56</f>
        <v>(d)</v>
      </c>
      <c r="V5" s="8" t="s">
        <v>2733</v>
      </c>
      <c r="W5" s="9" t="str">
        <f>'8'!A69</f>
        <v>(d)</v>
      </c>
      <c r="Y5" s="8" t="s">
        <v>2753</v>
      </c>
      <c r="Z5" s="9" t="str">
        <f>'9'!A50</f>
        <v>(b)</v>
      </c>
      <c r="AB5" s="8" t="s">
        <v>2773</v>
      </c>
      <c r="AC5" s="9" t="str">
        <f>'10'!A66</f>
        <v>(a)</v>
      </c>
      <c r="AE5" s="8" t="s">
        <v>2793</v>
      </c>
      <c r="AF5" s="9" t="str">
        <f>'11'!A49</f>
        <v>(c)</v>
      </c>
      <c r="AH5" s="8" t="s">
        <v>2813</v>
      </c>
      <c r="AI5" s="9" t="str">
        <f>'12'!A49</f>
        <v>(c)</v>
      </c>
      <c r="AK5" s="8" t="s">
        <v>2833</v>
      </c>
      <c r="AL5" s="9" t="str">
        <f>'13'!A98</f>
        <v>(d)</v>
      </c>
      <c r="AN5" s="8" t="s">
        <v>2853</v>
      </c>
      <c r="AO5" s="9" t="str">
        <f>'14'!A78</f>
        <v>(c)</v>
      </c>
      <c r="AQ5" s="8" t="s">
        <v>2873</v>
      </c>
      <c r="AR5" s="9" t="str">
        <f>'15'!A56</f>
        <v>(b)</v>
      </c>
      <c r="AT5" s="8" t="s">
        <v>2893</v>
      </c>
      <c r="AU5" s="9" t="str">
        <f>'16'!A50</f>
        <v>(d)</v>
      </c>
      <c r="AW5" s="8" t="s">
        <v>2913</v>
      </c>
      <c r="AX5" s="9" t="str">
        <f>'17'!A52</f>
        <v>(b)</v>
      </c>
      <c r="AZ5" s="8" t="s">
        <v>2933</v>
      </c>
      <c r="BA5" s="9" t="str">
        <f>'18'!A50</f>
        <v>(c)</v>
      </c>
      <c r="BC5" s="8" t="s">
        <v>2953</v>
      </c>
      <c r="BD5" s="9" t="str">
        <f>'19'!A55</f>
        <v>(c)</v>
      </c>
      <c r="BF5" s="8" t="s">
        <v>2973</v>
      </c>
      <c r="BG5" s="9" t="str">
        <f>'20'!A51</f>
        <v>(c)</v>
      </c>
      <c r="BI5" s="8" t="s">
        <v>2993</v>
      </c>
      <c r="BJ5" s="9" t="str">
        <f>'21'!A54</f>
        <v>(b)</v>
      </c>
      <c r="BL5" s="8" t="s">
        <v>3013</v>
      </c>
      <c r="BM5" s="9" t="str">
        <f>'22'!A64</f>
        <v>(b)</v>
      </c>
      <c r="BO5" s="8" t="s">
        <v>3032</v>
      </c>
      <c r="BP5" s="9" t="str">
        <f>'23'!A64</f>
        <v>(a)</v>
      </c>
      <c r="BR5" s="8" t="s">
        <v>3051</v>
      </c>
      <c r="BS5" s="9" t="str">
        <f>'24'!A63</f>
        <v>(c)</v>
      </c>
      <c r="BU5" s="8" t="s">
        <v>3070</v>
      </c>
      <c r="BV5" s="9" t="str">
        <f>'25'!A54</f>
        <v>(d)</v>
      </c>
      <c r="BX5" s="8" t="s">
        <v>3090</v>
      </c>
      <c r="BY5" s="9" t="str">
        <f>'26'!A49</f>
        <v>(c)</v>
      </c>
    </row>
    <row r="6" spans="1:77" ht="15" customHeight="1" x14ac:dyDescent="0.2">
      <c r="A6" s="10" t="s">
        <v>2616</v>
      </c>
      <c r="B6" s="9" t="str">
        <f>'1'!A75</f>
        <v>(a)</v>
      </c>
      <c r="D6" s="10" t="s">
        <v>2625</v>
      </c>
      <c r="E6" s="9" t="str">
        <f>'2'!A82</f>
        <v>(b)</v>
      </c>
      <c r="G6" s="10" t="s">
        <v>2634</v>
      </c>
      <c r="H6" s="9" t="str">
        <f>'3'!A91</f>
        <v>(d)</v>
      </c>
      <c r="J6" s="10" t="s">
        <v>2654</v>
      </c>
      <c r="K6" s="9" t="str">
        <f>'4'!A83</f>
        <v>(c)</v>
      </c>
      <c r="M6" s="10" t="s">
        <v>2674</v>
      </c>
      <c r="N6" s="9" t="str">
        <f>'5'!A100</f>
        <v>(a)</v>
      </c>
      <c r="P6" s="10" t="s">
        <v>2694</v>
      </c>
      <c r="Q6" s="9" t="str">
        <f>'6'!A89</f>
        <v>(b)</v>
      </c>
      <c r="S6" s="10" t="s">
        <v>2714</v>
      </c>
      <c r="T6" s="9" t="str">
        <f>'7'!A66</f>
        <v>(a)</v>
      </c>
      <c r="V6" s="10" t="s">
        <v>2734</v>
      </c>
      <c r="W6" s="9" t="str">
        <f>'8'!A99</f>
        <v>(a)</v>
      </c>
      <c r="Y6" s="10" t="s">
        <v>2754</v>
      </c>
      <c r="Z6" s="9" t="str">
        <f>'9'!A62</f>
        <v>(c)</v>
      </c>
      <c r="AB6" s="10" t="s">
        <v>2774</v>
      </c>
      <c r="AC6" s="9" t="str">
        <f>'10'!A76</f>
        <v>(d)</v>
      </c>
      <c r="AE6" s="10" t="s">
        <v>2794</v>
      </c>
      <c r="AF6" s="9" t="str">
        <f>'11'!A62</f>
        <v>(d)</v>
      </c>
      <c r="AH6" s="10" t="s">
        <v>2814</v>
      </c>
      <c r="AI6" s="9" t="str">
        <f>'12'!A60</f>
        <v>(c)</v>
      </c>
      <c r="AK6" s="10" t="s">
        <v>2834</v>
      </c>
      <c r="AL6" s="9" t="str">
        <f>'13'!A121</f>
        <v>(a)</v>
      </c>
      <c r="AN6" s="10" t="s">
        <v>2854</v>
      </c>
      <c r="AO6" s="9" t="str">
        <f>'14'!A88</f>
        <v>(a)</v>
      </c>
      <c r="AQ6" s="10" t="s">
        <v>2874</v>
      </c>
      <c r="AR6" s="9" t="str">
        <f>'15'!A66</f>
        <v>(d)</v>
      </c>
      <c r="AT6" s="10" t="s">
        <v>2894</v>
      </c>
      <c r="AU6" s="9" t="str">
        <f>'16'!A60</f>
        <v>(c)</v>
      </c>
      <c r="AW6" s="10" t="s">
        <v>2914</v>
      </c>
      <c r="AX6" s="9" t="str">
        <f>'17'!A77</f>
        <v>(c)</v>
      </c>
      <c r="AZ6" s="10" t="s">
        <v>2934</v>
      </c>
      <c r="BA6" s="9" t="str">
        <f>'18'!A60</f>
        <v>(c)</v>
      </c>
      <c r="BC6" s="10" t="s">
        <v>2954</v>
      </c>
      <c r="BD6" s="9" t="str">
        <f>'19'!A65</f>
        <v>(d)</v>
      </c>
      <c r="BF6" s="10" t="s">
        <v>2974</v>
      </c>
      <c r="BG6" s="9" t="str">
        <f>'20'!A61</f>
        <v>(a)</v>
      </c>
      <c r="BI6" s="10" t="s">
        <v>2994</v>
      </c>
      <c r="BJ6" s="9" t="str">
        <f>'21'!A64</f>
        <v>(c)</v>
      </c>
      <c r="BL6" s="10" t="s">
        <v>3014</v>
      </c>
      <c r="BM6" s="9" t="str">
        <f>'22'!A74</f>
        <v>(a)</v>
      </c>
      <c r="BO6" s="10" t="s">
        <v>3033</v>
      </c>
      <c r="BP6" s="9" t="str">
        <f>'23'!A81</f>
        <v>(d)</v>
      </c>
      <c r="BR6" s="10" t="s">
        <v>3052</v>
      </c>
      <c r="BS6" s="9" t="str">
        <f>'24'!A73</f>
        <v>(a)</v>
      </c>
      <c r="BU6" s="10" t="s">
        <v>3071</v>
      </c>
      <c r="BV6" s="9" t="str">
        <f>'25'!A64</f>
        <v>(d)</v>
      </c>
      <c r="BX6" s="10" t="s">
        <v>3091</v>
      </c>
      <c r="BY6" s="9" t="str">
        <f>'26'!A66</f>
        <v>(a)</v>
      </c>
    </row>
    <row r="7" spans="1:77" ht="15" customHeight="1" x14ac:dyDescent="0.2">
      <c r="A7" s="10" t="s">
        <v>2617</v>
      </c>
      <c r="B7" s="9" t="str">
        <f>'1'!A85</f>
        <v>(b)</v>
      </c>
      <c r="D7" s="10" t="s">
        <v>2626</v>
      </c>
      <c r="E7" s="9" t="str">
        <f>'2'!A92</f>
        <v>(b)</v>
      </c>
      <c r="G7" s="10" t="s">
        <v>2635</v>
      </c>
      <c r="H7" s="9" t="str">
        <f>'3'!A113</f>
        <v>(c)</v>
      </c>
      <c r="J7" s="10" t="s">
        <v>2655</v>
      </c>
      <c r="K7" s="9" t="str">
        <f>'4'!A104</f>
        <v>(d)</v>
      </c>
      <c r="M7" s="10" t="s">
        <v>2675</v>
      </c>
      <c r="N7" s="9" t="str">
        <f>'5'!A112</f>
        <v>(d)</v>
      </c>
      <c r="P7" s="10" t="s">
        <v>2695</v>
      </c>
      <c r="Q7" s="9" t="str">
        <f>'6'!A105</f>
        <v>(b)</v>
      </c>
      <c r="S7" s="10" t="s">
        <v>2715</v>
      </c>
      <c r="T7" s="9" t="str">
        <f>'7'!A76</f>
        <v>(d)</v>
      </c>
      <c r="V7" s="10" t="s">
        <v>2735</v>
      </c>
      <c r="W7" s="9" t="str">
        <f>'8'!A123</f>
        <v>(d)</v>
      </c>
      <c r="Y7" s="10" t="s">
        <v>2755</v>
      </c>
      <c r="Z7" s="9" t="str">
        <f>'9'!A80</f>
        <v>(a)</v>
      </c>
      <c r="AB7" s="10" t="s">
        <v>2775</v>
      </c>
      <c r="AC7" s="9" t="str">
        <f>'10'!A86</f>
        <v>(b)</v>
      </c>
      <c r="AE7" s="10" t="s">
        <v>2795</v>
      </c>
      <c r="AF7" s="9" t="str">
        <f>'11'!A73</f>
        <v>(b)</v>
      </c>
      <c r="AH7" s="10" t="s">
        <v>2815</v>
      </c>
      <c r="AI7" s="9" t="str">
        <f>'12'!A71</f>
        <v>(d)</v>
      </c>
      <c r="AK7" s="10" t="s">
        <v>2835</v>
      </c>
      <c r="AL7" s="9" t="str">
        <f>'13'!A131</f>
        <v>(c)</v>
      </c>
      <c r="AN7" s="10" t="s">
        <v>2855</v>
      </c>
      <c r="AO7" s="9" t="str">
        <f>'14'!A98</f>
        <v>(b)</v>
      </c>
      <c r="AQ7" s="10" t="s">
        <v>2875</v>
      </c>
      <c r="AR7" s="9" t="str">
        <f>'15'!A76</f>
        <v>(b)</v>
      </c>
      <c r="AT7" s="10" t="s">
        <v>2895</v>
      </c>
      <c r="AU7" s="9" t="str">
        <f>'16'!A70</f>
        <v>(b)</v>
      </c>
      <c r="AW7" s="10" t="s">
        <v>2915</v>
      </c>
      <c r="AX7" s="9" t="str">
        <f>'17'!A99</f>
        <v>(d)</v>
      </c>
      <c r="AZ7" s="10" t="s">
        <v>2935</v>
      </c>
      <c r="BA7" s="9" t="str">
        <f>'18'!A71</f>
        <v>(d)</v>
      </c>
      <c r="BC7" s="10" t="s">
        <v>2955</v>
      </c>
      <c r="BD7" s="9" t="str">
        <f>'19'!A76</f>
        <v>(a)</v>
      </c>
      <c r="BF7" s="10" t="s">
        <v>2975</v>
      </c>
      <c r="BG7" s="9" t="str">
        <f>'20'!A71</f>
        <v>(a)</v>
      </c>
      <c r="BI7" s="10" t="s">
        <v>2995</v>
      </c>
      <c r="BJ7" s="9" t="str">
        <f>'21'!A74</f>
        <v>(b)</v>
      </c>
      <c r="BL7" s="10" t="s">
        <v>3015</v>
      </c>
      <c r="BM7" s="9" t="str">
        <f>'22'!A86</f>
        <v>(a)</v>
      </c>
      <c r="BO7" s="10" t="s">
        <v>3034</v>
      </c>
      <c r="BP7" s="9" t="str">
        <f>'23'!A91</f>
        <v>(c)</v>
      </c>
      <c r="BR7" s="10" t="s">
        <v>3053</v>
      </c>
      <c r="BS7" s="9" t="str">
        <f>'24'!A84</f>
        <v>(d)</v>
      </c>
      <c r="BU7" s="10" t="s">
        <v>3072</v>
      </c>
      <c r="BV7" s="9" t="str">
        <f>'25'!A75</f>
        <v>(b)</v>
      </c>
      <c r="BX7" s="10" t="s">
        <v>3092</v>
      </c>
      <c r="BY7" s="9" t="str">
        <f>'26'!A76</f>
        <v>(c)</v>
      </c>
    </row>
    <row r="8" spans="1:77" ht="15" customHeight="1" x14ac:dyDescent="0.2">
      <c r="A8" s="10" t="s">
        <v>2618</v>
      </c>
      <c r="B8" s="9" t="str">
        <f>'1'!A97</f>
        <v>(b)</v>
      </c>
      <c r="D8" s="10" t="s">
        <v>2627</v>
      </c>
      <c r="E8" s="9" t="str">
        <f>'2'!A104</f>
        <v>(a)</v>
      </c>
      <c r="G8" s="10" t="s">
        <v>2636</v>
      </c>
      <c r="H8" s="9" t="str">
        <f>'3'!A134</f>
        <v>(c)</v>
      </c>
      <c r="J8" s="10" t="s">
        <v>2656</v>
      </c>
      <c r="K8" s="9" t="str">
        <f>'4'!A123</f>
        <v>(d)</v>
      </c>
      <c r="M8" s="10" t="s">
        <v>2676</v>
      </c>
      <c r="N8" s="9" t="str">
        <f>'5'!A130</f>
        <v>(c)</v>
      </c>
      <c r="P8" s="10" t="s">
        <v>2696</v>
      </c>
      <c r="Q8" s="9" t="str">
        <f>'6'!A115</f>
        <v>(d)</v>
      </c>
      <c r="S8" s="10" t="s">
        <v>2716</v>
      </c>
      <c r="T8" s="9" t="str">
        <f>'7'!A86</f>
        <v>(a)</v>
      </c>
      <c r="V8" s="10" t="s">
        <v>2736</v>
      </c>
      <c r="W8" s="9" t="str">
        <f>'8'!A133</f>
        <v>(b)</v>
      </c>
      <c r="Y8" s="10" t="s">
        <v>2756</v>
      </c>
      <c r="Z8" s="9" t="str">
        <f>'9'!A95</f>
        <v>(d)</v>
      </c>
      <c r="AB8" s="10" t="s">
        <v>2776</v>
      </c>
      <c r="AC8" s="9" t="str">
        <f>'10'!A96</f>
        <v>(c)</v>
      </c>
      <c r="AE8" s="10" t="s">
        <v>2796</v>
      </c>
      <c r="AF8" s="9" t="str">
        <f>'11'!A91</f>
        <v>(d)</v>
      </c>
      <c r="AH8" s="10" t="s">
        <v>2816</v>
      </c>
      <c r="AI8" s="9" t="str">
        <f>'12'!A81</f>
        <v>(b)</v>
      </c>
      <c r="AK8" s="10" t="s">
        <v>2836</v>
      </c>
      <c r="AL8" s="9" t="str">
        <f>'13'!A141</f>
        <v>(c)</v>
      </c>
      <c r="AN8" s="10" t="s">
        <v>2856</v>
      </c>
      <c r="AO8" s="9" t="str">
        <f>'14'!A108</f>
        <v>(c)</v>
      </c>
      <c r="AQ8" s="10" t="s">
        <v>2876</v>
      </c>
      <c r="AR8" s="9" t="str">
        <f>'15'!A86</f>
        <v>(c)</v>
      </c>
      <c r="AT8" s="10" t="s">
        <v>2896</v>
      </c>
      <c r="AU8" s="9" t="str">
        <f>'16'!A80</f>
        <v>(d)</v>
      </c>
      <c r="AW8" s="10" t="s">
        <v>2916</v>
      </c>
      <c r="AX8" s="9" t="str">
        <f>'17'!A122</f>
        <v>(d)</v>
      </c>
      <c r="AZ8" s="10" t="s">
        <v>2936</v>
      </c>
      <c r="BA8" s="9" t="str">
        <f>'18'!A91</f>
        <v>(c)</v>
      </c>
      <c r="BC8" s="10" t="s">
        <v>2956</v>
      </c>
      <c r="BD8" s="9" t="str">
        <f>'19'!A92</f>
        <v>(d)</v>
      </c>
      <c r="BF8" s="10" t="s">
        <v>2976</v>
      </c>
      <c r="BG8" s="9" t="str">
        <f>'20'!A81</f>
        <v>(c)</v>
      </c>
      <c r="BI8" s="10" t="s">
        <v>2996</v>
      </c>
      <c r="BJ8" s="9" t="str">
        <f>'21'!A84</f>
        <v>(d)</v>
      </c>
      <c r="BL8" s="10" t="s">
        <v>3016</v>
      </c>
      <c r="BM8" s="9" t="str">
        <f>'22'!A111</f>
        <v>(b)</v>
      </c>
      <c r="BO8" s="10" t="s">
        <v>3035</v>
      </c>
      <c r="BP8" s="9" t="str">
        <f>'23'!A101</f>
        <v>(d)</v>
      </c>
      <c r="BR8" s="10" t="s">
        <v>3054</v>
      </c>
      <c r="BS8" s="9" t="str">
        <f>'24'!A99</f>
        <v>(c)</v>
      </c>
      <c r="BU8" s="10" t="s">
        <v>3073</v>
      </c>
      <c r="BV8" s="9" t="str">
        <f>'25'!A85</f>
        <v>(b)</v>
      </c>
      <c r="BX8" s="10" t="s">
        <v>3093</v>
      </c>
      <c r="BY8" s="9" t="str">
        <f>'26'!A86</f>
        <v>(d)</v>
      </c>
    </row>
    <row r="9" spans="1:77" ht="15" customHeight="1" x14ac:dyDescent="0.2">
      <c r="A9" s="10" t="s">
        <v>2619</v>
      </c>
      <c r="B9" s="9" t="str">
        <f>'1'!A112</f>
        <v>(c)</v>
      </c>
      <c r="D9" s="10" t="s">
        <v>2628</v>
      </c>
      <c r="E9" s="9" t="str">
        <f>'2'!A122</f>
        <v>(d)</v>
      </c>
      <c r="G9" s="10" t="s">
        <v>2637</v>
      </c>
      <c r="H9" s="9" t="str">
        <f>'3'!A144</f>
        <v>(d)</v>
      </c>
      <c r="J9" s="10" t="s">
        <v>2657</v>
      </c>
      <c r="K9" s="9" t="str">
        <f>'4'!A133</f>
        <v>(a)</v>
      </c>
      <c r="M9" s="10" t="s">
        <v>2677</v>
      </c>
      <c r="N9" s="9" t="str">
        <f>'5'!A141</f>
        <v>(a)</v>
      </c>
      <c r="P9" s="10" t="s">
        <v>2697</v>
      </c>
      <c r="Q9" s="9" t="str">
        <f>'6'!A126</f>
        <v>(b)</v>
      </c>
      <c r="S9" s="10" t="s">
        <v>2717</v>
      </c>
      <c r="T9" s="9" t="str">
        <f>'7'!A99</f>
        <v>(a)</v>
      </c>
      <c r="V9" s="10" t="s">
        <v>2737</v>
      </c>
      <c r="W9" s="9" t="str">
        <f>'8'!A143</f>
        <v>(d)</v>
      </c>
      <c r="Y9" s="10" t="s">
        <v>2757</v>
      </c>
      <c r="Z9" s="9" t="str">
        <f>'9'!A105</f>
        <v>(b)</v>
      </c>
      <c r="AB9" s="10" t="s">
        <v>2777</v>
      </c>
      <c r="AC9" s="9" t="str">
        <f>'10'!A106</f>
        <v>(a)</v>
      </c>
      <c r="AE9" s="10" t="s">
        <v>2797</v>
      </c>
      <c r="AF9" s="9" t="str">
        <f>'11'!A108</f>
        <v>(a)</v>
      </c>
      <c r="AH9" s="10" t="s">
        <v>2817</v>
      </c>
      <c r="AI9" s="9" t="str">
        <f>'12'!A91</f>
        <v>(c)</v>
      </c>
      <c r="AK9" s="10" t="s">
        <v>2837</v>
      </c>
      <c r="AL9" s="9" t="str">
        <f>'13'!A151</f>
        <v>(d)</v>
      </c>
      <c r="AN9" s="10" t="s">
        <v>2857</v>
      </c>
      <c r="AO9" s="9" t="str">
        <f>'14'!A120</f>
        <v>(c)</v>
      </c>
      <c r="AQ9" s="10" t="s">
        <v>2877</v>
      </c>
      <c r="AR9" s="9" t="str">
        <f>'15'!A97</f>
        <v>(d)</v>
      </c>
      <c r="AT9" s="10" t="s">
        <v>2897</v>
      </c>
      <c r="AU9" s="9" t="str">
        <f>'16'!A90</f>
        <v>(a)</v>
      </c>
      <c r="AW9" s="10" t="s">
        <v>2917</v>
      </c>
      <c r="AX9" s="9" t="str">
        <f>'17'!A145</f>
        <v>(d)</v>
      </c>
      <c r="AZ9" s="10" t="s">
        <v>2937</v>
      </c>
      <c r="BA9" s="9" t="str">
        <f>'18'!A114</f>
        <v>(b)</v>
      </c>
      <c r="BC9" s="10" t="s">
        <v>2957</v>
      </c>
      <c r="BD9" s="9" t="str">
        <f>'19'!A104</f>
        <v>(b)</v>
      </c>
      <c r="BF9" s="10" t="s">
        <v>2977</v>
      </c>
      <c r="BG9" s="9" t="str">
        <f>'20'!A91</f>
        <v>(d)</v>
      </c>
      <c r="BI9" s="10" t="s">
        <v>2997</v>
      </c>
      <c r="BJ9" s="9" t="str">
        <f>'21'!A95</f>
        <v>(a)</v>
      </c>
      <c r="BL9" s="10" t="s">
        <v>3017</v>
      </c>
      <c r="BM9" s="9" t="str">
        <f>'22'!A122</f>
        <v>(d)</v>
      </c>
      <c r="BO9" s="10" t="s">
        <v>3036</v>
      </c>
      <c r="BP9" s="9" t="str">
        <f>'23'!A111</f>
        <v>(b)</v>
      </c>
      <c r="BR9" s="10" t="s">
        <v>3055</v>
      </c>
      <c r="BS9" s="9" t="str">
        <f>'24'!A109</f>
        <v>(b)</v>
      </c>
      <c r="BU9" s="10" t="s">
        <v>3074</v>
      </c>
      <c r="BV9" s="9" t="str">
        <f>'25'!A95</f>
        <v>(c)</v>
      </c>
      <c r="BX9" s="10" t="s">
        <v>3094</v>
      </c>
      <c r="BY9" s="9" t="str">
        <f>'26'!A96</f>
        <v>(a)</v>
      </c>
    </row>
    <row r="10" spans="1:77" ht="15" customHeight="1" x14ac:dyDescent="0.2">
      <c r="A10" s="10" t="s">
        <v>2589</v>
      </c>
      <c r="B10" s="9" t="str">
        <f>'1'!A123</f>
        <v>(c)</v>
      </c>
      <c r="D10" s="10" t="s">
        <v>2600</v>
      </c>
      <c r="E10" s="9" t="str">
        <f>'2'!A140</f>
        <v>(c)</v>
      </c>
      <c r="G10" s="10" t="s">
        <v>2638</v>
      </c>
      <c r="H10" s="9" t="str">
        <f>'3'!A154</f>
        <v>(b)</v>
      </c>
      <c r="J10" s="10" t="s">
        <v>2658</v>
      </c>
      <c r="K10" s="9" t="str">
        <f>'4'!A143</f>
        <v>(b)</v>
      </c>
      <c r="M10" s="10" t="s">
        <v>2678</v>
      </c>
      <c r="N10" s="9" t="str">
        <f>'5'!A152</f>
        <v>(c)</v>
      </c>
      <c r="P10" s="10" t="s">
        <v>2698</v>
      </c>
      <c r="Q10" s="9" t="str">
        <f>'6'!A145</f>
        <v>(b)</v>
      </c>
      <c r="S10" s="10" t="s">
        <v>2718</v>
      </c>
      <c r="T10" s="9" t="str">
        <f>'7'!A112</f>
        <v>(d)</v>
      </c>
      <c r="V10" s="10" t="s">
        <v>2738</v>
      </c>
      <c r="W10" s="9" t="str">
        <f>'8'!A154</f>
        <v>(a)</v>
      </c>
      <c r="Y10" s="10" t="s">
        <v>2758</v>
      </c>
      <c r="Z10" s="9" t="str">
        <f>'9'!A115</f>
        <v>(a)</v>
      </c>
      <c r="AB10" s="10" t="s">
        <v>2778</v>
      </c>
      <c r="AC10" s="9" t="str">
        <f>'10'!A117</f>
        <v>(d)</v>
      </c>
      <c r="AE10" s="10" t="s">
        <v>2798</v>
      </c>
      <c r="AF10" s="9" t="str">
        <f>'11'!A118</f>
        <v>(a)</v>
      </c>
      <c r="AH10" s="10" t="s">
        <v>2818</v>
      </c>
      <c r="AI10" s="9" t="str">
        <f>'12'!A101</f>
        <v>(d)</v>
      </c>
      <c r="AK10" s="10" t="s">
        <v>2838</v>
      </c>
      <c r="AL10" s="9" t="str">
        <f>'13'!A162</f>
        <v>(d)</v>
      </c>
      <c r="AN10" s="10" t="s">
        <v>2858</v>
      </c>
      <c r="AO10" s="9" t="str">
        <f>'14'!A143</f>
        <v>(d)</v>
      </c>
      <c r="AQ10" s="10" t="s">
        <v>2878</v>
      </c>
      <c r="AR10" s="9" t="str">
        <f>'15'!A107</f>
        <v>(c)</v>
      </c>
      <c r="AT10" s="10" t="s">
        <v>2898</v>
      </c>
      <c r="AU10" s="9" t="str">
        <f>'16'!A100</f>
        <v>(b)</v>
      </c>
      <c r="AW10" s="10" t="s">
        <v>2918</v>
      </c>
      <c r="AX10" s="9" t="str">
        <f>'17'!A166</f>
        <v>(a)</v>
      </c>
      <c r="AZ10" s="10" t="s">
        <v>2938</v>
      </c>
      <c r="BA10" s="9" t="str">
        <f>'18'!A136</f>
        <v>(c)</v>
      </c>
      <c r="BC10" s="10" t="s">
        <v>2958</v>
      </c>
      <c r="BD10" s="9" t="str">
        <f>'19'!A114</f>
        <v>(b)</v>
      </c>
      <c r="BF10" s="10" t="s">
        <v>2978</v>
      </c>
      <c r="BG10" s="9" t="str">
        <f>'20'!A101</f>
        <v>(c)</v>
      </c>
      <c r="BI10" s="10" t="s">
        <v>2998</v>
      </c>
      <c r="BJ10" s="9" t="str">
        <f>'21'!A111</f>
        <v>(c)</v>
      </c>
      <c r="BL10" s="10" t="s">
        <v>3018</v>
      </c>
      <c r="BM10" s="9" t="str">
        <f>'22'!A133</f>
        <v>(a)</v>
      </c>
      <c r="BO10" s="10" t="s">
        <v>3037</v>
      </c>
      <c r="BP10" s="9" t="str">
        <f>'23'!A119</f>
        <v>(b)</v>
      </c>
      <c r="BR10" s="10" t="s">
        <v>3056</v>
      </c>
      <c r="BS10" s="9" t="str">
        <f>'24'!A119</f>
        <v>(c)</v>
      </c>
      <c r="BU10" s="10" t="s">
        <v>3075</v>
      </c>
      <c r="BV10" s="9" t="str">
        <f>'25'!A105</f>
        <v>(c)</v>
      </c>
      <c r="BX10" s="10" t="s">
        <v>3095</v>
      </c>
      <c r="BY10" s="9" t="str">
        <f>'26'!A106</f>
        <v>(d)</v>
      </c>
    </row>
    <row r="11" spans="1:77" ht="15" customHeight="1" x14ac:dyDescent="0.2">
      <c r="A11" s="10" t="s">
        <v>2590</v>
      </c>
      <c r="B11" s="9" t="str">
        <f>'1'!A133</f>
        <v>(d)</v>
      </c>
      <c r="D11" s="10" t="s">
        <v>2601</v>
      </c>
      <c r="E11" s="9" t="str">
        <f>'2'!A152</f>
        <v>(a)</v>
      </c>
      <c r="G11" s="10" t="s">
        <v>2639</v>
      </c>
      <c r="H11" s="9" t="str">
        <f>'3'!A164</f>
        <v>(c)</v>
      </c>
      <c r="J11" s="10" t="s">
        <v>2659</v>
      </c>
      <c r="K11" s="9" t="str">
        <f>'4'!A153</f>
        <v>(b)</v>
      </c>
      <c r="M11" s="10" t="s">
        <v>2679</v>
      </c>
      <c r="N11" s="9" t="str">
        <f>'5'!A163</f>
        <v>(b)</v>
      </c>
      <c r="P11" s="10" t="s">
        <v>2699</v>
      </c>
      <c r="Q11" s="9" t="str">
        <f>'6'!A155</f>
        <v>(c)</v>
      </c>
      <c r="S11" s="10" t="s">
        <v>2719</v>
      </c>
      <c r="T11" s="9" t="str">
        <f>'7'!A122</f>
        <v>(b)</v>
      </c>
      <c r="V11" s="10" t="s">
        <v>2739</v>
      </c>
      <c r="W11" s="9" t="str">
        <f>'8'!A164</f>
        <v>(c)</v>
      </c>
      <c r="Y11" s="10" t="s">
        <v>2759</v>
      </c>
      <c r="Z11" s="9" t="str">
        <f>'9'!A125</f>
        <v>(c)</v>
      </c>
      <c r="AB11" s="10" t="s">
        <v>2779</v>
      </c>
      <c r="AC11" s="9" t="str">
        <f>'10'!A127</f>
        <v>(a)</v>
      </c>
      <c r="AE11" s="10" t="s">
        <v>2799</v>
      </c>
      <c r="AF11" s="9" t="str">
        <f>'11'!A128</f>
        <v>(c)</v>
      </c>
      <c r="AH11" s="10" t="s">
        <v>2819</v>
      </c>
      <c r="AI11" s="9" t="str">
        <f>'12'!A111</f>
        <v>(a)</v>
      </c>
      <c r="AK11" s="10" t="s">
        <v>2839</v>
      </c>
      <c r="AL11" s="9" t="str">
        <f>'13'!A172</f>
        <v>(c)</v>
      </c>
      <c r="AN11" s="10" t="s">
        <v>2859</v>
      </c>
      <c r="AO11" s="9" t="str">
        <f>'14'!A166</f>
        <v>(b)</v>
      </c>
      <c r="AQ11" s="10" t="s">
        <v>2879</v>
      </c>
      <c r="AR11" s="9" t="str">
        <f>'15'!A117</f>
        <v>(a)</v>
      </c>
      <c r="AT11" s="10" t="s">
        <v>2899</v>
      </c>
      <c r="AU11" s="9" t="str">
        <f>'16'!A110</f>
        <v>(b)</v>
      </c>
      <c r="AW11" s="10" t="s">
        <v>2919</v>
      </c>
      <c r="AX11" s="9" t="str">
        <f>'17'!A185</f>
        <v>(d)</v>
      </c>
      <c r="AZ11" s="10" t="s">
        <v>2939</v>
      </c>
      <c r="BA11" s="9" t="str">
        <f>'18'!A146</f>
        <v>(c)</v>
      </c>
      <c r="BC11" s="10" t="s">
        <v>2959</v>
      </c>
      <c r="BD11" s="9" t="str">
        <f>'19'!A125</f>
        <v>(c)</v>
      </c>
      <c r="BF11" s="10" t="s">
        <v>2979</v>
      </c>
      <c r="BG11" s="9" t="str">
        <f>'20'!A111</f>
        <v>(a)</v>
      </c>
      <c r="BI11" s="10" t="s">
        <v>2999</v>
      </c>
      <c r="BJ11" s="9" t="str">
        <f>'21'!A121</f>
        <v>(b)</v>
      </c>
      <c r="BL11" s="10" t="s">
        <v>3019</v>
      </c>
      <c r="BM11" s="9" t="str">
        <f>'22'!A143</f>
        <v>(b)</v>
      </c>
      <c r="BO11" s="10" t="s">
        <v>3038</v>
      </c>
      <c r="BP11" s="9" t="str">
        <f>'23'!A134</f>
        <v>(a)</v>
      </c>
      <c r="BR11" s="10" t="s">
        <v>3057</v>
      </c>
      <c r="BS11" s="9" t="str">
        <f>'24'!A127</f>
        <v>(c)</v>
      </c>
      <c r="BU11" s="10" t="s">
        <v>3076</v>
      </c>
      <c r="BV11" s="9" t="str">
        <f>'25'!A120</f>
        <v>(d)</v>
      </c>
      <c r="BX11" s="10" t="s">
        <v>3096</v>
      </c>
      <c r="BY11" s="9" t="str">
        <f>'26'!A117</f>
        <v>(b)</v>
      </c>
    </row>
    <row r="12" spans="1:77" ht="15" customHeight="1" x14ac:dyDescent="0.2">
      <c r="A12" s="10" t="s">
        <v>2591</v>
      </c>
      <c r="B12" s="9" t="str">
        <f>'1'!A144</f>
        <v>(c)</v>
      </c>
      <c r="D12" s="10" t="s">
        <v>2602</v>
      </c>
      <c r="E12" s="9" t="str">
        <f>'2'!A162</f>
        <v>(d)</v>
      </c>
      <c r="G12" s="10" t="s">
        <v>2640</v>
      </c>
      <c r="H12" s="9" t="str">
        <f>'3'!A175</f>
        <v>(a)</v>
      </c>
      <c r="J12" s="10" t="s">
        <v>2660</v>
      </c>
      <c r="K12" s="9" t="str">
        <f>'4'!A169</f>
        <v>(d)</v>
      </c>
      <c r="M12" s="10" t="s">
        <v>2680</v>
      </c>
      <c r="N12" s="9" t="str">
        <f>'5'!A173</f>
        <v>(c)</v>
      </c>
      <c r="P12" s="10" t="s">
        <v>2700</v>
      </c>
      <c r="Q12" s="9" t="str">
        <f>'6'!A165</f>
        <v>(b)</v>
      </c>
      <c r="S12" s="10" t="s">
        <v>2720</v>
      </c>
      <c r="T12" s="9" t="str">
        <f>'7'!A132</f>
        <v>(a)</v>
      </c>
      <c r="V12" s="10" t="s">
        <v>2740</v>
      </c>
      <c r="W12" s="9" t="str">
        <f>'8'!A174</f>
        <v>(a)</v>
      </c>
      <c r="Y12" s="10" t="s">
        <v>2760</v>
      </c>
      <c r="Z12" s="9" t="str">
        <f>'9'!A135</f>
        <v>(d)</v>
      </c>
      <c r="AB12" s="10" t="s">
        <v>2780</v>
      </c>
      <c r="AC12" s="9" t="str">
        <f>'10'!A137</f>
        <v>(c)</v>
      </c>
      <c r="AE12" s="10" t="s">
        <v>2800</v>
      </c>
      <c r="AF12" s="9" t="str">
        <f>'11'!A138</f>
        <v>(b)</v>
      </c>
      <c r="AH12" s="10" t="s">
        <v>2820</v>
      </c>
      <c r="AI12" s="9" t="str">
        <f>'12'!A121</f>
        <v>(c)</v>
      </c>
      <c r="AK12" s="10" t="s">
        <v>2840</v>
      </c>
      <c r="AL12" s="9" t="str">
        <f>'13'!A183</f>
        <v>(b)</v>
      </c>
      <c r="AN12" s="10" t="s">
        <v>2860</v>
      </c>
      <c r="AO12" s="9" t="str">
        <f>'14'!A176</f>
        <v>(c)</v>
      </c>
      <c r="AQ12" s="10" t="s">
        <v>2880</v>
      </c>
      <c r="AR12" s="9" t="str">
        <f>'15'!A127</f>
        <v>(b)</v>
      </c>
      <c r="AT12" s="10" t="s">
        <v>2900</v>
      </c>
      <c r="AU12" s="9" t="str">
        <f>'16'!A120</f>
        <v>(d)</v>
      </c>
      <c r="AW12" s="10" t="s">
        <v>2920</v>
      </c>
      <c r="AX12" s="9" t="str">
        <f>'17'!A195</f>
        <v>(c)</v>
      </c>
      <c r="AZ12" s="10" t="s">
        <v>2940</v>
      </c>
      <c r="BA12" s="9" t="str">
        <f>'18'!A156</f>
        <v>(d)</v>
      </c>
      <c r="BC12" s="10" t="s">
        <v>2960</v>
      </c>
      <c r="BD12" s="9" t="str">
        <f>'19'!A136</f>
        <v>(a)</v>
      </c>
      <c r="BF12" s="10" t="s">
        <v>2980</v>
      </c>
      <c r="BG12" s="9" t="str">
        <f>'20'!A121</f>
        <v>(c)</v>
      </c>
      <c r="BI12" s="10" t="s">
        <v>3000</v>
      </c>
      <c r="BJ12" s="9" t="str">
        <f>'21'!A132</f>
        <v>(b)</v>
      </c>
      <c r="BL12" s="10" t="s">
        <v>3020</v>
      </c>
      <c r="BM12" s="9" t="str">
        <f>'22'!A153</f>
        <v>(a)</v>
      </c>
      <c r="BO12" s="10" t="s">
        <v>3039</v>
      </c>
      <c r="BP12" s="9" t="str">
        <f>'23'!A144</f>
        <v>(c)</v>
      </c>
      <c r="BR12" s="10" t="s">
        <v>3058</v>
      </c>
      <c r="BS12" s="9" t="str">
        <f>'24'!A137</f>
        <v>(b)</v>
      </c>
      <c r="BU12" s="10" t="s">
        <v>3077</v>
      </c>
      <c r="BV12" s="9" t="str">
        <f>'25'!A130</f>
        <v>(d)</v>
      </c>
      <c r="BX12" s="10" t="s">
        <v>3097</v>
      </c>
      <c r="BY12" s="9" t="str">
        <f>'26'!A127</f>
        <v>(d)</v>
      </c>
    </row>
    <row r="13" spans="1:77" ht="15" customHeight="1" x14ac:dyDescent="0.2">
      <c r="A13" s="10" t="s">
        <v>2592</v>
      </c>
      <c r="B13" s="9" t="str">
        <f>'1'!A163</f>
        <v>(d)</v>
      </c>
      <c r="D13" s="10" t="s">
        <v>2603</v>
      </c>
      <c r="E13" s="9" t="str">
        <f>'2'!A173</f>
        <v>(b)</v>
      </c>
      <c r="G13" s="10" t="s">
        <v>2641</v>
      </c>
      <c r="H13" s="9" t="str">
        <f>'3'!A186</f>
        <v>(b)</v>
      </c>
      <c r="J13" s="10" t="s">
        <v>2661</v>
      </c>
      <c r="K13" s="9" t="str">
        <f>'4'!A188</f>
        <v>(c)</v>
      </c>
      <c r="M13" s="10" t="s">
        <v>2681</v>
      </c>
      <c r="N13" s="9" t="str">
        <f>'5'!A183</f>
        <v>(d)</v>
      </c>
      <c r="P13" s="10" t="s">
        <v>2701</v>
      </c>
      <c r="Q13" s="9" t="str">
        <f>'6'!A176</f>
        <v>(a)</v>
      </c>
      <c r="S13" s="10" t="s">
        <v>2721</v>
      </c>
      <c r="T13" s="9" t="str">
        <f>'7'!A142</f>
        <v>(c)</v>
      </c>
      <c r="V13" s="10" t="s">
        <v>2741</v>
      </c>
      <c r="W13" s="9" t="str">
        <f>'8'!A184</f>
        <v>(b)</v>
      </c>
      <c r="Y13" s="10" t="s">
        <v>2761</v>
      </c>
      <c r="Z13" s="9" t="str">
        <f>'9'!A145</f>
        <v>(c)</v>
      </c>
      <c r="AB13" s="10" t="s">
        <v>2781</v>
      </c>
      <c r="AC13" s="9" t="str">
        <f>'10'!A147</f>
        <v>(b)</v>
      </c>
      <c r="AE13" s="10" t="s">
        <v>2801</v>
      </c>
      <c r="AF13" s="9" t="str">
        <f>'11'!A149</f>
        <v>(d)</v>
      </c>
      <c r="AH13" s="10" t="s">
        <v>2821</v>
      </c>
      <c r="AI13" s="9" t="str">
        <f>'12'!A131</f>
        <v>(d)</v>
      </c>
      <c r="AK13" s="10" t="s">
        <v>2841</v>
      </c>
      <c r="AL13" s="9" t="str">
        <f>'13'!A217</f>
        <v>(a)</v>
      </c>
      <c r="AN13" s="10" t="s">
        <v>2861</v>
      </c>
      <c r="AO13" s="9" t="str">
        <f>'14'!A186</f>
        <v>(d)</v>
      </c>
      <c r="AQ13" s="10" t="s">
        <v>2881</v>
      </c>
      <c r="AR13" s="9" t="str">
        <f>'15'!A142</f>
        <v>(d)</v>
      </c>
      <c r="AT13" s="10" t="s">
        <v>2901</v>
      </c>
      <c r="AU13" s="9" t="str">
        <f>'16'!A130</f>
        <v>(c)</v>
      </c>
      <c r="AW13" s="10" t="s">
        <v>2921</v>
      </c>
      <c r="AX13" s="9" t="str">
        <f>'17'!A206</f>
        <v>(a)</v>
      </c>
      <c r="AZ13" s="10" t="s">
        <v>2941</v>
      </c>
      <c r="BA13" s="9" t="str">
        <f>'18'!A167</f>
        <v>(c)</v>
      </c>
      <c r="BC13" s="10" t="s">
        <v>2961</v>
      </c>
      <c r="BD13" s="9" t="str">
        <f>'19'!A146</f>
        <v>(c)</v>
      </c>
      <c r="BF13" s="10" t="s">
        <v>2981</v>
      </c>
      <c r="BG13" s="9" t="str">
        <f>'20'!A131</f>
        <v>(a)</v>
      </c>
      <c r="BI13" s="10" t="s">
        <v>3001</v>
      </c>
      <c r="BJ13" s="9" t="str">
        <f>'21'!A142</f>
        <v>(b)</v>
      </c>
      <c r="BL13" s="10" t="s">
        <v>3021</v>
      </c>
      <c r="BM13" s="9" t="str">
        <f>'22'!A163</f>
        <v>(b)</v>
      </c>
      <c r="BO13" s="10" t="s">
        <v>3040</v>
      </c>
      <c r="BP13" s="9" t="str">
        <f>'23'!A155</f>
        <v>(d)</v>
      </c>
      <c r="BR13" s="10" t="s">
        <v>3059</v>
      </c>
      <c r="BS13" s="9" t="str">
        <f>'24'!A148</f>
        <v>(b)</v>
      </c>
      <c r="BU13" s="10" t="s">
        <v>3078</v>
      </c>
      <c r="BV13" s="9" t="str">
        <f>'25'!A140</f>
        <v>(a)</v>
      </c>
      <c r="BX13" s="10" t="s">
        <v>3098</v>
      </c>
      <c r="BY13" s="9" t="str">
        <f>'26'!A137</f>
        <v>(b)</v>
      </c>
    </row>
    <row r="14" spans="1:77" ht="15" customHeight="1" x14ac:dyDescent="0.2">
      <c r="A14" s="10" t="s">
        <v>2593</v>
      </c>
      <c r="B14" s="9" t="str">
        <f>'1'!A182</f>
        <v>(a)</v>
      </c>
      <c r="D14" s="10" t="s">
        <v>2604</v>
      </c>
      <c r="E14" s="9" t="str">
        <f>'2'!A183</f>
        <v>(a)</v>
      </c>
      <c r="G14" s="10" t="s">
        <v>2642</v>
      </c>
      <c r="H14" s="9" t="str">
        <f>'3'!A197</f>
        <v>(a)</v>
      </c>
      <c r="J14" s="10" t="s">
        <v>2662</v>
      </c>
      <c r="K14" s="9" t="str">
        <f>'4'!A198</f>
        <v>(a)</v>
      </c>
      <c r="M14" s="10" t="s">
        <v>2682</v>
      </c>
      <c r="N14" s="9" t="str">
        <f>'5'!A193</f>
        <v>(a)</v>
      </c>
      <c r="P14" s="10" t="s">
        <v>2702</v>
      </c>
      <c r="Q14" s="9" t="str">
        <f>'6'!A186</f>
        <v>(c)</v>
      </c>
      <c r="S14" s="10" t="s">
        <v>2722</v>
      </c>
      <c r="T14" s="9" t="str">
        <f>'7'!A155</f>
        <v>(b)</v>
      </c>
      <c r="V14" s="10" t="s">
        <v>2742</v>
      </c>
      <c r="W14" s="9" t="str">
        <f>'8'!A196</f>
        <v>(c)</v>
      </c>
      <c r="Y14" s="10" t="s">
        <v>2762</v>
      </c>
      <c r="Z14" s="9" t="str">
        <f>'9'!A155</f>
        <v>(a)</v>
      </c>
      <c r="AB14" s="10" t="s">
        <v>2782</v>
      </c>
      <c r="AC14" s="9" t="str">
        <f>'10'!A157</f>
        <v>(a)</v>
      </c>
      <c r="AE14" s="10" t="s">
        <v>2802</v>
      </c>
      <c r="AF14" s="9" t="str">
        <f>'11'!A159</f>
        <v>(b)</v>
      </c>
      <c r="AH14" s="10" t="s">
        <v>2822</v>
      </c>
      <c r="AI14" s="9" t="str">
        <f>'12'!A141</f>
        <v>(b)</v>
      </c>
      <c r="AK14" s="10" t="s">
        <v>2842</v>
      </c>
      <c r="AL14" s="9" t="str">
        <f>'13'!A250</f>
        <v>(b)</v>
      </c>
      <c r="AN14" s="10" t="s">
        <v>2862</v>
      </c>
      <c r="AO14" s="9" t="str">
        <f>'14'!A196</f>
        <v>(b)</v>
      </c>
      <c r="AQ14" s="10" t="s">
        <v>2882</v>
      </c>
      <c r="AR14" s="9" t="str">
        <f>'15'!A161</f>
        <v>(a)</v>
      </c>
      <c r="AT14" s="10" t="s">
        <v>2902</v>
      </c>
      <c r="AU14" s="9" t="str">
        <f>'16'!A140</f>
        <v>(b)</v>
      </c>
      <c r="AW14" s="10" t="s">
        <v>2922</v>
      </c>
      <c r="AX14" s="9" t="str">
        <f>'17'!A228</f>
        <v>(b)</v>
      </c>
      <c r="AZ14" s="10" t="s">
        <v>2942</v>
      </c>
      <c r="BA14" s="9" t="str">
        <f>'18'!A178</f>
        <v>(b)</v>
      </c>
      <c r="BC14" s="10" t="s">
        <v>2962</v>
      </c>
      <c r="BD14" s="9" t="str">
        <f>'19'!A160</f>
        <v>(c)</v>
      </c>
      <c r="BF14" s="10" t="s">
        <v>2982</v>
      </c>
      <c r="BG14" s="9" t="str">
        <f>'20'!A142</f>
        <v>(c)</v>
      </c>
      <c r="BI14" s="10" t="s">
        <v>3002</v>
      </c>
      <c r="BJ14" s="9" t="str">
        <f>'21'!A152</f>
        <v>(c)</v>
      </c>
      <c r="BL14" s="10" t="s">
        <v>3022</v>
      </c>
      <c r="BM14" s="9" t="str">
        <f>'22'!A173</f>
        <v>(a)</v>
      </c>
      <c r="BO14" s="10" t="s">
        <v>3041</v>
      </c>
      <c r="BP14" s="9" t="str">
        <f>'23'!A165</f>
        <v>(b)</v>
      </c>
      <c r="BR14" s="10" t="s">
        <v>3060</v>
      </c>
      <c r="BS14" s="9" t="str">
        <f>'24'!A159</f>
        <v>(a)</v>
      </c>
      <c r="BU14" s="10" t="s">
        <v>3079</v>
      </c>
      <c r="BV14" s="9" t="str">
        <f>'25'!A150</f>
        <v>(b)</v>
      </c>
      <c r="BX14" s="10" t="s">
        <v>3099</v>
      </c>
      <c r="BY14" s="9" t="str">
        <f>'26'!A147</f>
        <v>(d)</v>
      </c>
    </row>
    <row r="15" spans="1:77" ht="15" customHeight="1" x14ac:dyDescent="0.2">
      <c r="A15" s="10" t="s">
        <v>2594</v>
      </c>
      <c r="B15" s="9" t="str">
        <f>'1'!A201</f>
        <v>(c)</v>
      </c>
      <c r="D15" s="10" t="s">
        <v>2605</v>
      </c>
      <c r="E15" s="9" t="str">
        <f>'2'!A193</f>
        <v>(c)</v>
      </c>
      <c r="G15" s="10" t="s">
        <v>2643</v>
      </c>
      <c r="H15" s="9" t="str">
        <f>'3'!A208</f>
        <v>(d)</v>
      </c>
      <c r="J15" s="10" t="s">
        <v>2663</v>
      </c>
      <c r="K15" s="9" t="str">
        <f>'4'!A209</f>
        <v>(d)</v>
      </c>
      <c r="M15" s="10" t="s">
        <v>2683</v>
      </c>
      <c r="N15" s="9" t="str">
        <f>'5'!A203</f>
        <v>(b)</v>
      </c>
      <c r="P15" s="10" t="s">
        <v>2703</v>
      </c>
      <c r="Q15" s="9" t="str">
        <f>'6'!A206</f>
        <v>(d)</v>
      </c>
      <c r="S15" s="10" t="s">
        <v>2723</v>
      </c>
      <c r="T15" s="9" t="str">
        <f>'7'!A169</f>
        <v>(b)</v>
      </c>
      <c r="V15" s="10" t="s">
        <v>2743</v>
      </c>
      <c r="W15" s="9" t="str">
        <f>'8'!A210</f>
        <v>(b)</v>
      </c>
      <c r="Y15" s="10" t="s">
        <v>2763</v>
      </c>
      <c r="Z15" s="9" t="str">
        <f>'9'!A165</f>
        <v>(a)</v>
      </c>
      <c r="AB15" s="10" t="s">
        <v>2783</v>
      </c>
      <c r="AC15" s="9" t="str">
        <f>'10'!A167</f>
        <v>(b)</v>
      </c>
      <c r="AE15" s="10" t="s">
        <v>2803</v>
      </c>
      <c r="AF15" s="9" t="str">
        <f>'11'!A170</f>
        <v>(d)</v>
      </c>
      <c r="AH15" s="10" t="s">
        <v>2823</v>
      </c>
      <c r="AI15" s="9" t="str">
        <f>'12'!A151</f>
        <v>(a)</v>
      </c>
      <c r="AK15" s="10" t="s">
        <v>2843</v>
      </c>
      <c r="AL15" s="9" t="str">
        <f>'13'!A261</f>
        <v>(d)</v>
      </c>
      <c r="AN15" s="10" t="s">
        <v>2863</v>
      </c>
      <c r="AO15" s="9" t="str">
        <f>'14'!A206</f>
        <v>(c)</v>
      </c>
      <c r="AQ15" s="10" t="s">
        <v>2883</v>
      </c>
      <c r="AR15" s="9" t="str">
        <f>'15'!A172</f>
        <v>(d)</v>
      </c>
      <c r="AT15" s="10" t="s">
        <v>2903</v>
      </c>
      <c r="AU15" s="9" t="str">
        <f>'16'!A152</f>
        <v>(a)</v>
      </c>
      <c r="AW15" s="10" t="s">
        <v>2923</v>
      </c>
      <c r="AX15" s="9" t="str">
        <f>'17'!A250</f>
        <v>(c)</v>
      </c>
      <c r="AZ15" s="10" t="s">
        <v>2943</v>
      </c>
      <c r="BA15" s="9" t="str">
        <f>'18'!A188</f>
        <v>(c)</v>
      </c>
      <c r="BC15" s="10" t="s">
        <v>2963</v>
      </c>
      <c r="BD15" s="9" t="str">
        <f>'19'!A176</f>
        <v>(a)</v>
      </c>
      <c r="BF15" s="10" t="s">
        <v>2983</v>
      </c>
      <c r="BG15" s="9" t="str">
        <f>'20'!A152</f>
        <v>(d)</v>
      </c>
      <c r="BI15" s="10" t="s">
        <v>3003</v>
      </c>
      <c r="BJ15" s="9" t="str">
        <f>'21'!A169</f>
        <v>(c)</v>
      </c>
      <c r="BL15" s="10" t="s">
        <v>3023</v>
      </c>
      <c r="BM15" s="9" t="str">
        <f>'22'!A184</f>
        <v>(c)</v>
      </c>
      <c r="BO15" s="10" t="s">
        <v>3042</v>
      </c>
      <c r="BP15" s="9" t="str">
        <f>'23'!A175</f>
        <v>(c)</v>
      </c>
      <c r="BR15" s="10" t="s">
        <v>3061</v>
      </c>
      <c r="BS15" s="9" t="str">
        <f>'24'!A169</f>
        <v>(d)</v>
      </c>
      <c r="BU15" s="10" t="s">
        <v>3080</v>
      </c>
      <c r="BV15" s="9" t="str">
        <f>'25'!A160</f>
        <v>(a)</v>
      </c>
      <c r="BX15" s="10" t="s">
        <v>3100</v>
      </c>
      <c r="BY15" s="9" t="str">
        <f>'26'!A158</f>
        <v>(c)</v>
      </c>
    </row>
    <row r="16" spans="1:77" ht="15" customHeight="1" x14ac:dyDescent="0.2">
      <c r="A16" s="10" t="s">
        <v>2595</v>
      </c>
      <c r="B16" s="9" t="str">
        <f>'1'!A220</f>
        <v>(d)</v>
      </c>
      <c r="D16" s="10" t="s">
        <v>2606</v>
      </c>
      <c r="E16" s="9" t="str">
        <f>'2'!A203</f>
        <v>(a)</v>
      </c>
      <c r="G16" s="10" t="s">
        <v>2644</v>
      </c>
      <c r="H16" s="9" t="str">
        <f>'3'!A218</f>
        <v>(d)</v>
      </c>
      <c r="J16" s="10" t="s">
        <v>2664</v>
      </c>
      <c r="K16" s="9" t="str">
        <f>'4'!A219</f>
        <v>(c)</v>
      </c>
      <c r="M16" s="10" t="s">
        <v>2684</v>
      </c>
      <c r="N16" s="9" t="str">
        <f>'5'!A213</f>
        <v>(b)</v>
      </c>
      <c r="P16" s="10" t="s">
        <v>2704</v>
      </c>
      <c r="Q16" s="9" t="str">
        <f>'6'!A216</f>
        <v>(a)</v>
      </c>
      <c r="S16" s="10" t="s">
        <v>2724</v>
      </c>
      <c r="T16" s="9" t="str">
        <f>'7'!A195</f>
        <v>(b)</v>
      </c>
      <c r="V16" s="10" t="s">
        <v>2744</v>
      </c>
      <c r="W16" s="9" t="str">
        <f>'8'!A240</f>
        <v>(c)</v>
      </c>
      <c r="Y16" s="10" t="s">
        <v>2764</v>
      </c>
      <c r="Z16" s="9" t="str">
        <f>'9'!A175</f>
        <v>(d)</v>
      </c>
      <c r="AB16" s="10" t="s">
        <v>2784</v>
      </c>
      <c r="AC16" s="9" t="str">
        <f>'10'!A178</f>
        <v>(c)</v>
      </c>
      <c r="AE16" s="10" t="s">
        <v>2804</v>
      </c>
      <c r="AF16" s="9" t="str">
        <f>'11'!A189</f>
        <v>(c)</v>
      </c>
      <c r="AH16" s="10" t="s">
        <v>2824</v>
      </c>
      <c r="AI16" s="9" t="str">
        <f>'12'!A161</f>
        <v>(d)</v>
      </c>
      <c r="AK16" s="10" t="s">
        <v>2844</v>
      </c>
      <c r="AL16" s="9" t="str">
        <f>'13'!A278</f>
        <v>(b)</v>
      </c>
      <c r="AN16" s="10" t="s">
        <v>2864</v>
      </c>
      <c r="AO16" s="9" t="str">
        <f>'14'!A217</f>
        <v>(c)</v>
      </c>
      <c r="AQ16" s="10" t="s">
        <v>2884</v>
      </c>
      <c r="AR16" s="9" t="str">
        <f>'15'!A182</f>
        <v>(d)</v>
      </c>
      <c r="AT16" s="10" t="s">
        <v>2904</v>
      </c>
      <c r="AU16" s="9" t="str">
        <f>'16'!A162</f>
        <v>(c)</v>
      </c>
      <c r="AW16" s="10" t="s">
        <v>2924</v>
      </c>
      <c r="AX16" s="9" t="str">
        <f>'17'!A277</f>
        <v>(a)</v>
      </c>
      <c r="AZ16" s="10" t="s">
        <v>2944</v>
      </c>
      <c r="BA16" s="9" t="str">
        <f>'18'!A199</f>
        <v>(a)</v>
      </c>
      <c r="BC16" s="10" t="s">
        <v>2964</v>
      </c>
      <c r="BD16" s="9" t="str">
        <f>'19'!A191</f>
        <v>(a)</v>
      </c>
      <c r="BF16" s="10" t="s">
        <v>2984</v>
      </c>
      <c r="BG16" s="9" t="str">
        <f>'20'!A171</f>
        <v>(a)</v>
      </c>
      <c r="BI16" s="10" t="s">
        <v>3004</v>
      </c>
      <c r="BJ16" s="9" t="str">
        <f>'21'!A188</f>
        <v>(d)</v>
      </c>
      <c r="BL16" s="10" t="s">
        <v>3024</v>
      </c>
      <c r="BM16" s="9" t="str">
        <f>'22'!A195</f>
        <v>(d)</v>
      </c>
      <c r="BO16" s="10" t="s">
        <v>3043</v>
      </c>
      <c r="BP16" s="9" t="str">
        <f>'23'!A194</f>
        <v>(d)</v>
      </c>
      <c r="BR16" s="10" t="s">
        <v>3062</v>
      </c>
      <c r="BS16" s="9" t="str">
        <f>'24'!A179</f>
        <v>(b)</v>
      </c>
      <c r="BU16" s="10" t="s">
        <v>3081</v>
      </c>
      <c r="BV16" s="9" t="str">
        <f>'25'!A170</f>
        <v>(d)</v>
      </c>
      <c r="BX16" s="10" t="s">
        <v>3101</v>
      </c>
      <c r="BY16" s="9" t="str">
        <f>'26'!A180</f>
        <v>(d)</v>
      </c>
    </row>
    <row r="17" spans="1:77" ht="15" customHeight="1" x14ac:dyDescent="0.2">
      <c r="A17" s="10" t="s">
        <v>2596</v>
      </c>
      <c r="B17" s="9" t="str">
        <f>'1'!A231</f>
        <v>(a)</v>
      </c>
      <c r="D17" s="10" t="s">
        <v>2607</v>
      </c>
      <c r="E17" s="9" t="str">
        <f>'2'!A213</f>
        <v>(c)</v>
      </c>
      <c r="G17" s="10" t="s">
        <v>2645</v>
      </c>
      <c r="H17" s="9" t="str">
        <f>'3'!A228</f>
        <v>(b)</v>
      </c>
      <c r="J17" s="10" t="s">
        <v>2665</v>
      </c>
      <c r="K17" s="9" t="str">
        <f>'4'!A229</f>
        <v>(b)</v>
      </c>
      <c r="M17" s="10" t="s">
        <v>2685</v>
      </c>
      <c r="N17" s="9" t="str">
        <f>'5'!A223</f>
        <v>(c)</v>
      </c>
      <c r="P17" s="10" t="s">
        <v>2705</v>
      </c>
      <c r="Q17" s="9" t="str">
        <f>'6'!A226</f>
        <v>(b)</v>
      </c>
      <c r="S17" s="10" t="s">
        <v>2725</v>
      </c>
      <c r="T17" s="9" t="str">
        <f>'7'!A221</f>
        <v>(a)</v>
      </c>
      <c r="V17" s="10" t="s">
        <v>2745</v>
      </c>
      <c r="W17" s="9" t="str">
        <f>'8'!A268</f>
        <v>(b)</v>
      </c>
      <c r="Y17" s="10" t="s">
        <v>2765</v>
      </c>
      <c r="Z17" s="9" t="str">
        <f>'9'!A186</f>
        <v>(b)</v>
      </c>
      <c r="AB17" s="10" t="s">
        <v>2785</v>
      </c>
      <c r="AC17" s="9" t="str">
        <f>'10'!A197</f>
        <v>(a)</v>
      </c>
      <c r="AE17" s="10" t="s">
        <v>2805</v>
      </c>
      <c r="AF17" s="9" t="str">
        <f>'11'!A210</f>
        <v>(c)</v>
      </c>
      <c r="AH17" s="10" t="s">
        <v>2825</v>
      </c>
      <c r="AI17" s="9" t="str">
        <f>'12'!A171</f>
        <v>(b)</v>
      </c>
      <c r="AK17" s="10" t="s">
        <v>2845</v>
      </c>
      <c r="AL17" s="9" t="str">
        <f>'13'!A298</f>
        <v>(b)</v>
      </c>
      <c r="AN17" s="10" t="s">
        <v>2865</v>
      </c>
      <c r="AO17" s="9" t="str">
        <f>'14'!A235</f>
        <v>(b)</v>
      </c>
      <c r="AQ17" s="10" t="s">
        <v>2885</v>
      </c>
      <c r="AR17" s="9" t="str">
        <f>'15'!A192</f>
        <v>(b)</v>
      </c>
      <c r="AT17" s="10" t="s">
        <v>2905</v>
      </c>
      <c r="AU17" s="9" t="str">
        <f>'16'!A172</f>
        <v>(a)</v>
      </c>
      <c r="AW17" s="10" t="s">
        <v>2925</v>
      </c>
      <c r="AX17" s="9" t="str">
        <f>'17'!A302</f>
        <v>(d)</v>
      </c>
      <c r="AZ17" s="10" t="s">
        <v>2945</v>
      </c>
      <c r="BA17" s="9" t="str">
        <f>'18'!A222</f>
        <v>(d)</v>
      </c>
      <c r="BC17" s="10" t="s">
        <v>2965</v>
      </c>
      <c r="BD17" s="9" t="str">
        <f>'19'!A201</f>
        <v>(c)</v>
      </c>
      <c r="BF17" s="10" t="s">
        <v>2985</v>
      </c>
      <c r="BG17" s="9" t="str">
        <f>'20'!A181</f>
        <v>(b)</v>
      </c>
      <c r="BI17" s="10" t="s">
        <v>3005</v>
      </c>
      <c r="BJ17" s="9" t="str">
        <f>'21'!A201</f>
        <v>(d)</v>
      </c>
      <c r="BL17" s="10" t="s">
        <v>3025</v>
      </c>
      <c r="BM17" s="9" t="str">
        <f>'22'!A206</f>
        <v>(b)</v>
      </c>
      <c r="BO17" s="10" t="s">
        <v>3044</v>
      </c>
      <c r="BP17" s="9" t="str">
        <f>'23'!A211</f>
        <v>(a)</v>
      </c>
      <c r="BR17" s="10" t="s">
        <v>3063</v>
      </c>
      <c r="BS17" s="9" t="str">
        <f>'24'!A190</f>
        <v>(c)</v>
      </c>
      <c r="BU17" s="10" t="s">
        <v>3082</v>
      </c>
      <c r="BV17" s="9" t="str">
        <f>'25'!A180</f>
        <v>(a)</v>
      </c>
      <c r="BX17" s="10" t="s">
        <v>3102</v>
      </c>
      <c r="BY17" s="9" t="str">
        <f>'26'!A190</f>
        <v>(d)</v>
      </c>
    </row>
    <row r="18" spans="1:77" ht="15" customHeight="1" x14ac:dyDescent="0.2">
      <c r="A18" s="10" t="s">
        <v>2597</v>
      </c>
      <c r="B18" s="9" t="str">
        <f>'1'!A242</f>
        <v>(c)</v>
      </c>
      <c r="D18" s="10" t="s">
        <v>2608</v>
      </c>
      <c r="E18" s="9" t="str">
        <f>'2'!A227</f>
        <v>(d)</v>
      </c>
      <c r="G18" s="10" t="s">
        <v>2646</v>
      </c>
      <c r="H18" s="9" t="str">
        <f>'3'!A238</f>
        <v>(c)</v>
      </c>
      <c r="J18" s="10" t="s">
        <v>2666</v>
      </c>
      <c r="K18" s="9" t="str">
        <f>'4'!A240</f>
        <v>(d)</v>
      </c>
      <c r="M18" s="10" t="s">
        <v>2686</v>
      </c>
      <c r="N18" s="9" t="str">
        <f>'5'!A233</f>
        <v>(a)</v>
      </c>
      <c r="P18" s="10" t="s">
        <v>2706</v>
      </c>
      <c r="Q18" s="9" t="str">
        <f>'6'!A243</f>
        <v>(b)</v>
      </c>
      <c r="S18" s="10" t="s">
        <v>2726</v>
      </c>
      <c r="T18" s="9" t="str">
        <f>'7'!A232</f>
        <v>(d)</v>
      </c>
      <c r="V18" s="10" t="s">
        <v>2746</v>
      </c>
      <c r="W18" s="9" t="str">
        <f>'8'!A279</f>
        <v>(a)</v>
      </c>
      <c r="Y18" s="10" t="s">
        <v>2766</v>
      </c>
      <c r="Z18" s="9" t="str">
        <f>'9'!A196</f>
        <v>(d)</v>
      </c>
      <c r="AB18" s="10" t="s">
        <v>2786</v>
      </c>
      <c r="AC18" s="9" t="str">
        <f>'10'!A207</f>
        <v>(d)</v>
      </c>
      <c r="AE18" s="10" t="s">
        <v>2806</v>
      </c>
      <c r="AF18" s="9" t="str">
        <f>'11'!A227</f>
        <v>(d)</v>
      </c>
      <c r="AH18" s="10" t="s">
        <v>2826</v>
      </c>
      <c r="AI18" s="9" t="str">
        <f>'12'!A188</f>
        <v>(d)</v>
      </c>
      <c r="AK18" s="10" t="s">
        <v>2846</v>
      </c>
      <c r="AL18" s="9" t="str">
        <f>'13'!A332</f>
        <v>(c)</v>
      </c>
      <c r="AN18" s="10" t="s">
        <v>2866</v>
      </c>
      <c r="AO18" s="9" t="str">
        <f>'14'!A257</f>
        <v>(d)</v>
      </c>
      <c r="AQ18" s="10" t="s">
        <v>2886</v>
      </c>
      <c r="AR18" s="9" t="str">
        <f>'15'!A214</f>
        <v>(a)</v>
      </c>
      <c r="AT18" s="10" t="s">
        <v>2906</v>
      </c>
      <c r="AU18" s="9" t="str">
        <f>'16'!A182</f>
        <v>(b)</v>
      </c>
      <c r="AW18" s="10" t="s">
        <v>2926</v>
      </c>
      <c r="AX18" s="9" t="str">
        <f>'17'!A312</f>
        <v>(b)</v>
      </c>
      <c r="AZ18" s="10" t="s">
        <v>2946</v>
      </c>
      <c r="BA18" s="9" t="str">
        <f>'18'!A232</f>
        <v>(c)</v>
      </c>
      <c r="BC18" s="10" t="s">
        <v>2966</v>
      </c>
      <c r="BD18" s="9" t="str">
        <f>'19'!A215</f>
        <v>(b)</v>
      </c>
      <c r="BF18" s="10" t="s">
        <v>2986</v>
      </c>
      <c r="BG18" s="9" t="str">
        <f>'20'!A191</f>
        <v>(b)</v>
      </c>
      <c r="BI18" s="10" t="s">
        <v>3006</v>
      </c>
      <c r="BJ18" s="9" t="str">
        <f>'21'!A211</f>
        <v>(a)</v>
      </c>
      <c r="BL18" s="10" t="s">
        <v>3026</v>
      </c>
      <c r="BM18" s="9" t="str">
        <f>'22'!A216</f>
        <v>(a)</v>
      </c>
      <c r="BO18" s="10" t="s">
        <v>3045</v>
      </c>
      <c r="BP18" s="9" t="str">
        <f>'23'!A231</f>
        <v>(a)</v>
      </c>
      <c r="BR18" s="10" t="s">
        <v>3064</v>
      </c>
      <c r="BS18" s="9" t="str">
        <f>'24'!A200</f>
        <v>(d)</v>
      </c>
      <c r="BU18" s="10" t="s">
        <v>3083</v>
      </c>
      <c r="BV18" s="9" t="str">
        <f>'25'!A191</f>
        <v>(d)</v>
      </c>
      <c r="BX18" s="10" t="s">
        <v>3103</v>
      </c>
      <c r="BY18" s="9" t="str">
        <f>'26'!A200</f>
        <v>(c)</v>
      </c>
    </row>
    <row r="19" spans="1:77" ht="15" customHeight="1" x14ac:dyDescent="0.2">
      <c r="A19" s="10" t="s">
        <v>2598</v>
      </c>
      <c r="B19" s="9" t="str">
        <f>'1'!A254</f>
        <v>(b)</v>
      </c>
      <c r="D19" s="10" t="s">
        <v>2609</v>
      </c>
      <c r="E19" s="9" t="str">
        <f>'2'!A238</f>
        <v>(d)</v>
      </c>
      <c r="G19" s="10" t="s">
        <v>2647</v>
      </c>
      <c r="H19" s="9" t="str">
        <f>'3'!A249</f>
        <v>(b)</v>
      </c>
      <c r="J19" s="10" t="s">
        <v>2667</v>
      </c>
      <c r="K19" s="9" t="str">
        <f>'4'!A251</f>
        <v>(d)</v>
      </c>
      <c r="M19" s="10" t="s">
        <v>2687</v>
      </c>
      <c r="N19" s="9" t="str">
        <f>'5'!A244</f>
        <v>(d)</v>
      </c>
      <c r="P19" s="10" t="s">
        <v>2707</v>
      </c>
      <c r="Q19" s="9" t="str">
        <f>'6'!A254</f>
        <v>(c)</v>
      </c>
      <c r="S19" s="10" t="s">
        <v>2727</v>
      </c>
      <c r="T19" s="9" t="str">
        <f>'7'!A242</f>
        <v>(a)</v>
      </c>
      <c r="V19" s="10" t="s">
        <v>2747</v>
      </c>
      <c r="W19" s="9" t="str">
        <f>'8'!A289</f>
        <v>(d)</v>
      </c>
      <c r="Y19" s="10" t="s">
        <v>2767</v>
      </c>
      <c r="Z19" s="9" t="str">
        <f>'9'!A206</f>
        <v>(a)</v>
      </c>
      <c r="AB19" s="10" t="s">
        <v>2787</v>
      </c>
      <c r="AC19" s="9" t="str">
        <f>'10'!A225</f>
        <v>(d)</v>
      </c>
      <c r="AE19" s="10" t="s">
        <v>2807</v>
      </c>
      <c r="AF19" s="9" t="str">
        <f>'11'!A246</f>
        <v>(a)</v>
      </c>
      <c r="AH19" s="10" t="s">
        <v>2827</v>
      </c>
      <c r="AI19" s="9" t="str">
        <f>'12'!A213</f>
        <v>(a)</v>
      </c>
      <c r="AK19" s="10" t="s">
        <v>2847</v>
      </c>
      <c r="AL19" s="9" t="str">
        <f>'13'!A342</f>
        <v>(d)</v>
      </c>
      <c r="AN19" s="10" t="s">
        <v>2867</v>
      </c>
      <c r="AO19" s="9" t="str">
        <f>'14'!A268</f>
        <v>(a)</v>
      </c>
      <c r="AQ19" s="10" t="s">
        <v>2887</v>
      </c>
      <c r="AR19" s="9" t="str">
        <f>'15'!A236</f>
        <v>(d)</v>
      </c>
      <c r="AT19" s="10" t="s">
        <v>2907</v>
      </c>
      <c r="AU19" s="9" t="str">
        <f>'16'!A192</f>
        <v>(c)</v>
      </c>
      <c r="AW19" s="10" t="s">
        <v>2927</v>
      </c>
      <c r="AX19" s="9" t="str">
        <f>'17'!A322</f>
        <v>(b)</v>
      </c>
      <c r="AZ19" s="10" t="s">
        <v>2947</v>
      </c>
      <c r="BA19" s="9" t="str">
        <f>'18'!A242</f>
        <v>(d)</v>
      </c>
      <c r="BC19" s="10" t="s">
        <v>2967</v>
      </c>
      <c r="BD19" s="9" t="str">
        <f>'19'!A235</f>
        <v>(c)</v>
      </c>
      <c r="BF19" s="10" t="s">
        <v>2987</v>
      </c>
      <c r="BG19" s="9" t="str">
        <f>'20'!A202</f>
        <v>(d)</v>
      </c>
      <c r="BI19" s="10" t="s">
        <v>3007</v>
      </c>
      <c r="BJ19" s="9" t="str">
        <f>'21'!A221</f>
        <v>(d)</v>
      </c>
      <c r="BL19" s="10" t="s">
        <v>3027</v>
      </c>
      <c r="BM19" s="9" t="str">
        <f>'22'!A226</f>
        <v>(b)</v>
      </c>
      <c r="BO19" s="10" t="s">
        <v>3046</v>
      </c>
      <c r="BP19" s="9" t="str">
        <f>'23'!A241</f>
        <v>(b)</v>
      </c>
      <c r="BR19" s="10" t="s">
        <v>3065</v>
      </c>
      <c r="BS19" s="9" t="str">
        <f>'24'!A210</f>
        <v>(c)</v>
      </c>
      <c r="BU19" s="10" t="s">
        <v>3084</v>
      </c>
      <c r="BV19" s="9" t="str">
        <f>'25'!A201</f>
        <v>(b)</v>
      </c>
      <c r="BX19" s="10" t="s">
        <v>3104</v>
      </c>
      <c r="BY19" s="9" t="str">
        <f>'26'!A210</f>
        <v>(b)</v>
      </c>
    </row>
    <row r="20" spans="1:77" ht="15" customHeight="1" x14ac:dyDescent="0.2">
      <c r="A20" s="10" t="s">
        <v>2599</v>
      </c>
      <c r="B20" s="9" t="str">
        <f>'1'!A271</f>
        <v>(b)</v>
      </c>
      <c r="D20" s="10" t="s">
        <v>2610</v>
      </c>
      <c r="E20" s="9" t="str">
        <f>'2'!A248</f>
        <v>(b)</v>
      </c>
      <c r="G20" s="10" t="s">
        <v>2648</v>
      </c>
      <c r="H20" s="9" t="str">
        <f>'3'!A261</f>
        <v>(b)</v>
      </c>
      <c r="J20" s="10" t="s">
        <v>2668</v>
      </c>
      <c r="K20" s="9" t="str">
        <f>'4'!A264</f>
        <v>(a)</v>
      </c>
      <c r="M20" s="10" t="s">
        <v>2688</v>
      </c>
      <c r="N20" s="9" t="str">
        <f>'5'!A254</f>
        <v>(c)</v>
      </c>
      <c r="P20" s="10" t="s">
        <v>2708</v>
      </c>
      <c r="Q20" s="9" t="str">
        <f>'6'!A264</f>
        <v>(d)</v>
      </c>
      <c r="S20" s="10" t="s">
        <v>2728</v>
      </c>
      <c r="T20" s="9" t="str">
        <f>'7'!A252</f>
        <v>(c)</v>
      </c>
      <c r="V20" s="10" t="s">
        <v>2748</v>
      </c>
      <c r="W20" s="9" t="str">
        <f>'8'!A299</f>
        <v>(c)</v>
      </c>
      <c r="Y20" s="10" t="s">
        <v>2768</v>
      </c>
      <c r="Z20" s="9" t="str">
        <f>'9'!A216</f>
        <v>(b)</v>
      </c>
      <c r="AB20" s="10" t="s">
        <v>2788</v>
      </c>
      <c r="AC20" s="9" t="str">
        <f>'10'!A237</f>
        <v>(b)</v>
      </c>
      <c r="AE20" s="10" t="s">
        <v>2808</v>
      </c>
      <c r="AF20" s="9" t="str">
        <f>'11'!A256</f>
        <v>(b)</v>
      </c>
      <c r="AH20" s="10" t="s">
        <v>2828</v>
      </c>
      <c r="AI20" s="9" t="str">
        <f>'12'!A236</f>
        <v>(c)</v>
      </c>
      <c r="AK20" s="10" t="s">
        <v>2848</v>
      </c>
      <c r="AL20" s="9" t="str">
        <f>'13'!A355</f>
        <v>(c)</v>
      </c>
      <c r="AN20" s="10" t="s">
        <v>2868</v>
      </c>
      <c r="AO20" s="9" t="str">
        <f>'14'!A279</f>
        <v>(b)</v>
      </c>
      <c r="AQ20" s="10" t="s">
        <v>2888</v>
      </c>
      <c r="AR20" s="9" t="str">
        <f>'15'!A254</f>
        <v>(c)</v>
      </c>
      <c r="AT20" s="10" t="s">
        <v>2908</v>
      </c>
      <c r="AU20" s="9" t="str">
        <f>'16'!A202</f>
        <v>(d)</v>
      </c>
      <c r="AW20" s="10" t="s">
        <v>2928</v>
      </c>
      <c r="AX20" s="9" t="str">
        <f>'17'!A333</f>
        <v>(d)</v>
      </c>
      <c r="AZ20" s="10" t="s">
        <v>2948</v>
      </c>
      <c r="BA20" s="9" t="str">
        <f>'18'!A253</f>
        <v>(b)</v>
      </c>
      <c r="BC20" s="10" t="s">
        <v>2968</v>
      </c>
      <c r="BD20" s="9" t="str">
        <f>'19'!A245</f>
        <v>(d)</v>
      </c>
      <c r="BF20" s="10" t="s">
        <v>2988</v>
      </c>
      <c r="BG20" s="9" t="str">
        <f>'20'!A216</f>
        <v>(b)</v>
      </c>
      <c r="BI20" s="10" t="s">
        <v>3008</v>
      </c>
      <c r="BJ20" s="9" t="str">
        <f>'21'!A231</f>
        <v>(b)</v>
      </c>
      <c r="BL20" s="10" t="s">
        <v>3028</v>
      </c>
      <c r="BM20" s="9" t="str">
        <f>'22'!A236</f>
        <v>(b)</v>
      </c>
      <c r="BO20" s="10" t="s">
        <v>3047</v>
      </c>
      <c r="BP20" s="9" t="str">
        <f>'23'!A257</f>
        <v>(a)</v>
      </c>
      <c r="BR20" s="10" t="s">
        <v>3066</v>
      </c>
      <c r="BS20" s="9" t="str">
        <f>'24'!A236</f>
        <v>(d)</v>
      </c>
      <c r="BU20" s="10" t="s">
        <v>3085</v>
      </c>
      <c r="BV20" s="9" t="str">
        <f>'25'!A211</f>
        <v>(d)</v>
      </c>
      <c r="BX20" s="10" t="s">
        <v>3105</v>
      </c>
      <c r="BY20" s="9" t="str">
        <f>'26'!A221</f>
        <v>(d)</v>
      </c>
    </row>
    <row r="22" spans="1:77" ht="15" customHeight="1" x14ac:dyDescent="0.2">
      <c r="B22" s="73">
        <v>1</v>
      </c>
      <c r="C22" s="73">
        <v>2</v>
      </c>
      <c r="D22" s="73">
        <v>3</v>
      </c>
      <c r="E22" s="73">
        <v>4</v>
      </c>
      <c r="F22" s="73">
        <v>5</v>
      </c>
      <c r="G22" s="73">
        <v>6</v>
      </c>
      <c r="H22" s="73">
        <v>7</v>
      </c>
      <c r="I22" s="73">
        <v>8</v>
      </c>
      <c r="J22" s="73">
        <v>9</v>
      </c>
      <c r="K22" s="73">
        <v>10</v>
      </c>
      <c r="L22" s="73">
        <v>11</v>
      </c>
      <c r="M22" s="73">
        <v>12</v>
      </c>
      <c r="N22" s="73">
        <v>13</v>
      </c>
      <c r="O22" s="73">
        <v>14</v>
      </c>
      <c r="P22" s="73">
        <v>15</v>
      </c>
      <c r="Q22" s="73">
        <v>16</v>
      </c>
      <c r="R22" s="73">
        <v>17</v>
      </c>
      <c r="S22" s="73">
        <v>18</v>
      </c>
      <c r="T22" s="73">
        <v>19</v>
      </c>
      <c r="U22" s="73">
        <v>20</v>
      </c>
      <c r="V22" s="73">
        <v>21</v>
      </c>
      <c r="W22" s="73">
        <v>22</v>
      </c>
      <c r="X22" s="73">
        <v>23</v>
      </c>
      <c r="Y22" s="73">
        <v>24</v>
      </c>
      <c r="Z22" s="73">
        <v>25</v>
      </c>
      <c r="AA22" s="73">
        <v>26</v>
      </c>
      <c r="AC22" s="74" t="s">
        <v>3107</v>
      </c>
      <c r="AD22" s="74" t="s">
        <v>3108</v>
      </c>
    </row>
    <row r="23" spans="1:77" ht="15" customHeight="1" x14ac:dyDescent="0.2">
      <c r="A23" s="8" t="s">
        <v>80</v>
      </c>
      <c r="B23" s="9">
        <f>COUNTIF(B$1:B$20,"(a)")</f>
        <v>5</v>
      </c>
      <c r="C23" s="9">
        <f>COUNTIF(E$1:E$20,"(a)")</f>
        <v>5</v>
      </c>
      <c r="D23" s="9">
        <f>COUNTIF(H$1:H$20,"(a)")</f>
        <v>5</v>
      </c>
      <c r="E23" s="9">
        <f>COUNTIF(K$1:K$20,"(a)")</f>
        <v>5</v>
      </c>
      <c r="F23" s="9">
        <f>COUNTIF(N$1:N$20,"(a)")</f>
        <v>5</v>
      </c>
      <c r="G23" s="9">
        <f>COUNTIF(Q$1:Q$20,"(a)")</f>
        <v>3</v>
      </c>
      <c r="H23" s="9">
        <f>COUNTIF(T$1:T$20,"(a)")</f>
        <v>7</v>
      </c>
      <c r="I23" s="9">
        <f>COUNTIF(W$1:W$20,"(a)")</f>
        <v>4</v>
      </c>
      <c r="J23" s="9">
        <f>COUNTIF(Z$1:Z$20,"(a)")</f>
        <v>6</v>
      </c>
      <c r="K23" s="9">
        <f>COUNTIF(AC$1:AC$20,"(a)")</f>
        <v>6</v>
      </c>
      <c r="L23" s="9">
        <f>COUNTIF(AF$1:AF$20,"(a)")</f>
        <v>4</v>
      </c>
      <c r="M23" s="9">
        <f>COUNTIF(AI$1:AI$20,"(a)")</f>
        <v>5</v>
      </c>
      <c r="N23" s="9">
        <f>COUNTIF(AL$1:AL$20,"(a)")</f>
        <v>3</v>
      </c>
      <c r="O23" s="9">
        <f>COUNTIF(AO$1:AO$20,"(a)")</f>
        <v>3</v>
      </c>
      <c r="P23" s="9">
        <f>COUNTIF(AR$1:AR$20,"(a)")</f>
        <v>4</v>
      </c>
      <c r="Q23" s="9">
        <f>COUNTIF(AU$1:AU$20,"(a)")</f>
        <v>4</v>
      </c>
      <c r="R23" s="9">
        <f>COUNTIF(AX$1:AX$20,"(a)")</f>
        <v>3</v>
      </c>
      <c r="S23" s="9">
        <f>COUNTIF(BA$1:BA$20,"(a)")</f>
        <v>4</v>
      </c>
      <c r="T23" s="9">
        <f>COUNTIF(BD$1:BD$20,"(a)")</f>
        <v>5</v>
      </c>
      <c r="U23" s="9">
        <f>COUNTIF(BG$1:BG$20,"(a)")</f>
        <v>6</v>
      </c>
      <c r="V23" s="9">
        <f>COUNTIF(BJ$1:BJ$20,"(a)")</f>
        <v>2</v>
      </c>
      <c r="W23" s="9">
        <f>COUNTIF(BM$1:BM$20,"(a)")</f>
        <v>7</v>
      </c>
      <c r="X23" s="9">
        <f>COUNTIF(BP$1:BP$20,"(a)")</f>
        <v>6</v>
      </c>
      <c r="Y23" s="9">
        <f>COUNTIF(BS$1:BS$20,"(a)")</f>
        <v>3</v>
      </c>
      <c r="Z23" s="9">
        <f>COUNTIF(BV$1:BV$20,"(a)")</f>
        <v>3</v>
      </c>
      <c r="AA23" s="9">
        <f>COUNTIF(BY$1:BY$20,"(a)")</f>
        <v>2</v>
      </c>
      <c r="AC23" s="9">
        <f>SUM(B23:AA23)</f>
        <v>115</v>
      </c>
      <c r="AD23" s="4">
        <f>AC23/$AC$27</f>
        <v>0.22115384615384615</v>
      </c>
    </row>
    <row r="24" spans="1:77" ht="15" customHeight="1" x14ac:dyDescent="0.2">
      <c r="A24" s="8" t="s">
        <v>88</v>
      </c>
      <c r="B24" s="9">
        <f>COUNTIF(B$1:B$20,"(b)")</f>
        <v>5</v>
      </c>
      <c r="C24" s="9">
        <f>COUNTIF(E$1:E$20,"(b)")</f>
        <v>6</v>
      </c>
      <c r="D24" s="9">
        <f>COUNTIF(H$1:H$20,"(b)")</f>
        <v>6</v>
      </c>
      <c r="E24" s="9">
        <f>COUNTIF(K$1:K$20,"(b)")</f>
        <v>4</v>
      </c>
      <c r="F24" s="9">
        <f>COUNTIF(N$1:N$20,"(b)")</f>
        <v>5</v>
      </c>
      <c r="G24" s="9">
        <f>COUNTIF(Q$1:Q$20,"(b)")</f>
        <v>7</v>
      </c>
      <c r="H24" s="9">
        <f>COUNTIF(T$1:T$20,"(b)")</f>
        <v>6</v>
      </c>
      <c r="I24" s="9">
        <f>COUNTIF(W$1:W$20,"(b)")</f>
        <v>6</v>
      </c>
      <c r="J24" s="9">
        <f>COUNTIF(Z$1:Z$20,"(b)")</f>
        <v>6</v>
      </c>
      <c r="K24" s="9">
        <f>COUNTIF(AC$1:AC$20,"(b)")</f>
        <v>4</v>
      </c>
      <c r="L24" s="9">
        <f>COUNTIF(AF$1:AF$20,"(b)")</f>
        <v>4</v>
      </c>
      <c r="M24" s="9">
        <f>COUNTIF(AI$1:AI$20,"(b)")</f>
        <v>5</v>
      </c>
      <c r="N24" s="9">
        <f>COUNTIF(AL$1:AL$20,"(b)")</f>
        <v>5</v>
      </c>
      <c r="O24" s="9">
        <f>COUNTIF(AO$1:AO$20,"(b)")</f>
        <v>7</v>
      </c>
      <c r="P24" s="9">
        <f>COUNTIF(AR$1:AR$20,"(b)")</f>
        <v>6</v>
      </c>
      <c r="Q24" s="9">
        <f>COUNTIF(AU$1:AU$20,"(b)")</f>
        <v>7</v>
      </c>
      <c r="R24" s="9">
        <f>COUNTIF(AX$1:AX$20,"(b)")</f>
        <v>6</v>
      </c>
      <c r="S24" s="9">
        <f>COUNTIF(BA$1:BA$20,"(b)")</f>
        <v>4</v>
      </c>
      <c r="T24" s="9">
        <f>COUNTIF(BD$1:BD$20,"(b)")</f>
        <v>5</v>
      </c>
      <c r="U24" s="9">
        <f>COUNTIF(BG$1:BG$20,"(b)")</f>
        <v>3</v>
      </c>
      <c r="V24" s="9">
        <f>COUNTIF(BJ$1:BJ$20,"(b)")</f>
        <v>7</v>
      </c>
      <c r="W24" s="9">
        <f>COUNTIF(BM$1:BM$20,"(b)")</f>
        <v>8</v>
      </c>
      <c r="X24" s="9">
        <f>COUNTIF(BP$1:BP$20,"(b)")</f>
        <v>5</v>
      </c>
      <c r="Y24" s="9">
        <f>COUNTIF(BS$1:BS$20,"(b)")</f>
        <v>6</v>
      </c>
      <c r="Z24" s="9">
        <f>COUNTIF(BV$1:BV$20,"(b)")</f>
        <v>5</v>
      </c>
      <c r="AA24" s="9">
        <f>COUNTIF(BY$1:BY$20,"(b)")</f>
        <v>6</v>
      </c>
      <c r="AC24" s="9">
        <f t="shared" ref="AC24:AC26" si="0">SUM(B24:AA24)</f>
        <v>144</v>
      </c>
      <c r="AD24" s="4">
        <f t="shared" ref="AD24:AD26" si="1">AC24/$AC$27</f>
        <v>0.27692307692307694</v>
      </c>
    </row>
    <row r="25" spans="1:77" ht="15" customHeight="1" x14ac:dyDescent="0.2">
      <c r="A25" s="8" t="s">
        <v>98</v>
      </c>
      <c r="B25" s="9">
        <f>COUNTIF(B$1:B$20,"(c)")</f>
        <v>5</v>
      </c>
      <c r="C25" s="9">
        <f>COUNTIF(E$1:E$20,"(c)")</f>
        <v>4</v>
      </c>
      <c r="D25" s="9">
        <f>COUNTIF(H$1:H$20,"(c)")</f>
        <v>4</v>
      </c>
      <c r="E25" s="9">
        <f>COUNTIF(K$1:K$20,"(c)")</f>
        <v>4</v>
      </c>
      <c r="F25" s="9">
        <f>COUNTIF(N$1:N$20,"(c)")</f>
        <v>6</v>
      </c>
      <c r="G25" s="9">
        <f>COUNTIF(Q$1:Q$20,"(c)")</f>
        <v>6</v>
      </c>
      <c r="H25" s="9">
        <f>COUNTIF(T$1:T$20,"(c)")</f>
        <v>3</v>
      </c>
      <c r="I25" s="9">
        <f>COUNTIF(W$1:W$20,"(c)")</f>
        <v>5</v>
      </c>
      <c r="J25" s="9">
        <f>COUNTIF(Z$1:Z$20,"(c)")</f>
        <v>4</v>
      </c>
      <c r="K25" s="9">
        <f>COUNTIF(AC$1:AC$20,"(c)")</f>
        <v>4</v>
      </c>
      <c r="L25" s="9">
        <f>COUNTIF(AF$1:AF$20,"(c)")</f>
        <v>5</v>
      </c>
      <c r="M25" s="9">
        <f>COUNTIF(AI$1:AI$20,"(c)")</f>
        <v>5</v>
      </c>
      <c r="N25" s="9">
        <f>COUNTIF(AL$1:AL$20,"(c)")</f>
        <v>7</v>
      </c>
      <c r="O25" s="9">
        <f>COUNTIF(AO$1:AO$20,"(c)")</f>
        <v>7</v>
      </c>
      <c r="P25" s="9">
        <f>COUNTIF(AR$1:AR$20,"(c)")</f>
        <v>3</v>
      </c>
      <c r="Q25" s="9">
        <f>COUNTIF(AU$1:AU$20,"(c)")</f>
        <v>4</v>
      </c>
      <c r="R25" s="9">
        <f>COUNTIF(AX$1:AX$20,"(c)")</f>
        <v>4</v>
      </c>
      <c r="S25" s="9">
        <f>COUNTIF(BA$1:BA$20,"(c)")</f>
        <v>8</v>
      </c>
      <c r="T25" s="9">
        <f>COUNTIF(BD$1:BD$20,"(c)")</f>
        <v>6</v>
      </c>
      <c r="U25" s="9">
        <f>COUNTIF(BG$1:BG$20,"(c)")</f>
        <v>7</v>
      </c>
      <c r="V25" s="9">
        <f>COUNTIF(BJ$1:BJ$20,"(c)")</f>
        <v>5</v>
      </c>
      <c r="W25" s="9">
        <f>COUNTIF(BM$1:BM$20,"(c)")</f>
        <v>3</v>
      </c>
      <c r="X25" s="9">
        <f>COUNTIF(BP$1:BP$20,"(c)")</f>
        <v>5</v>
      </c>
      <c r="Y25" s="9">
        <f>COUNTIF(BS$1:BS$20,"(c)")</f>
        <v>7</v>
      </c>
      <c r="Z25" s="9">
        <f>COUNTIF(BV$1:BV$20,"(c)")</f>
        <v>2</v>
      </c>
      <c r="AA25" s="9">
        <f>COUNTIF(BY$1:BY$20,"(c)")</f>
        <v>4</v>
      </c>
      <c r="AC25" s="9">
        <f t="shared" si="0"/>
        <v>127</v>
      </c>
      <c r="AD25" s="4">
        <f t="shared" si="1"/>
        <v>0.24423076923076922</v>
      </c>
    </row>
    <row r="26" spans="1:77" ht="15" customHeight="1" x14ac:dyDescent="0.2">
      <c r="A26" s="8" t="s">
        <v>110</v>
      </c>
      <c r="B26" s="11">
        <f>COUNTIF(B$1:B$20,"(d)")</f>
        <v>5</v>
      </c>
      <c r="C26" s="11">
        <f>COUNTIF(E$1:E$20,"(d)")</f>
        <v>5</v>
      </c>
      <c r="D26" s="11">
        <f>COUNTIF(H$1:H$20,"(d)")</f>
        <v>5</v>
      </c>
      <c r="E26" s="11">
        <f>COUNTIF(K$1:K$20,"(d)")</f>
        <v>7</v>
      </c>
      <c r="F26" s="11">
        <f>COUNTIF(N$1:N$20,"(d)")</f>
        <v>4</v>
      </c>
      <c r="G26" s="11">
        <f>COUNTIF(Q$1:Q$20,"(d)")</f>
        <v>4</v>
      </c>
      <c r="H26" s="11">
        <f>COUNTIF(T$1:T$20,"(d)")</f>
        <v>4</v>
      </c>
      <c r="I26" s="11">
        <f>COUNTIF(W$1:W$20,"(d)")</f>
        <v>5</v>
      </c>
      <c r="J26" s="11">
        <f>COUNTIF(Z$1:Z$20,"(d)")</f>
        <v>4</v>
      </c>
      <c r="K26" s="11">
        <f>COUNTIF(AC$1:AC$20,"(d)")</f>
        <v>6</v>
      </c>
      <c r="L26" s="11">
        <f>COUNTIF(AF$1:AF$20,"(d)")</f>
        <v>7</v>
      </c>
      <c r="M26" s="11">
        <f>COUNTIF(AI$1:AI$20,"(d)")</f>
        <v>5</v>
      </c>
      <c r="N26" s="11">
        <f>COUNTIF(AL$1:AL$20,"(d)")</f>
        <v>5</v>
      </c>
      <c r="O26" s="11">
        <f>COUNTIF(AO$1:AO$20,"(d)")</f>
        <v>3</v>
      </c>
      <c r="P26" s="11">
        <f>COUNTIF(AR$1:AR$20,"(d)")</f>
        <v>7</v>
      </c>
      <c r="Q26" s="11">
        <f>COUNTIF(AU$1:AU$20,"(d)")</f>
        <v>5</v>
      </c>
      <c r="R26" s="11">
        <f>COUNTIF(AX$1:AX$20,"(d)")</f>
        <v>7</v>
      </c>
      <c r="S26" s="11">
        <f>COUNTIF(BA$1:BA$20,"(d)")</f>
        <v>4</v>
      </c>
      <c r="T26" s="11">
        <f>COUNTIF(BD$1:BD$20,"(d)")</f>
        <v>4</v>
      </c>
      <c r="U26" s="11">
        <f>COUNTIF(BG$1:BG$20,"(d)")</f>
        <v>4</v>
      </c>
      <c r="V26" s="11">
        <f>COUNTIF(BJ$1:BJ$20,"(d)")</f>
        <v>6</v>
      </c>
      <c r="W26" s="11">
        <f>COUNTIF(BM$1:BM$20,"(d)")</f>
        <v>2</v>
      </c>
      <c r="X26" s="11">
        <f>COUNTIF(BP$1:BP$20,"(d)")</f>
        <v>4</v>
      </c>
      <c r="Y26" s="11">
        <f>COUNTIF(BS$1:BS$20,"(d)")</f>
        <v>4</v>
      </c>
      <c r="Z26" s="11">
        <f>COUNTIF(BV$1:BV$20,"(d)")</f>
        <v>10</v>
      </c>
      <c r="AA26" s="11">
        <f>COUNTIF(BY$1:BY$20,"(d)")</f>
        <v>8</v>
      </c>
      <c r="AC26" s="11">
        <f t="shared" si="0"/>
        <v>134</v>
      </c>
      <c r="AD26" s="6">
        <f t="shared" si="1"/>
        <v>0.25769230769230766</v>
      </c>
    </row>
    <row r="27" spans="1:77" ht="15" customHeight="1" x14ac:dyDescent="0.2">
      <c r="B27" s="9">
        <f>SUM(B23:B26)</f>
        <v>20</v>
      </c>
      <c r="C27" s="9">
        <f t="shared" ref="C27:AA27" si="2">SUM(C23:C26)</f>
        <v>20</v>
      </c>
      <c r="D27" s="9">
        <f t="shared" si="2"/>
        <v>20</v>
      </c>
      <c r="E27" s="9">
        <f t="shared" si="2"/>
        <v>20</v>
      </c>
      <c r="F27" s="9">
        <f t="shared" si="2"/>
        <v>20</v>
      </c>
      <c r="G27" s="9">
        <f t="shared" si="2"/>
        <v>20</v>
      </c>
      <c r="H27" s="9">
        <f t="shared" si="2"/>
        <v>20</v>
      </c>
      <c r="I27" s="9">
        <f t="shared" si="2"/>
        <v>20</v>
      </c>
      <c r="J27" s="9">
        <f t="shared" si="2"/>
        <v>20</v>
      </c>
      <c r="K27" s="9">
        <f t="shared" si="2"/>
        <v>20</v>
      </c>
      <c r="L27" s="9">
        <f t="shared" si="2"/>
        <v>20</v>
      </c>
      <c r="M27" s="9">
        <f t="shared" si="2"/>
        <v>20</v>
      </c>
      <c r="N27" s="9">
        <f t="shared" si="2"/>
        <v>20</v>
      </c>
      <c r="O27" s="9">
        <f t="shared" si="2"/>
        <v>20</v>
      </c>
      <c r="P27" s="9">
        <f t="shared" si="2"/>
        <v>20</v>
      </c>
      <c r="Q27" s="9">
        <f t="shared" si="2"/>
        <v>20</v>
      </c>
      <c r="R27" s="9">
        <f t="shared" si="2"/>
        <v>20</v>
      </c>
      <c r="S27" s="9">
        <f t="shared" si="2"/>
        <v>20</v>
      </c>
      <c r="T27" s="9">
        <f t="shared" si="2"/>
        <v>20</v>
      </c>
      <c r="U27" s="9">
        <f t="shared" si="2"/>
        <v>20</v>
      </c>
      <c r="V27" s="9">
        <f t="shared" si="2"/>
        <v>20</v>
      </c>
      <c r="W27" s="9">
        <f t="shared" si="2"/>
        <v>20</v>
      </c>
      <c r="X27" s="9">
        <f t="shared" si="2"/>
        <v>20</v>
      </c>
      <c r="Y27" s="9">
        <f t="shared" si="2"/>
        <v>20</v>
      </c>
      <c r="Z27" s="9">
        <f t="shared" si="2"/>
        <v>20</v>
      </c>
      <c r="AA27" s="9">
        <f t="shared" si="2"/>
        <v>20</v>
      </c>
      <c r="AC27" s="9">
        <f>SUM(AC23:AC26)</f>
        <v>520</v>
      </c>
      <c r="AD27" s="4">
        <f>SUM(AD23:AD26)</f>
        <v>1</v>
      </c>
    </row>
    <row r="29" spans="1:77" ht="15" customHeight="1" x14ac:dyDescent="0.2">
      <c r="B29" s="12"/>
    </row>
    <row r="30" spans="1:77" ht="15" customHeight="1" x14ac:dyDescent="0.2">
      <c r="B30" s="12"/>
    </row>
    <row r="31" spans="1:77" ht="15" customHeight="1" x14ac:dyDescent="0.2">
      <c r="B31" s="12"/>
    </row>
    <row r="34" spans="2:2" ht="15" customHeight="1" x14ac:dyDescent="0.2">
      <c r="B34" s="13"/>
    </row>
    <row r="35" spans="2:2" ht="15" customHeight="1" x14ac:dyDescent="0.2">
      <c r="B35" s="12"/>
    </row>
    <row r="42" spans="2:2" ht="15" customHeight="1" x14ac:dyDescent="0.2">
      <c r="B42" s="14"/>
    </row>
    <row r="43" spans="2:2" ht="15" customHeight="1" x14ac:dyDescent="0.2">
      <c r="B43" s="14"/>
    </row>
    <row r="44" spans="2:2" ht="15" customHeight="1" x14ac:dyDescent="0.2">
      <c r="B44" s="14"/>
    </row>
    <row r="45" spans="2:2" ht="15" customHeight="1" x14ac:dyDescent="0.2">
      <c r="B45" s="14"/>
    </row>
    <row r="46" spans="2:2" ht="15" customHeight="1" x14ac:dyDescent="0.2">
      <c r="B46" s="14"/>
    </row>
    <row r="47" spans="2:2" ht="15" customHeight="1" x14ac:dyDescent="0.2">
      <c r="B47" s="15"/>
    </row>
    <row r="49" spans="1:2" ht="15" customHeight="1" x14ac:dyDescent="0.2">
      <c r="A49" s="10"/>
    </row>
    <row r="52" spans="1:2" ht="15" customHeight="1" x14ac:dyDescent="0.2">
      <c r="B52" s="12"/>
    </row>
    <row r="53" spans="1:2" ht="15" customHeight="1" x14ac:dyDescent="0.2">
      <c r="B53" s="13"/>
    </row>
    <row r="54" spans="1:2" ht="15" customHeight="1" x14ac:dyDescent="0.2">
      <c r="B54" s="15"/>
    </row>
    <row r="55" spans="1:2" ht="15" customHeight="1" x14ac:dyDescent="0.2">
      <c r="B55" s="15"/>
    </row>
    <row r="56" spans="1:2" ht="15" customHeight="1" x14ac:dyDescent="0.2">
      <c r="B56" s="16"/>
    </row>
    <row r="57" spans="1:2" ht="15" customHeight="1" x14ac:dyDescent="0.2">
      <c r="A57" s="10"/>
      <c r="B57" s="15"/>
    </row>
    <row r="59" spans="1:2" ht="15" customHeight="1" x14ac:dyDescent="0.2">
      <c r="B59" s="17"/>
    </row>
    <row r="64" spans="1:2" ht="15" customHeight="1" x14ac:dyDescent="0.2">
      <c r="B64" s="18"/>
    </row>
    <row r="65" spans="1:7" ht="15" customHeight="1" x14ac:dyDescent="0.2">
      <c r="A65" s="10"/>
      <c r="B65" s="18"/>
    </row>
    <row r="68" spans="1:7" ht="15" customHeight="1" x14ac:dyDescent="0.2">
      <c r="B68" s="12"/>
    </row>
    <row r="69" spans="1:7" ht="15" customHeight="1" x14ac:dyDescent="0.2">
      <c r="B69" s="19"/>
    </row>
    <row r="70" spans="1:7" ht="15" customHeight="1" x14ac:dyDescent="0.2">
      <c r="B70" s="12"/>
    </row>
    <row r="74" spans="1:7" ht="15" customHeight="1" x14ac:dyDescent="0.2">
      <c r="B74" s="15"/>
      <c r="C74" s="15"/>
      <c r="D74" s="15"/>
      <c r="E74" s="15"/>
      <c r="F74" s="15"/>
      <c r="G74" s="15"/>
    </row>
    <row r="75" spans="1:7" ht="15" customHeight="1" x14ac:dyDescent="0.2">
      <c r="B75" s="14"/>
    </row>
    <row r="77" spans="1:7" ht="15" customHeight="1" x14ac:dyDescent="0.2">
      <c r="A77" s="10"/>
    </row>
    <row r="79" spans="1:7" ht="15" customHeight="1" x14ac:dyDescent="0.2">
      <c r="A79" s="10"/>
      <c r="B79" s="20"/>
      <c r="C79" s="20"/>
      <c r="D79" s="20"/>
      <c r="E79" s="20"/>
      <c r="F79" s="20"/>
      <c r="G79" s="20"/>
    </row>
    <row r="80" spans="1:7" ht="15" customHeight="1" x14ac:dyDescent="0.2">
      <c r="A80" s="10"/>
    </row>
    <row r="81" spans="1:7" ht="15" customHeight="1" x14ac:dyDescent="0.2">
      <c r="A81" s="10"/>
    </row>
    <row r="82" spans="1:7" ht="15" customHeight="1" x14ac:dyDescent="0.2">
      <c r="A82" s="10"/>
    </row>
    <row r="84" spans="1:7" ht="15" customHeight="1" x14ac:dyDescent="0.2">
      <c r="A84" s="10"/>
      <c r="B84" s="12"/>
      <c r="C84" s="12"/>
      <c r="D84" s="12"/>
      <c r="E84" s="12"/>
      <c r="F84" s="12"/>
      <c r="G84" s="12"/>
    </row>
    <row r="85" spans="1:7" ht="15" customHeight="1" x14ac:dyDescent="0.2">
      <c r="A85" s="10"/>
      <c r="B85" s="12"/>
    </row>
    <row r="86" spans="1:7" ht="15" customHeight="1" x14ac:dyDescent="0.2">
      <c r="A86" s="10"/>
    </row>
    <row r="88" spans="1:7" ht="15" customHeight="1" x14ac:dyDescent="0.2">
      <c r="A88" s="10"/>
    </row>
    <row r="89" spans="1:7" ht="15" customHeight="1" x14ac:dyDescent="0.2">
      <c r="A89" s="10"/>
      <c r="B89" s="15"/>
    </row>
    <row r="90" spans="1:7" ht="15" customHeight="1" x14ac:dyDescent="0.2">
      <c r="A90" s="10"/>
      <c r="B90" s="15"/>
    </row>
    <row r="91" spans="1:7" ht="15" customHeight="1" x14ac:dyDescent="0.2">
      <c r="A91" s="10"/>
      <c r="B91" s="15"/>
    </row>
    <row r="92" spans="1:7" ht="15" customHeight="1" x14ac:dyDescent="0.2">
      <c r="A92" s="10"/>
      <c r="B92" s="15"/>
    </row>
    <row r="93" spans="1:7" ht="15" customHeight="1" x14ac:dyDescent="0.2">
      <c r="A93" s="10"/>
      <c r="B93" s="15"/>
    </row>
    <row r="94" spans="1:7" ht="15" customHeight="1" x14ac:dyDescent="0.2">
      <c r="A94" s="10"/>
      <c r="B94" s="15"/>
    </row>
    <row r="95" spans="1:7" ht="15" customHeight="1" x14ac:dyDescent="0.2">
      <c r="A95" s="10"/>
      <c r="B95" s="15"/>
    </row>
    <row r="97" spans="1:5" ht="15" customHeight="1" x14ac:dyDescent="0.2">
      <c r="A97" s="10"/>
      <c r="B97" s="12"/>
      <c r="C97" s="12"/>
      <c r="D97" s="12"/>
      <c r="E97" s="12"/>
    </row>
    <row r="98" spans="1:5" ht="15" customHeight="1" x14ac:dyDescent="0.2">
      <c r="A98" s="10"/>
      <c r="B98" s="12"/>
      <c r="C98" s="12"/>
      <c r="D98" s="12"/>
      <c r="E98" s="12"/>
    </row>
    <row r="99" spans="1:5" ht="15" customHeight="1" x14ac:dyDescent="0.2">
      <c r="A99" s="10"/>
      <c r="B99" s="12"/>
      <c r="C99" s="12"/>
      <c r="D99" s="12"/>
      <c r="E99" s="12"/>
    </row>
    <row r="100" spans="1:5" ht="15" customHeight="1" x14ac:dyDescent="0.2">
      <c r="E100" s="15"/>
    </row>
    <row r="101" spans="1:5" ht="15" customHeight="1" x14ac:dyDescent="0.2">
      <c r="A101" s="10"/>
      <c r="B101" s="21"/>
      <c r="C101" s="15"/>
      <c r="D101" s="21"/>
      <c r="E101" s="15"/>
    </row>
    <row r="102" spans="1:5" ht="15" customHeight="1" x14ac:dyDescent="0.2">
      <c r="A102" s="10"/>
    </row>
    <row r="103" spans="1:5" ht="15" customHeight="1" x14ac:dyDescent="0.2">
      <c r="A103" s="10"/>
    </row>
    <row r="104" spans="1:5" ht="15" customHeight="1" x14ac:dyDescent="0.2">
      <c r="A104" s="10"/>
    </row>
    <row r="105" spans="1:5" ht="15" customHeight="1" x14ac:dyDescent="0.2">
      <c r="A105" s="10"/>
    </row>
    <row r="107" spans="1:5" ht="15" customHeight="1" x14ac:dyDescent="0.2">
      <c r="A107" s="10"/>
      <c r="B107" s="18"/>
      <c r="C107" s="18"/>
      <c r="D107" s="18"/>
      <c r="E107" s="18"/>
    </row>
    <row r="108" spans="1:5" ht="15" customHeight="1" x14ac:dyDescent="0.2">
      <c r="A108" s="10"/>
      <c r="B108" s="18"/>
      <c r="C108" s="18"/>
      <c r="D108" s="15"/>
    </row>
    <row r="109" spans="1:5" ht="15" customHeight="1" x14ac:dyDescent="0.2">
      <c r="A109" s="10"/>
      <c r="B109" s="18"/>
      <c r="C109" s="18"/>
    </row>
    <row r="110" spans="1:5" ht="15" customHeight="1" x14ac:dyDescent="0.2">
      <c r="A110" s="10"/>
      <c r="B110" s="14"/>
    </row>
    <row r="112" spans="1:5" ht="15" customHeight="1" x14ac:dyDescent="0.2">
      <c r="A112" s="10"/>
    </row>
    <row r="113" spans="1:5" ht="15" customHeight="1" x14ac:dyDescent="0.2">
      <c r="A113" s="10"/>
    </row>
    <row r="114" spans="1:5" ht="15" customHeight="1" x14ac:dyDescent="0.2">
      <c r="A114" s="10"/>
    </row>
    <row r="115" spans="1:5" ht="15" customHeight="1" x14ac:dyDescent="0.2">
      <c r="A115" s="10"/>
    </row>
    <row r="116" spans="1:5" ht="15" customHeight="1" x14ac:dyDescent="0.2">
      <c r="A116" s="10"/>
    </row>
    <row r="117" spans="1:5" ht="15" customHeight="1" x14ac:dyDescent="0.2">
      <c r="A117" s="10"/>
    </row>
    <row r="118" spans="1:5" ht="15" customHeight="1" x14ac:dyDescent="0.2">
      <c r="A118" s="10"/>
    </row>
    <row r="119" spans="1:5" ht="15" customHeight="1" x14ac:dyDescent="0.2">
      <c r="A119" s="10"/>
    </row>
    <row r="120" spans="1:5" ht="15" customHeight="1" x14ac:dyDescent="0.2">
      <c r="A120" s="10"/>
    </row>
    <row r="121" spans="1:5" ht="15" customHeight="1" x14ac:dyDescent="0.2">
      <c r="A121" s="10"/>
    </row>
    <row r="122" spans="1:5" ht="15" customHeight="1" x14ac:dyDescent="0.2">
      <c r="A122" s="10"/>
    </row>
    <row r="123" spans="1:5" ht="15" customHeight="1" x14ac:dyDescent="0.2">
      <c r="A123" s="10"/>
    </row>
    <row r="124" spans="1:5" ht="15" customHeight="1" x14ac:dyDescent="0.2">
      <c r="A124" s="10"/>
    </row>
    <row r="125" spans="1:5" ht="15" customHeight="1" x14ac:dyDescent="0.2">
      <c r="A125" s="10"/>
    </row>
    <row r="126" spans="1:5" ht="15" customHeight="1" x14ac:dyDescent="0.2">
      <c r="A126" s="10"/>
    </row>
    <row r="128" spans="1:5" ht="15" customHeight="1" x14ac:dyDescent="0.2">
      <c r="A128" s="10"/>
      <c r="C128" s="12"/>
      <c r="E128" s="12"/>
    </row>
    <row r="129" spans="1:4" ht="15" customHeight="1" x14ac:dyDescent="0.2">
      <c r="A129" s="10"/>
    </row>
    <row r="130" spans="1:4" ht="15" customHeight="1" x14ac:dyDescent="0.2">
      <c r="A130" s="10"/>
    </row>
    <row r="131" spans="1:4" ht="15" customHeight="1" x14ac:dyDescent="0.2">
      <c r="A131" s="10"/>
      <c r="B131" s="15"/>
    </row>
    <row r="132" spans="1:4" ht="15" customHeight="1" x14ac:dyDescent="0.2">
      <c r="A132" s="10"/>
      <c r="B132" s="17"/>
    </row>
    <row r="133" spans="1:4" ht="15" customHeight="1" x14ac:dyDescent="0.2">
      <c r="A133" s="10"/>
      <c r="B133" s="15"/>
    </row>
    <row r="134" spans="1:4" ht="15" customHeight="1" x14ac:dyDescent="0.2">
      <c r="A134" s="10"/>
      <c r="B134" s="15"/>
    </row>
    <row r="136" spans="1:4" ht="15" customHeight="1" x14ac:dyDescent="0.2">
      <c r="A136" s="10"/>
    </row>
    <row r="137" spans="1:4" ht="15" customHeight="1" x14ac:dyDescent="0.2">
      <c r="A137" s="10"/>
    </row>
    <row r="138" spans="1:4" ht="15" customHeight="1" x14ac:dyDescent="0.2">
      <c r="A138" s="10"/>
      <c r="C138" s="18"/>
      <c r="D138" s="18"/>
    </row>
    <row r="139" spans="1:4" ht="15" customHeight="1" x14ac:dyDescent="0.2">
      <c r="A139" s="10"/>
    </row>
    <row r="140" spans="1:4" ht="15" customHeight="1" x14ac:dyDescent="0.2">
      <c r="A140" s="10"/>
    </row>
    <row r="141" spans="1:4" ht="15" customHeight="1" x14ac:dyDescent="0.2">
      <c r="A141" s="10"/>
    </row>
    <row r="142" spans="1:4" ht="15" customHeight="1" x14ac:dyDescent="0.2">
      <c r="A142" s="10"/>
    </row>
    <row r="144" spans="1:4" ht="15" customHeight="1" x14ac:dyDescent="0.2">
      <c r="A144" s="10"/>
    </row>
    <row r="145" spans="1:4" ht="15" customHeight="1" x14ac:dyDescent="0.2">
      <c r="A145" s="10"/>
    </row>
    <row r="146" spans="1:4" ht="15" customHeight="1" x14ac:dyDescent="0.2">
      <c r="A146" s="10"/>
    </row>
    <row r="147" spans="1:4" ht="15" customHeight="1" x14ac:dyDescent="0.2">
      <c r="A147" s="10"/>
    </row>
    <row r="148" spans="1:4" ht="15" customHeight="1" x14ac:dyDescent="0.2">
      <c r="A148" s="10"/>
    </row>
    <row r="149" spans="1:4" ht="15" customHeight="1" x14ac:dyDescent="0.2">
      <c r="A149" s="10"/>
    </row>
    <row r="150" spans="1:4" ht="15" customHeight="1" x14ac:dyDescent="0.2">
      <c r="A150" s="10"/>
    </row>
    <row r="152" spans="1:4" ht="15" customHeight="1" x14ac:dyDescent="0.2">
      <c r="A152" s="10"/>
    </row>
    <row r="153" spans="1:4" ht="15" customHeight="1" x14ac:dyDescent="0.2">
      <c r="A153" s="10"/>
    </row>
    <row r="154" spans="1:4" ht="15" customHeight="1" x14ac:dyDescent="0.2">
      <c r="A154" s="10"/>
    </row>
    <row r="155" spans="1:4" ht="15" customHeight="1" x14ac:dyDescent="0.2">
      <c r="A155" s="10"/>
    </row>
    <row r="156" spans="1:4" ht="15" customHeight="1" x14ac:dyDescent="0.2">
      <c r="A156" s="10"/>
    </row>
    <row r="158" spans="1:4" ht="15" customHeight="1" x14ac:dyDescent="0.2">
      <c r="A158" s="10"/>
      <c r="B158" s="16"/>
      <c r="C158" s="16"/>
      <c r="D158" s="16"/>
    </row>
    <row r="159" spans="1:4" ht="15" customHeight="1" x14ac:dyDescent="0.2">
      <c r="A159" s="10"/>
      <c r="B159" s="18"/>
      <c r="C159" s="18"/>
      <c r="D159" s="18"/>
    </row>
    <row r="160" spans="1:4" ht="15" customHeight="1" x14ac:dyDescent="0.2">
      <c r="A160" s="10"/>
    </row>
    <row r="161" spans="1:5" ht="15" customHeight="1" x14ac:dyDescent="0.2">
      <c r="A161" s="10"/>
    </row>
    <row r="162" spans="1:5" ht="15" customHeight="1" x14ac:dyDescent="0.2">
      <c r="A162" s="10"/>
      <c r="B162" s="22"/>
    </row>
    <row r="164" spans="1:5" ht="15" customHeight="1" x14ac:dyDescent="0.2">
      <c r="A164" s="10"/>
      <c r="B164" s="18"/>
      <c r="C164" s="18"/>
    </row>
    <row r="165" spans="1:5" ht="15" customHeight="1" x14ac:dyDescent="0.2">
      <c r="A165" s="10"/>
      <c r="B165" s="14"/>
      <c r="C165" s="14"/>
      <c r="D165" s="12"/>
    </row>
    <row r="166" spans="1:5" ht="15" customHeight="1" x14ac:dyDescent="0.2">
      <c r="A166" s="10"/>
    </row>
    <row r="167" spans="1:5" ht="15" customHeight="1" x14ac:dyDescent="0.2">
      <c r="A167" s="10"/>
      <c r="B167" s="23"/>
      <c r="C167" s="23"/>
    </row>
    <row r="168" spans="1:5" ht="15" customHeight="1" x14ac:dyDescent="0.2">
      <c r="A168" s="10"/>
      <c r="B168" s="14"/>
      <c r="C168" s="14"/>
      <c r="D168" s="18"/>
    </row>
    <row r="169" spans="1:5" ht="15" customHeight="1" x14ac:dyDescent="0.2">
      <c r="A169" s="10"/>
      <c r="B169" s="12"/>
      <c r="C169" s="14"/>
      <c r="D169" s="18"/>
    </row>
    <row r="171" spans="1:5" ht="15" customHeight="1" x14ac:dyDescent="0.2">
      <c r="A171" s="10"/>
      <c r="B171" s="14"/>
      <c r="C171" s="14"/>
    </row>
    <row r="172" spans="1:5" ht="15" customHeight="1" x14ac:dyDescent="0.2">
      <c r="A172" s="10"/>
      <c r="C172" s="14"/>
      <c r="D172" s="14"/>
      <c r="E172" s="18"/>
    </row>
    <row r="173" spans="1:5" ht="15" customHeight="1" x14ac:dyDescent="0.2">
      <c r="A173" s="10"/>
      <c r="B173" s="16"/>
      <c r="C173" s="24"/>
      <c r="D173" s="24"/>
      <c r="E173" s="16"/>
    </row>
    <row r="175" spans="1:5" ht="15" customHeight="1" x14ac:dyDescent="0.2">
      <c r="A175" s="10"/>
      <c r="B175" s="20"/>
      <c r="C175" s="20"/>
    </row>
    <row r="176" spans="1:5" ht="15" customHeight="1" x14ac:dyDescent="0.2">
      <c r="A176" s="10"/>
    </row>
    <row r="177" spans="1:3" ht="15" customHeight="1" x14ac:dyDescent="0.2">
      <c r="A177" s="10"/>
    </row>
    <row r="178" spans="1:3" ht="15" customHeight="1" x14ac:dyDescent="0.2">
      <c r="A178" s="10"/>
    </row>
    <row r="179" spans="1:3" ht="15" customHeight="1" x14ac:dyDescent="0.2">
      <c r="A179" s="10"/>
    </row>
    <row r="180" spans="1:3" ht="15" customHeight="1" x14ac:dyDescent="0.2">
      <c r="A180" s="10"/>
    </row>
    <row r="181" spans="1:3" ht="15" customHeight="1" x14ac:dyDescent="0.2">
      <c r="A181" s="10"/>
      <c r="B181" s="12"/>
    </row>
    <row r="182" spans="1:3" ht="15" customHeight="1" x14ac:dyDescent="0.2">
      <c r="A182" s="10"/>
    </row>
    <row r="184" spans="1:3" ht="15" customHeight="1" x14ac:dyDescent="0.2">
      <c r="A184" s="10"/>
      <c r="B184" s="20"/>
      <c r="C184" s="20"/>
    </row>
    <row r="185" spans="1:3" ht="15" customHeight="1" x14ac:dyDescent="0.2">
      <c r="A185" s="10"/>
    </row>
    <row r="186" spans="1:3" ht="15" customHeight="1" x14ac:dyDescent="0.2">
      <c r="A186" s="10"/>
    </row>
    <row r="187" spans="1:3" ht="15" customHeight="1" x14ac:dyDescent="0.2">
      <c r="A187" s="10"/>
    </row>
    <row r="188" spans="1:3" ht="15" customHeight="1" x14ac:dyDescent="0.2">
      <c r="A188" s="10"/>
    </row>
    <row r="189" spans="1:3" ht="15" customHeight="1" x14ac:dyDescent="0.2">
      <c r="A189" s="10"/>
    </row>
    <row r="190" spans="1:3" ht="15" customHeight="1" x14ac:dyDescent="0.2">
      <c r="A190" s="10"/>
    </row>
    <row r="191" spans="1:3" ht="15" customHeight="1" x14ac:dyDescent="0.2">
      <c r="A191" s="10"/>
    </row>
    <row r="192" spans="1:3" ht="15" customHeight="1" x14ac:dyDescent="0.2">
      <c r="A192" s="10"/>
    </row>
    <row r="193" spans="1:1" ht="15" customHeight="1" x14ac:dyDescent="0.2">
      <c r="A193" s="10"/>
    </row>
    <row r="195" spans="1:1" ht="15" customHeight="1" x14ac:dyDescent="0.2">
      <c r="A195" s="10"/>
    </row>
    <row r="196" spans="1:1" ht="15" customHeight="1" x14ac:dyDescent="0.2">
      <c r="A196" s="10"/>
    </row>
    <row r="197" spans="1:1" ht="15" customHeight="1" x14ac:dyDescent="0.2">
      <c r="A197" s="10"/>
    </row>
    <row r="198" spans="1:1" ht="15" customHeight="1" x14ac:dyDescent="0.2">
      <c r="A198" s="10"/>
    </row>
    <row r="199" spans="1:1" ht="15" customHeight="1" x14ac:dyDescent="0.2">
      <c r="A199" s="10"/>
    </row>
    <row r="200" spans="1:1" ht="15" customHeight="1" x14ac:dyDescent="0.2">
      <c r="A200" s="10"/>
    </row>
    <row r="201" spans="1:1" ht="15" customHeight="1" x14ac:dyDescent="0.2">
      <c r="A201" s="10"/>
    </row>
    <row r="202" spans="1:1" ht="15" customHeight="1" x14ac:dyDescent="0.2">
      <c r="A202" s="10"/>
    </row>
    <row r="203" spans="1:1" ht="15" customHeight="1" x14ac:dyDescent="0.2">
      <c r="A203" s="10"/>
    </row>
    <row r="204" spans="1:1" ht="15" customHeight="1" x14ac:dyDescent="0.2">
      <c r="A204" s="10"/>
    </row>
  </sheetData>
  <phoneticPr fontId="0" type="noConversion"/>
  <pageMargins left="0.35" right="0.35" top="0.45" bottom="0.45" header="0.2" footer="0.2"/>
  <pageSetup paperSize="9" orientation="landscape"/>
  <headerFooter>
    <oddFooter>&amp;L&amp;"Times New Roman,Regular"&amp;8John C. Hull – 12a edizione&amp;C&amp;"Times New Roman,Regular"&amp;8Tests&amp;R&amp;"Times New Roman,Regular"&amp;8&amp;A | &amp;P</oddFooter>
  </headerFooter>
  <colBreaks count="6" manualBreakCount="6">
    <brk id="12" max="1048575" man="1"/>
    <brk id="24" max="1048575" man="1"/>
    <brk id="36" max="1048575" man="1"/>
    <brk id="48" max="1048575" man="1"/>
    <brk id="60" max="1048575" man="1"/>
    <brk id="7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27</vt:i4>
      </vt:variant>
      <vt:variant>
        <vt:lpstr>Intervalli denominati</vt:lpstr>
      </vt:variant>
      <vt:variant>
        <vt:i4>53</vt:i4>
      </vt:variant>
    </vt:vector>
  </HeadingPairs>
  <TitlesOfParts>
    <vt:vector size="80"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Risposte</vt:lpstr>
      <vt:lpstr>'1'!Area_stampa</vt:lpstr>
      <vt:lpstr>'10'!Area_stampa</vt:lpstr>
      <vt:lpstr>'11'!Area_stampa</vt:lpstr>
      <vt:lpstr>'12'!Area_stampa</vt:lpstr>
      <vt:lpstr>'13'!Area_stampa</vt:lpstr>
      <vt:lpstr>'14'!Area_stampa</vt:lpstr>
      <vt:lpstr>'15'!Area_stampa</vt:lpstr>
      <vt:lpstr>'16'!Area_stampa</vt:lpstr>
      <vt:lpstr>'17'!Area_stampa</vt:lpstr>
      <vt:lpstr>'18'!Area_stampa</vt:lpstr>
      <vt:lpstr>'19'!Area_stampa</vt:lpstr>
      <vt:lpstr>'2'!Area_stampa</vt:lpstr>
      <vt:lpstr>'20'!Area_stampa</vt:lpstr>
      <vt:lpstr>'21'!Area_stampa</vt:lpstr>
      <vt:lpstr>'22'!Area_stampa</vt:lpstr>
      <vt:lpstr>'23'!Area_stampa</vt:lpstr>
      <vt:lpstr>'24'!Area_stampa</vt:lpstr>
      <vt:lpstr>'25'!Area_stampa</vt:lpstr>
      <vt:lpstr>'26'!Area_stampa</vt:lpstr>
      <vt:lpstr>'3'!Area_stampa</vt:lpstr>
      <vt:lpstr>'4'!Area_stampa</vt:lpstr>
      <vt:lpstr>'5'!Area_stampa</vt:lpstr>
      <vt:lpstr>'6'!Area_stampa</vt:lpstr>
      <vt:lpstr>'7'!Area_stampa</vt:lpstr>
      <vt:lpstr>'8'!Area_stampa</vt:lpstr>
      <vt:lpstr>'9'!Area_stampa</vt:lpstr>
      <vt:lpstr>Risposte!Area_stampa</vt:lpstr>
      <vt:lpstr>'1'!Titoli_stampa</vt:lpstr>
      <vt:lpstr>'10'!Titoli_stampa</vt:lpstr>
      <vt:lpstr>'11'!Titoli_stampa</vt:lpstr>
      <vt:lpstr>'12'!Titoli_stampa</vt:lpstr>
      <vt:lpstr>'13'!Titoli_stampa</vt:lpstr>
      <vt:lpstr>'14'!Titoli_stampa</vt:lpstr>
      <vt:lpstr>'15'!Titoli_stampa</vt:lpstr>
      <vt:lpstr>'16'!Titoli_stampa</vt:lpstr>
      <vt:lpstr>'17'!Titoli_stampa</vt:lpstr>
      <vt:lpstr>'18'!Titoli_stampa</vt:lpstr>
      <vt:lpstr>'19'!Titoli_stampa</vt:lpstr>
      <vt:lpstr>'2'!Titoli_stampa</vt:lpstr>
      <vt:lpstr>'20'!Titoli_stampa</vt:lpstr>
      <vt:lpstr>'21'!Titoli_stampa</vt:lpstr>
      <vt:lpstr>'22'!Titoli_stampa</vt:lpstr>
      <vt:lpstr>'23'!Titoli_stampa</vt:lpstr>
      <vt:lpstr>'24'!Titoli_stampa</vt:lpstr>
      <vt:lpstr>'25'!Titoli_stampa</vt:lpstr>
      <vt:lpstr>'26'!Titoli_stampa</vt:lpstr>
      <vt:lpstr>'3'!Titoli_stampa</vt:lpstr>
      <vt:lpstr>'4'!Titoli_stampa</vt:lpstr>
      <vt:lpstr>'5'!Titoli_stampa</vt:lpstr>
      <vt:lpstr>'6'!Titoli_stampa</vt:lpstr>
      <vt:lpstr>'7'!Titoli_stampa</vt:lpstr>
      <vt:lpstr>'8'!Titoli_stampa</vt:lpstr>
      <vt:lpstr>'9'!Titoli_stampa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Tests</dc:title>
  <dc:subject>Opzioni, Futures e Altri Derivati, 12a edizione</dc:subject>
  <dc:creator>John C. Hull</dc:creator>
  <cp:keywords>Hull; 12a edizione; Manuale del Docente; Tests</cp:keywords>
  <dc:description>Edizione italiana a cura di Emilio Barone. Materiale a supporto del Manuale del Docente.</dc:description>
  <cp:lastModifiedBy>Emilio Barone</cp:lastModifiedBy>
  <dcterms:created xsi:type="dcterms:W3CDTF">2026-10-21T16:54:05Z</dcterms:created>
  <dcterms:modified xsi:type="dcterms:W3CDTF">2026-10-21T17:27:19Z</dcterms:modified>
  <cp:category>Manuale del Docente</cp:category>
  <dc:language>it-IT</dc:language>
</cp:coreProperties>
</file>