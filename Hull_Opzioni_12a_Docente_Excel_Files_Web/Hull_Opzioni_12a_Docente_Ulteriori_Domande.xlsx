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Hull\Book2j\Italiano\Docente\5_Ulteriori Domande\"/>
    </mc:Choice>
  </mc:AlternateContent>
  <bookViews>
    <workbookView xWindow="0" yWindow="0" windowWidth="28800" windowHeight="12210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10" sheetId="9" r:id="rId9"/>
    <sheet name="11" sheetId="10" r:id="rId10"/>
    <sheet name="12" sheetId="11" r:id="rId11"/>
    <sheet name="13" sheetId="12" r:id="rId12"/>
    <sheet name="15" sheetId="13" r:id="rId13"/>
    <sheet name="16" sheetId="14" r:id="rId14"/>
    <sheet name="17" sheetId="15" r:id="rId15"/>
    <sheet name="18" sheetId="16" r:id="rId16"/>
    <sheet name="19" sheetId="17" r:id="rId17"/>
    <sheet name="20" sheetId="18" r:id="rId18"/>
    <sheet name="21" sheetId="19" r:id="rId19"/>
  </sheets>
  <definedNames>
    <definedName name="_xlnm.Print_Area" localSheetId="0">'1'!$A$1:$H$61</definedName>
    <definedName name="_xlnm.Print_Area" localSheetId="8">'10'!$A$1:$H$16</definedName>
    <definedName name="_xlnm.Print_Area" localSheetId="9">'11'!$A$1:$H$14</definedName>
    <definedName name="_xlnm.Print_Area" localSheetId="10">'12'!$A$1:$H$40</definedName>
    <definedName name="_xlnm.Print_Area" localSheetId="11">'13'!$A$1:$H$36</definedName>
    <definedName name="_xlnm.Print_Area" localSheetId="12">'15'!$A$1:$H$36</definedName>
    <definedName name="_xlnm.Print_Area" localSheetId="13">'16'!$A$1:$H$18</definedName>
    <definedName name="_xlnm.Print_Area" localSheetId="14">'17'!$A$1:$H$136</definedName>
    <definedName name="_xlnm.Print_Area" localSheetId="15">'18'!$A$1:$J$115</definedName>
    <definedName name="_xlnm.Print_Area" localSheetId="16">'19'!$A$1:$J$163</definedName>
    <definedName name="_xlnm.Print_Area" localSheetId="1">'2'!$A$1:$H$39</definedName>
    <definedName name="_xlnm.Print_Area" localSheetId="17">'20'!$A$1:$H$30</definedName>
    <definedName name="_xlnm.Print_Area" localSheetId="18">'21'!$A$1:$H$32</definedName>
    <definedName name="_xlnm.Print_Area" localSheetId="2">'3'!$A$1:$H$52</definedName>
    <definedName name="_xlnm.Print_Area" localSheetId="3">'4'!$A$1:$H$46</definedName>
    <definedName name="_xlnm.Print_Area" localSheetId="4">'5'!$A$1:$H$47</definedName>
    <definedName name="_xlnm.Print_Area" localSheetId="5">'6'!$A$1:$H$16</definedName>
    <definedName name="_xlnm.Print_Area" localSheetId="6">'7'!$A$1:$L$150</definedName>
    <definedName name="_xlnm.Print_Area" localSheetId="7">'8'!$A$1:$N$50</definedName>
    <definedName name="_xlnm.Print_Titles" localSheetId="0">'1'!$1:$2</definedName>
    <definedName name="_xlnm.Print_Titles" localSheetId="8">'10'!$1:$2</definedName>
    <definedName name="_xlnm.Print_Titles" localSheetId="9">'11'!$1:$2</definedName>
    <definedName name="_xlnm.Print_Titles" localSheetId="10">'12'!$1:$2</definedName>
    <definedName name="_xlnm.Print_Titles" localSheetId="11">'13'!$1:$2</definedName>
    <definedName name="_xlnm.Print_Titles" localSheetId="12">'15'!$1:$2</definedName>
    <definedName name="_xlnm.Print_Titles" localSheetId="13">'16'!$1:$2</definedName>
    <definedName name="_xlnm.Print_Titles" localSheetId="14">'17'!$1:$2</definedName>
    <definedName name="_xlnm.Print_Titles" localSheetId="15">'18'!$1:$2</definedName>
    <definedName name="_xlnm.Print_Titles" localSheetId="16">'19'!$1:$2</definedName>
    <definedName name="_xlnm.Print_Titles" localSheetId="1">'2'!$1:$2</definedName>
    <definedName name="_xlnm.Print_Titles" localSheetId="17">'20'!$1:$2</definedName>
    <definedName name="_xlnm.Print_Titles" localSheetId="18">'21'!$1:$2</definedName>
    <definedName name="_xlnm.Print_Titles" localSheetId="2">'3'!$1:$2</definedName>
    <definedName name="_xlnm.Print_Titles" localSheetId="3">'4'!$1:$2</definedName>
    <definedName name="_xlnm.Print_Titles" localSheetId="4">'5'!$1:$2</definedName>
    <definedName name="_xlnm.Print_Titles" localSheetId="5">'6'!$1:$2</definedName>
    <definedName name="_xlnm.Print_Titles" localSheetId="6">'7'!$1:$2</definedName>
    <definedName name="_xlnm.Print_Titles" localSheetId="7">'8'!$1:$2</definedName>
  </definedNames>
  <calcPr calcId="162913"/>
</workbook>
</file>

<file path=xl/calcChain.xml><?xml version="1.0" encoding="utf-8"?>
<calcChain xmlns="http://schemas.openxmlformats.org/spreadsheetml/2006/main">
  <c r="B30" i="19" l="1"/>
  <c r="B22" i="19"/>
  <c r="E27" i="19" s="1"/>
  <c r="E30" i="19" s="1"/>
  <c r="E19" i="19"/>
  <c r="B24" i="19" s="1"/>
  <c r="B25" i="19" s="1"/>
  <c r="B151" i="17"/>
  <c r="B152" i="17" s="1"/>
  <c r="G144" i="17"/>
  <c r="G143" i="17"/>
  <c r="G142" i="17"/>
  <c r="G141" i="17"/>
  <c r="G140" i="17"/>
  <c r="G146" i="17" s="1"/>
  <c r="G138" i="17"/>
  <c r="D102" i="17"/>
  <c r="D107" i="17" s="1"/>
  <c r="C102" i="17"/>
  <c r="C107" i="17" s="1"/>
  <c r="B102" i="17"/>
  <c r="B107" i="17" s="1"/>
  <c r="F85" i="17"/>
  <c r="F84" i="17"/>
  <c r="H50" i="17"/>
  <c r="H55" i="17" s="1"/>
  <c r="H56" i="17" s="1"/>
  <c r="H58" i="17" s="1"/>
  <c r="E50" i="17"/>
  <c r="E55" i="17" s="1"/>
  <c r="E56" i="17" s="1"/>
  <c r="E58" i="17" s="1"/>
  <c r="B50" i="17"/>
  <c r="B55" i="17" s="1"/>
  <c r="B56" i="17" s="1"/>
  <c r="B58" i="17" s="1"/>
  <c r="B21" i="17"/>
  <c r="B19" i="17"/>
  <c r="B20" i="17" s="1"/>
  <c r="D17" i="17"/>
  <c r="D16" i="17"/>
  <c r="D15" i="17"/>
  <c r="D14" i="17"/>
  <c r="D13" i="17"/>
  <c r="B95" i="16"/>
  <c r="B96" i="16" s="1"/>
  <c r="E96" i="16" s="1"/>
  <c r="E51" i="16"/>
  <c r="E55" i="16" s="1"/>
  <c r="E9" i="16"/>
  <c r="E13" i="16" s="1"/>
  <c r="B108" i="15"/>
  <c r="B110" i="15" s="1"/>
  <c r="B111" i="15" s="1"/>
  <c r="B112" i="15" s="1"/>
  <c r="B85" i="15"/>
  <c r="B72" i="15"/>
  <c r="B54" i="15"/>
  <c r="B60" i="15" s="1"/>
  <c r="B29" i="15"/>
  <c r="B33" i="15" s="1"/>
  <c r="B28" i="15"/>
  <c r="B27" i="15"/>
  <c r="B25" i="15"/>
  <c r="B26" i="15" s="1"/>
  <c r="E22" i="15"/>
  <c r="E21" i="15"/>
  <c r="B20" i="15"/>
  <c r="E19" i="15"/>
  <c r="B19" i="15"/>
  <c r="E20" i="15" s="1"/>
  <c r="E18" i="15"/>
  <c r="E28" i="15" s="1"/>
  <c r="E17" i="15"/>
  <c r="B16" i="15"/>
  <c r="E15" i="15"/>
  <c r="E14" i="15"/>
  <c r="E13" i="15"/>
  <c r="E12" i="15"/>
  <c r="E31" i="13"/>
  <c r="H31" i="13" s="1"/>
  <c r="E30" i="13"/>
  <c r="H30" i="13" s="1"/>
  <c r="B25" i="13"/>
  <c r="H25" i="13" s="1"/>
  <c r="E9" i="12"/>
  <c r="E13" i="12" s="1"/>
  <c r="F40" i="11"/>
  <c r="E40" i="11"/>
  <c r="D40" i="11"/>
  <c r="C40" i="11"/>
  <c r="B40" i="11"/>
  <c r="B37" i="11"/>
  <c r="B10" i="10"/>
  <c r="B14" i="10" s="1"/>
  <c r="B16" i="9"/>
  <c r="B15" i="9"/>
  <c r="D50" i="8"/>
  <c r="C50" i="8"/>
  <c r="F50" i="8" s="1"/>
  <c r="B50" i="8"/>
  <c r="D49" i="8"/>
  <c r="C49" i="8"/>
  <c r="G49" i="8" s="1"/>
  <c r="B49" i="8"/>
  <c r="D48" i="8"/>
  <c r="C48" i="8"/>
  <c r="E48" i="8" s="1"/>
  <c r="B48" i="8"/>
  <c r="D47" i="8"/>
  <c r="C47" i="8"/>
  <c r="G47" i="8" s="1"/>
  <c r="B47" i="8"/>
  <c r="D46" i="8"/>
  <c r="C46" i="8"/>
  <c r="F46" i="8" s="1"/>
  <c r="B46" i="8"/>
  <c r="D45" i="8"/>
  <c r="C45" i="8"/>
  <c r="G45" i="8" s="1"/>
  <c r="B45" i="8"/>
  <c r="E143" i="7"/>
  <c r="D143" i="7"/>
  <c r="C143" i="7"/>
  <c r="B143" i="7"/>
  <c r="F143" i="7" s="1"/>
  <c r="E142" i="7"/>
  <c r="D142" i="7"/>
  <c r="C142" i="7"/>
  <c r="B142" i="7"/>
  <c r="F142" i="7" s="1"/>
  <c r="E141" i="7"/>
  <c r="D141" i="7"/>
  <c r="C141" i="7"/>
  <c r="B141" i="7"/>
  <c r="C110" i="7"/>
  <c r="C109" i="7"/>
  <c r="C108" i="7"/>
  <c r="E74" i="7"/>
  <c r="E73" i="7"/>
  <c r="E72" i="7"/>
  <c r="B72" i="7"/>
  <c r="E71" i="7"/>
  <c r="B51" i="7"/>
  <c r="B52" i="7" s="1"/>
  <c r="B48" i="7"/>
  <c r="E48" i="7" s="1"/>
  <c r="H48" i="7" s="1"/>
  <c r="B47" i="7"/>
  <c r="E47" i="7" s="1"/>
  <c r="H47" i="7" s="1"/>
  <c r="B46" i="7"/>
  <c r="E46" i="7" s="1"/>
  <c r="B45" i="7"/>
  <c r="E24" i="7"/>
  <c r="D24" i="7"/>
  <c r="H16" i="7"/>
  <c r="D26" i="7" s="1"/>
  <c r="D28" i="7" s="1"/>
  <c r="B36" i="5"/>
  <c r="B32" i="5"/>
  <c r="B35" i="5" s="1"/>
  <c r="B13" i="5"/>
  <c r="B17" i="5" s="1"/>
  <c r="F40" i="4"/>
  <c r="H40" i="4" s="1"/>
  <c r="E40" i="4"/>
  <c r="G40" i="4" s="1"/>
  <c r="F39" i="4"/>
  <c r="H39" i="4" s="1"/>
  <c r="E39" i="4"/>
  <c r="G39" i="4" s="1"/>
  <c r="F38" i="4"/>
  <c r="H38" i="4" s="1"/>
  <c r="E38" i="4"/>
  <c r="G38" i="4" s="1"/>
  <c r="F37" i="4"/>
  <c r="H37" i="4" s="1"/>
  <c r="E37" i="4"/>
  <c r="G37" i="4" s="1"/>
  <c r="G16" i="4"/>
  <c r="F16" i="4"/>
  <c r="E16" i="4"/>
  <c r="D16" i="4"/>
  <c r="C16" i="4"/>
  <c r="B16" i="4"/>
  <c r="B50" i="3"/>
  <c r="B52" i="3" s="1"/>
  <c r="B26" i="3"/>
  <c r="B39" i="2"/>
  <c r="B38" i="2"/>
  <c r="B21" i="2"/>
  <c r="B20" i="2"/>
  <c r="B22" i="2" s="1"/>
  <c r="B23" i="2" s="1"/>
  <c r="C61" i="1"/>
  <c r="B61" i="1"/>
  <c r="C60" i="1"/>
  <c r="B60" i="1"/>
  <c r="B57" i="1"/>
  <c r="B56" i="1"/>
  <c r="E36" i="1"/>
  <c r="D36" i="1"/>
  <c r="C36" i="1"/>
  <c r="B36" i="1"/>
  <c r="C18" i="1"/>
  <c r="B18" i="1"/>
  <c r="D21" i="17" l="1"/>
  <c r="G142" i="7"/>
  <c r="E27" i="15"/>
  <c r="G143" i="7"/>
  <c r="E29" i="15"/>
  <c r="E33" i="15" s="1"/>
  <c r="E34" i="15" s="1"/>
  <c r="B34" i="15"/>
  <c r="B35" i="15" s="1"/>
  <c r="B33" i="13"/>
  <c r="B34" i="13" s="1"/>
  <c r="B22" i="17"/>
  <c r="G141" i="7"/>
  <c r="G144" i="7" s="1"/>
  <c r="B147" i="7" s="1"/>
  <c r="B148" i="7" s="1"/>
  <c r="D19" i="17"/>
  <c r="D20" i="17" s="1"/>
  <c r="J83" i="17"/>
  <c r="E16" i="15"/>
  <c r="E24" i="15"/>
  <c r="E26" i="15" s="1"/>
  <c r="E30" i="15" s="1"/>
  <c r="E31" i="15" s="1"/>
  <c r="K46" i="7"/>
  <c r="H46" i="7"/>
  <c r="B61" i="15"/>
  <c r="B62" i="15"/>
  <c r="B63" i="15" s="1"/>
  <c r="B64" i="15" s="1"/>
  <c r="H41" i="4"/>
  <c r="B36" i="15"/>
  <c r="B37" i="15" s="1"/>
  <c r="B24" i="17"/>
  <c r="B25" i="17" s="1"/>
  <c r="B28" i="17" s="1"/>
  <c r="K73" i="7"/>
  <c r="E80" i="7" s="1"/>
  <c r="H80" i="7" s="1"/>
  <c r="E36" i="15"/>
  <c r="E37" i="15" s="1"/>
  <c r="H79" i="7"/>
  <c r="K74" i="7"/>
  <c r="E81" i="7" s="1"/>
  <c r="H81" i="7" s="1"/>
  <c r="G41" i="4"/>
  <c r="F141" i="7"/>
  <c r="F144" i="7" s="1"/>
  <c r="B146" i="7" s="1"/>
  <c r="E59" i="17"/>
  <c r="B37" i="5"/>
  <c r="B38" i="5" s="1"/>
  <c r="B30" i="15"/>
  <c r="B31" i="15" s="1"/>
  <c r="K48" i="7"/>
  <c r="K47" i="7"/>
  <c r="H59" i="17"/>
  <c r="B110" i="17"/>
  <c r="B113" i="17" s="1"/>
  <c r="B108" i="17"/>
  <c r="B111" i="17" s="1"/>
  <c r="B112" i="17" s="1"/>
  <c r="C110" i="17"/>
  <c r="C113" i="17" s="1"/>
  <c r="C108" i="17"/>
  <c r="C111" i="17" s="1"/>
  <c r="F83" i="17"/>
  <c r="B87" i="17" s="1"/>
  <c r="B35" i="13"/>
  <c r="E35" i="13" s="1"/>
  <c r="E34" i="13"/>
  <c r="B36" i="13" s="1"/>
  <c r="D110" i="17"/>
  <c r="D113" i="17" s="1"/>
  <c r="D108" i="17"/>
  <c r="D111" i="17" s="1"/>
  <c r="B39" i="5"/>
  <c r="G46" i="8"/>
  <c r="G50" i="8"/>
  <c r="B111" i="7"/>
  <c r="C111" i="7" s="1"/>
  <c r="C112" i="7" s="1"/>
  <c r="E10" i="16"/>
  <c r="K16" i="7"/>
  <c r="I22" i="7" s="1"/>
  <c r="L22" i="7" s="1"/>
  <c r="I25" i="7" s="1"/>
  <c r="H17" i="7"/>
  <c r="E47" i="8"/>
  <c r="F47" i="8"/>
  <c r="H83" i="17"/>
  <c r="I83" i="17"/>
  <c r="G48" i="8"/>
  <c r="E25" i="13"/>
  <c r="E52" i="16"/>
  <c r="D111" i="7"/>
  <c r="B117" i="7" s="1"/>
  <c r="F48" i="8"/>
  <c r="E10" i="12"/>
  <c r="B51" i="3"/>
  <c r="E45" i="8"/>
  <c r="E49" i="8"/>
  <c r="B26" i="13"/>
  <c r="E35" i="15"/>
  <c r="B90" i="15"/>
  <c r="E95" i="16"/>
  <c r="B97" i="16" s="1"/>
  <c r="B16" i="5"/>
  <c r="F45" i="8"/>
  <c r="F49" i="8"/>
  <c r="E46" i="8"/>
  <c r="E50" i="8"/>
  <c r="D22" i="17" l="1"/>
  <c r="F22" i="17" s="1"/>
  <c r="B40" i="5"/>
  <c r="E73" i="15"/>
  <c r="H74" i="15" s="1"/>
  <c r="H75" i="15" s="1"/>
  <c r="B26" i="17"/>
  <c r="K49" i="7"/>
  <c r="B58" i="7" s="1"/>
  <c r="B59" i="7" s="1"/>
  <c r="H82" i="7"/>
  <c r="E70" i="15"/>
  <c r="H71" i="15"/>
  <c r="H72" i="15" s="1"/>
  <c r="E74" i="15" s="1"/>
  <c r="H68" i="15"/>
  <c r="H69" i="15" s="1"/>
  <c r="E71" i="15" s="1"/>
  <c r="B73" i="15" s="1"/>
  <c r="F110" i="17"/>
  <c r="G110" i="17"/>
  <c r="H26" i="13"/>
  <c r="B28" i="13" s="1"/>
  <c r="E26" i="13"/>
  <c r="B27" i="13" s="1"/>
  <c r="E26" i="7"/>
  <c r="E28" i="7" s="1"/>
  <c r="F28" i="7" s="1"/>
  <c r="B22" i="7" s="1"/>
  <c r="K17" i="7"/>
  <c r="I23" i="7" s="1"/>
  <c r="L23" i="7" s="1"/>
  <c r="E53" i="16"/>
  <c r="E54" i="16" s="1"/>
  <c r="F70" i="16"/>
  <c r="H68" i="16"/>
  <c r="H69" i="16" s="1"/>
  <c r="D68" i="16"/>
  <c r="F66" i="16"/>
  <c r="B66" i="16"/>
  <c r="E11" i="16"/>
  <c r="E12" i="16" s="1"/>
  <c r="D28" i="16"/>
  <c r="B91" i="15"/>
  <c r="E91" i="15" s="1"/>
  <c r="E90" i="15"/>
  <c r="E11" i="12"/>
  <c r="E12" i="12" s="1"/>
  <c r="H26" i="12"/>
  <c r="H27" i="12" s="1"/>
  <c r="F24" i="12" l="1"/>
  <c r="D26" i="12"/>
  <c r="F26" i="16"/>
  <c r="B26" i="16"/>
  <c r="H72" i="16"/>
  <c r="H73" i="16" s="1"/>
  <c r="H28" i="16"/>
  <c r="J26" i="16"/>
  <c r="J27" i="16" s="1"/>
  <c r="B92" i="15"/>
  <c r="F20" i="12"/>
  <c r="F28" i="12"/>
  <c r="H64" i="16"/>
  <c r="H65" i="16" s="1"/>
  <c r="F67" i="16" s="1"/>
  <c r="J30" i="16"/>
  <c r="J31" i="16" s="1"/>
  <c r="H29" i="16" s="1"/>
  <c r="H18" i="12"/>
  <c r="H19" i="12" s="1"/>
  <c r="F71" i="16"/>
  <c r="B32" i="7"/>
  <c r="I26" i="7"/>
  <c r="I27" i="7" s="1"/>
  <c r="B23" i="7" s="1"/>
  <c r="D22" i="12"/>
  <c r="H22" i="12"/>
  <c r="H23" i="12" s="1"/>
  <c r="H60" i="16"/>
  <c r="H61" i="16" s="1"/>
  <c r="F62" i="16"/>
  <c r="D64" i="16"/>
  <c r="J34" i="16"/>
  <c r="J35" i="16" s="1"/>
  <c r="F30" i="16"/>
  <c r="F22" i="16"/>
  <c r="J18" i="16"/>
  <c r="J19" i="16" s="1"/>
  <c r="H20" i="16"/>
  <c r="D24" i="16"/>
  <c r="J22" i="16"/>
  <c r="J23" i="16" s="1"/>
  <c r="H32" i="16"/>
  <c r="B24" i="12"/>
  <c r="H30" i="12"/>
  <c r="H31" i="12" s="1"/>
  <c r="H24" i="16"/>
  <c r="H25" i="16" s="1"/>
  <c r="F25" i="12" l="1"/>
  <c r="F63" i="16"/>
  <c r="F27" i="16"/>
  <c r="D69" i="16"/>
  <c r="D65" i="16"/>
  <c r="B67" i="16" s="1"/>
  <c r="B76" i="16" s="1"/>
  <c r="H33" i="16"/>
  <c r="H21" i="16"/>
  <c r="F21" i="12"/>
  <c r="D23" i="12" s="1"/>
  <c r="F31" i="16"/>
  <c r="D29" i="16" s="1"/>
  <c r="F29" i="12"/>
  <c r="D27" i="12" s="1"/>
  <c r="F23" i="16"/>
  <c r="D25" i="16" s="1"/>
  <c r="B27" i="16" s="1"/>
  <c r="B38" i="16" s="1"/>
  <c r="B25" i="12" l="1"/>
  <c r="B34" i="12" s="1"/>
</calcChain>
</file>

<file path=xl/sharedStrings.xml><?xml version="1.0" encoding="utf-8"?>
<sst xmlns="http://schemas.openxmlformats.org/spreadsheetml/2006/main" count="1016" uniqueCount="667">
  <si>
    <t>Capitolo 1 Introduzione</t>
  </si>
  <si>
    <t>1.1.</t>
  </si>
  <si>
    <t>Nel luglio 2027, una piccola fabbrica di cioccolato riceve un grosso ordine per tavolette di cioccolata da consegnare a novembre 2027. Per</t>
  </si>
  <si>
    <t>soddisfare l’ordine, la fabbrica dovrà acquistare 10 tonnellate di cacao in settembre. Supponete che il prezzo spot del cacao sia di $6.000 per</t>
  </si>
  <si>
    <t>tonnellata. Dati gli spazi limitati per l’immagazzinamento e la volatilità del prezzo del cacao, la società decide di comprare 10 opzioni call,</t>
  </si>
  <si>
    <t>ciascuna scritta su una tonnellata, a $450 l’una, con strike di $6.000 e scadenza settembre 2027. Quando le opzioni scadono, quanto pagherà la</t>
  </si>
  <si>
    <t>società per il cacao, incluso il costo delle opzioni, se il prezzo spot per tonnellata risulterà pari a (a) $5.500 e (b) $7.000? Trascurate gli interessi</t>
  </si>
  <si>
    <t>e i costi di transazione.</t>
  </si>
  <si>
    <t>Soluzione</t>
  </si>
  <si>
    <t>N (tonnellate)</t>
  </si>
  <si>
    <t>c</t>
  </si>
  <si>
    <t>K</t>
  </si>
  <si>
    <t>ST</t>
  </si>
  <si>
    <t>Costo</t>
  </si>
  <si>
    <t>1.2.</t>
  </si>
  <si>
    <t>Supponete che, il 15 ottobre 2026, un trader investa in Meta Platforms (Facebook) comprando 1.000 azioni a $740 l’una. Per assicurarsi contro</t>
  </si>
  <si>
    <t>il rischio di un ribasso del prezzo dell’azione, compra anche 10 puts americane con strike $740 e scadenza 16 aprile 2027. Ogni put è scritta su</t>
  </si>
  <si>
    <t>100 azioni. Il premio da pagare è di $70 per ogni azione sottostante. Qual è il profitto (o la perdita) del trader se il prezzo spot dell’azione alla</t>
  </si>
  <si>
    <t>scadenza è: (a) $650, (b) $740, (c) $810 e (d) $900? Supponete che le azioni e le opzioni vengano mantenute fino alla scadenza delle opzioni,</t>
  </si>
  <si>
    <t>senza esercizio anticipato. Trascurate i dividendi, gli interessi e i costi di transazione.</t>
  </si>
  <si>
    <t>N (azioni sottostanti)</t>
  </si>
  <si>
    <t>S0</t>
  </si>
  <si>
    <t>p</t>
  </si>
  <si>
    <t>Π</t>
  </si>
  <si>
    <t>1.3.</t>
  </si>
  <si>
    <t>Supponete che, il 15 ottobre 2026, il prezzo spot delle azioni di classe A di Alphabet (Google) sia pari a $350. Un trader considera due</t>
  </si>
  <si>
    <t>possibilità: comprare 100 azioni oppure comprare una call americana con strike $340 e scadenza 15 gennaio 2027. Ogni call è scritta su 100</t>
  </si>
  <si>
    <t>azioni. Il premio da pagare è di $30 per azione sottostante. Per ciascuna delle due possibilità, qual è:</t>
  </si>
  <si>
    <t>(a) il costo all’origine?</t>
  </si>
  <si>
    <t>(b) il profitto complessivo se il prezzo dell’azione alla scadenza delle opzioni è pari a $400?</t>
  </si>
  <si>
    <t>(c) la perdita complessiva se il prezzo dell’azione alla scadenza delle opzioni è pari a $300?</t>
  </si>
  <si>
    <t>Supponete che le posizioni vengano mantenute fino alla scadenza dell’opzione, senza esercizio anticipato. Trascurate i dividendi, gli interessi e i</t>
  </si>
  <si>
    <t>costi di transazione.</t>
  </si>
  <si>
    <t>I</t>
  </si>
  <si>
    <t>Costo1</t>
  </si>
  <si>
    <t>Costo2</t>
  </si>
  <si>
    <t>Π1</t>
  </si>
  <si>
    <t>Π2</t>
  </si>
  <si>
    <t>Capitolo 2 Mercati dei Futures e Controparti Centralizzate</t>
  </si>
  <si>
    <t>2.1.</t>
  </si>
  <si>
    <t>Un trader assume una posizione lunga e un hedge fund una posizione corta su 50 E-mini S&amp;P 500 futures con un mese di vita residua.</t>
  </si>
  <si>
    <t>Supponete che il prezzo futures corrente sia di $7.700. Il moltiplicatore di ogni contratto è di 50. Il margine iniziale complessivo è di $1.250.000</t>
  </si>
  <si>
    <t>e il margine di mantenimento complessivo è di $1.000.000 per ciascuno dei due depositi di garanzia. Dieci giorni dopo, il prezzo futures scende</t>
  </si>
  <si>
    <t>a $7.500, innescando una margin call per il trader. Supponete che non siano stati effettuati prelievi o precedenti integrazioni dei margini.</t>
  </si>
  <si>
    <t>(a) Qual è il profitto o la perdita per il trader?</t>
  </si>
  <si>
    <t>(b) Qual è il profitto o la perdita per l’hedge fund?</t>
  </si>
  <si>
    <t>(c) A quanto ammonta la margin call per il trader?</t>
  </si>
  <si>
    <t>F0</t>
  </si>
  <si>
    <t>F1</t>
  </si>
  <si>
    <t>N</t>
  </si>
  <si>
    <t>n</t>
  </si>
  <si>
    <t>Margine iniziale</t>
  </si>
  <si>
    <t>Margine di mantenimento</t>
  </si>
  <si>
    <t>Πt</t>
  </si>
  <si>
    <t>Πh</t>
  </si>
  <si>
    <t>Saldo per il trader</t>
  </si>
  <si>
    <t>Margin call</t>
  </si>
  <si>
    <t>2.2.</t>
  </si>
  <si>
    <t>Uno speculatore vende un futures sul frumento, per consegna nel luglio 2027, a ¢721 per bushel. Ogni contratto è scritto su 5.000 bushels. Il 31</t>
  </si>
  <si>
    <t>dicembre 2026, il prezzo futures scende a ¢676 per poi risalire a ¢712 nel maggio 2027, quando lo speculatore chiude la sua posizione. Nel</t>
  </si>
  <si>
    <t>2027, qual è il profitto o la perdita per fini contabili?</t>
  </si>
  <si>
    <t>F2</t>
  </si>
  <si>
    <t>Capitolo 3 Strategie di Copertura mediante Futures</t>
  </si>
  <si>
    <t>3.1.</t>
  </si>
  <si>
    <t>Nel dicembre 2026, una società sa che dovrà comprare 100.000 MMBtu di natural gas prima della fine del marzo 2027, ma non sa esattamente</t>
  </si>
  <si>
    <t>quando. Per coprirsi dal rischio, mette in atto una strategia di stack and roll assumendo una posizione lunga su 8 futures a 2 mesi che manterrà</t>
  </si>
  <si>
    <t>solo per 1 mese. La dimensione di ogni contratto è di 10.000 MMBtu. Il prezzo futures è quotato in $ per MMBtu. Il natural gas verrà poi</t>
  </si>
  <si>
    <t>acquistato spot nel marzo 2027. In totale, qual è il profitto (la perdita) sull’operazione di copertura? Assumete che l’hedge ratio sia pari a 0,8. La</t>
  </si>
  <si>
    <t>tavola seguente riporta i prezzi a cui vengono eseguite le compravendite.</t>
  </si>
  <si>
    <t>dic. 2026</t>
  </si>
  <si>
    <t>gen. 2027</t>
  </si>
  <si>
    <t>feb. 2027</t>
  </si>
  <si>
    <t>mar. 2027</t>
  </si>
  <si>
    <t>Prezzo futures per feb. 2027</t>
  </si>
  <si>
    <t>-</t>
  </si>
  <si>
    <t>Prezzo futures per mar. 2027</t>
  </si>
  <si>
    <t>Prezzo futures per apr. 2027</t>
  </si>
  <si>
    <t>Prezzo spot</t>
  </si>
  <si>
    <t>Data</t>
  </si>
  <si>
    <t>h</t>
  </si>
  <si>
    <t>QA</t>
  </si>
  <si>
    <t>3.2.</t>
  </si>
  <si>
    <t>Un trader possiede 55.000 troy oz di argento e decide di coprirsi con i futures sull’argento. Supponete che il prezzo corrente spot dell’argento</t>
  </si>
  <si>
    <t>sia pari a $65 per troy oz e che il prezzo corrente del futures a 6 mesi sia pari a $66,5 per troy oz. Ogni contratto futures è scritto su 5.000 troy</t>
  </si>
  <si>
    <t>oz. La deviazione standard delle variazioni giornaliere del prezzo spot dell’argento è pari a $0,86 per troy oz e quella delle variazioni giornaliere</t>
  </si>
  <si>
    <t>del prezzo futures dell’argento è pari a $0,80 per troy oz. Il coefficiente di correlazione tra le due variazioni è pari a 0,95.</t>
  </si>
  <si>
    <t>(a) Qual è l’hedge ratio ottimale?</t>
  </si>
  <si>
    <t>(b) Qual è il numero ottimale di futures senza il tailing the hedge?</t>
  </si>
  <si>
    <t>(c) Supponete che il rapporto di copertura ottimale calcolato sulle variazioni percentuali giornaliere dei prezzi sia uguale a quello ottenuto sub</t>
  </si>
  <si>
    <t>(a). Qual è il numero ottimale di futures con il tailing the hedge?</t>
  </si>
  <si>
    <t>σS</t>
  </si>
  <si>
    <t>σF</t>
  </si>
  <si>
    <t>ρ</t>
  </si>
  <si>
    <t>QF</t>
  </si>
  <si>
    <t>h*</t>
  </si>
  <si>
    <t>N*</t>
  </si>
  <si>
    <t>Capitolo 4 Tassi d’Interesse</t>
  </si>
  <si>
    <t>4.1.</t>
  </si>
  <si>
    <t>Un certo tasso d’interesse è pari al 7% composto annualmente. Calcolate i tassi equivalenti quando la frequenza di capitalizzazione degli</t>
  </si>
  <si>
    <t>interessi è:</t>
  </si>
  <si>
    <t>(a) semestrale;</t>
  </si>
  <si>
    <t>(b) trimestrale;</t>
  </si>
  <si>
    <t>(c) mensile;</t>
  </si>
  <si>
    <t>(d) settimanale;</t>
  </si>
  <si>
    <t>(e) giornaliera.</t>
  </si>
  <si>
    <t>R1</t>
  </si>
  <si>
    <t>m</t>
  </si>
  <si>
    <t>Rm</t>
  </si>
  <si>
    <t>4.2.</t>
  </si>
  <si>
    <t>Considerate un coupon bond a 2 anni con cedole semestrali e rimborso in unica soluzione alla scadenza. Il piano d’ammortamento del titolo e</t>
  </si>
  <si>
    <t>gli spot zero rates correnti sono riportati nella seguente tavola:</t>
  </si>
  <si>
    <t>Scadenza (anni)</t>
  </si>
  <si>
    <t>Spot Zero Rates</t>
  </si>
  <si>
    <t>Cedola ($)</t>
  </si>
  <si>
    <t>Capitale ($)</t>
  </si>
  <si>
    <t>(%)</t>
  </si>
  <si>
    <t>Tutti i tassi sono composti continuamente.</t>
  </si>
  <si>
    <t>(a) Qual è il valore teorico del titolo?</t>
  </si>
  <si>
    <t>(b) Qual è il tasso di rendimento effettivo?</t>
  </si>
  <si>
    <t>Scadenza</t>
  </si>
  <si>
    <t>Cedola</t>
  </si>
  <si>
    <t>Capitale</t>
  </si>
  <si>
    <t>Fattori di attualizzazione</t>
  </si>
  <si>
    <t>Valore attuale ($)</t>
  </si>
  <si>
    <t>(anni)</t>
  </si>
  <si>
    <t>($)</t>
  </si>
  <si>
    <t>(i)</t>
  </si>
  <si>
    <t>(ii)</t>
  </si>
  <si>
    <t>y</t>
  </si>
  <si>
    <t>Il rendimento y è il valore ottenuto con la Ricerca obiettivo: impostare H41 uguale al valore in G41 modificando B43. Se si modificano i dati,</t>
  </si>
  <si>
    <t>ripetere la ricerca.</t>
  </si>
  <si>
    <t>Capitolo 5 Determinazione dei Prezzi Forward e dei Prezzi Futures</t>
  </si>
  <si>
    <t>5.1.</t>
  </si>
  <si>
    <t>Un titolo, con prezzo corrente pari a $500, offre un dividend yield del 5,0% (composto semestralmente). Il dividend yield equivalente</t>
  </si>
  <si>
    <t>(composto continuamente) è pari al 4,939%. Il tasso d’interesse privo di rischio (composto continuamente) è pari al 7,5%.</t>
  </si>
  <si>
    <t>(a) Qual è il prezzo forward del titolo a 2 anni?</t>
  </si>
  <si>
    <t>(b) Qual è il cost of carry (composto continuamente)?</t>
  </si>
  <si>
    <t>r</t>
  </si>
  <si>
    <t>q2</t>
  </si>
  <si>
    <t>q</t>
  </si>
  <si>
    <t>T</t>
  </si>
  <si>
    <t>r − q</t>
  </si>
  <si>
    <t>5.2.</t>
  </si>
  <si>
    <t>Un investitore statunitense sta cercando un’opportunità di arbitraggio sul mercato valutario. Supponete che il tasso di cambio spot tra dollaro</t>
  </si>
  <si>
    <t>statunitense e franco svizzero sia pari a $1,21 e quello forward a 3 mesi sia pari a $1,20. Supponete che i tassi d’interesse (composti</t>
  </si>
  <si>
    <t>continuamente) in dollari e in franchi svizzeri siano pari, rispettivamente, al 4% e allo 0,5%.</t>
  </si>
  <si>
    <t>(a) In teoria, quale dovrebbe essere il tasso di cambio forward a 3 mesi tra dollaro statunitense e franco svizzero?</t>
  </si>
  <si>
    <t>(b) Se l’investitore prende in prestito 1.000 franchi svizzeri, qual è il profitto (in franchi svizzeri) che può realizzare grazie all’arbitraggio?</t>
  </si>
  <si>
    <t>F₀ di mercato</t>
  </si>
  <si>
    <t>rf</t>
  </si>
  <si>
    <t>V</t>
  </si>
  <si>
    <t>F₀ teorico</t>
  </si>
  <si>
    <t>Investimento in USD</t>
  </si>
  <si>
    <t>Montante in USD</t>
  </si>
  <si>
    <t>Franchi acquistati a termine</t>
  </si>
  <si>
    <t>Prestito da rimborsare (CHF)</t>
  </si>
  <si>
    <t>Profitto (CHF)</t>
  </si>
  <si>
    <t>L’investitore prende in prestito 1.000 franchi svizzeri allo 0,5%, li converte a pronti in $1.210 al tasso di cambio spot corrente e investe i dollari</t>
  </si>
  <si>
    <t>al 4% annuo.</t>
  </si>
  <si>
    <t>Simultaneamente, acquista a termine 1.018,46725 franchi svizzeri al tasso di cambio forward di $1,20, impegnandosi a pagare, dopo 3 mesi,</t>
  </si>
  <si>
    <t>$1.222,16070.</t>
  </si>
  <si>
    <t>Alla scadenza, riceve i franchi svizzeri con cui estingue il prestito, che per via degli interessi ammonta a 1.001,25078 franchi svizzeri. Il profitto</t>
  </si>
  <si>
    <t>è pari a 17,21647 franchi svizzeri.</t>
  </si>
  <si>
    <t>Capitolo 6 Futures su Tassi d’Interesse</t>
  </si>
  <si>
    <t>6.1.</t>
  </si>
  <si>
    <t>(a) Le attività e le passività di una banca hanno entrambe una duration di 5 anni. La banca risulta coperta dai movimenti dei tassi d’interesse?</t>
  </si>
  <si>
    <t>Spiegate con cura i limiti dello schema di copertura adottato dalla banca.</t>
  </si>
  <si>
    <t>(b) Una società sa che tra 2 mesi dovrà acquistare una certa attività e – per coprire il rischio – decide di utilizzare un futures con scadenza tra 3</t>
  </si>
  <si>
    <t>mesi. Spiegate cosa s’intende per rischio base.</t>
  </si>
  <si>
    <t>(a) L’uguaglianza delle durations non è sufficiente a immunizzare il valore del patrimonio netto. Siano A e L i valori correnti delle attività e</t>
  </si>
  <si>
    <t>delle passività e D_A e D_L le rispettive durations. Per un piccolo spostamento parallelo dei tassi, misurati con convenzioni coerenti con le</t>
  </si>
  <si>
    <t>durations utilizzate, la variazione del patrimonio netto è Δ(A − L) ≈ −(D_A A − D_L L) Δy.</t>
  </si>
  <si>
    <t>Occorre quindi che D_A A = D_L L, non semplicemente che D_A = D_L. Anche quando questa condizione è soddisfatta, la copertura resta</t>
  </si>
  <si>
    <t>esposta agli spostamenti non paralleli della term structure e alle variazioni dei tassi di ampiezza rilevante.</t>
  </si>
  <si>
    <t>(b) Il rischio base deriva dall’incertezza sulla differenza tra il prezzo spot dell’attività e il prezzo futures alla data di chiusura della copertura, tra</t>
  </si>
  <si>
    <t>2 mesi. A quella data il futures avrà ancora un mese di vita residua, per cui il prezzo futures non coinciderà necessariamente con il prezzo spot.</t>
  </si>
  <si>
    <t>Capitolo 7 Swaps</t>
  </si>
  <si>
    <t>7.1.</t>
  </si>
  <si>
    <t>Un’istituzione finanziaria negozia overnight indexed swaps basati sul Sofr, con pagamenti annuali. Il tasso OIS corrente a 1 anno è pari al 6%,</t>
  </si>
  <si>
    <t>mentre quello a 2 anni è pari al 6,5%.</t>
  </si>
  <si>
    <t>(a) Utilizzate queste informazioni per calcolare gli OIS zero rates, composti continuamente, a 1 anno e a 2 anni.</t>
  </si>
  <si>
    <t>(b) Calcolate il valore corrente di uno swap, con capitale nozionale di $10 milioni e scadenza tra 2 anni, nel quale l’istituzione finanziaria paga</t>
  </si>
  <si>
    <t>il 7% e riceve gli interessi calcolati capitalizzando giornalmente i tassi Sofr. I pagamenti sono annuali e il primo periodo di godimento inizia</t>
  </si>
  <si>
    <t>oggi.</t>
  </si>
  <si>
    <t>(c) Calcolate il valore corrente di un one-period OIS, con capitale nozionale di $1 milione, relativo al periodo compreso tra 1 anno e 2 anni.</t>
  </si>
  <si>
    <t>L’istituzione finanziaria riceve il tasso fisso dell’8% e paga gli interessi ottenuti capitalizzando i tassi Sofr durante quel periodo. Il pagamento</t>
  </si>
  <si>
    <t>netto avviene tra 2 anni.</t>
  </si>
  <si>
    <t>Nota: i tassi fissi sono espressi con capitalizzazione annuale. Trascurate le regole di calcolo giorni e gli aggiustamenti per il rischio di credito.</t>
  </si>
  <si>
    <t>T1</t>
  </si>
  <si>
    <t>P1</t>
  </si>
  <si>
    <t>r1</t>
  </si>
  <si>
    <t>T2</t>
  </si>
  <si>
    <t>R2</t>
  </si>
  <si>
    <t>P2</t>
  </si>
  <si>
    <t>r2</t>
  </si>
  <si>
    <t>L</t>
  </si>
  <si>
    <t>R</t>
  </si>
  <si>
    <t>Vswap</t>
  </si>
  <si>
    <t>rf1</t>
  </si>
  <si>
    <t>RF1</t>
  </si>
  <si>
    <t>Pmt1</t>
  </si>
  <si>
    <t>Pmt2</t>
  </si>
  <si>
    <t>rf2</t>
  </si>
  <si>
    <t>RF2</t>
  </si>
  <si>
    <t>OIS1</t>
  </si>
  <si>
    <t>OIS2</t>
  </si>
  <si>
    <t>V1</t>
  </si>
  <si>
    <t>V2</t>
  </si>
  <si>
    <t>VOIS</t>
  </si>
  <si>
    <t>7.2.</t>
  </si>
  <si>
    <t>La OIS zero curve è piatta al livello del 5% annuo, composto continuamente. Un’istituzione finanziaria ha in portafoglio uno swap, con capitale</t>
  </si>
  <si>
    <t>nozionale di $100 milioni e scadenza tra 2 anni e 8 mesi, nel quale riceve ogni anno il 6% e paga gli interessi calcolati capitalizzando</t>
  </si>
  <si>
    <t>giornalmente i tassi Sofr. L’ultimo scambio di pagamenti è avvenuto 4 mesi fa. Il tasso annuo equivalente, composto annualmente, ricavato dai</t>
  </si>
  <si>
    <t>Sofr osservati negli ultimi 4 mesi è pari al 4%.</t>
  </si>
  <si>
    <t>(a) Qual è il valore corrente dello swap?</t>
  </si>
  <si>
    <t>(b) Qual è l’esposizione creditizia corrente, supponendo che non vi siano garanzie né altri contratti con la controparte? Trascurate le regole di</t>
  </si>
  <si>
    <t>calcolo giorni e gli aggiustamenti per il rischio di credito.</t>
  </si>
  <si>
    <t>T0</t>
  </si>
  <si>
    <t>T3</t>
  </si>
  <si>
    <t>P3</t>
  </si>
  <si>
    <t>r3</t>
  </si>
  <si>
    <t>V3</t>
  </si>
  <si>
    <t>rF</t>
  </si>
  <si>
    <t>RF</t>
  </si>
  <si>
    <t>R0</t>
  </si>
  <si>
    <t>s</t>
  </si>
  <si>
    <t>Esposizione creditizia</t>
  </si>
  <si>
    <t>7.3.</t>
  </si>
  <si>
    <t>Considerate un OIS basato sul Sofr a 6 mesi, con capitale nozionale di $100 milioni e scadenza tra 14 mesi. L’istituzione finanziaria riceve gli</t>
  </si>
  <si>
    <t>interessi calcolati capitalizzando giornalmente i tassi Sofr overnight e paga il 5% annuo, composto semestralmente. I pagamenti sono</t>
  </si>
  <si>
    <t>semestrali; l’ultimo scambio è avvenuto 4 mesi fa e i prossimi avverranno tra 2, 8 e 14 mesi. Gli OIS zero rates, composti continuamente, per</t>
  </si>
  <si>
    <t>queste tre scadenze sono pari, rispettivamente, al 4,5%, 5,0% e 5,4%. Il tasso annuo equivalente, composto semestralmente, ricavato dai Sofr</t>
  </si>
  <si>
    <t>overnight osservati negli ultimi 4 mesi è pari al 5,5%. Qual è il valore dello swap? Trascurate le regole di calcolo giorni e gli aggiustamenti per</t>
  </si>
  <si>
    <t>il rischio di credito.</t>
  </si>
  <si>
    <t>rF1</t>
  </si>
  <si>
    <t>rF2</t>
  </si>
  <si>
    <t>OIS3</t>
  </si>
  <si>
    <t>7.4.</t>
  </si>
  <si>
    <t>(a) Descrivete uno swap che potrebbe essere utilizzato dal gestore di un fondo.</t>
  </si>
  <si>
    <t>(b) Spiegate la natura del rischio di credito per un’istituzione finanziaria che entra in uno swap.</t>
  </si>
  <si>
    <t>(a) Il gestore di un fondo potrebbe entrare in uno swap in cui paga il fisso e riceve il variabile, al fine di trasformare un’attività a tasso fisso in</t>
  </si>
  <si>
    <t>una a tasso variabile.</t>
  </si>
  <si>
    <t>(b) Il rischio di credito è determinato dal fatto che la controparte può fallire quando lo swap ha un valore positivo per l’istituzione finanziaria.</t>
  </si>
  <si>
    <t>7.5.</t>
  </si>
  <si>
    <t>Gli OIS zero rates, composti continuamente, a 6, 12 e 18 mesi sono riportati nella seguente tavola.</t>
  </si>
  <si>
    <t>Zero Rates (%)</t>
  </si>
  <si>
    <t>?</t>
  </si>
  <si>
    <t>Il tasso OIS a 2 anni, con pagamenti semestrali, è pari al 3% annuo. Qual è l’OIS zero rate a 2 anni?</t>
  </si>
  <si>
    <t>P(T)</t>
  </si>
  <si>
    <t>ROIS</t>
  </si>
  <si>
    <t>R(2)</t>
  </si>
  <si>
    <t>7.6.</t>
  </si>
  <si>
    <t>Considerate un currency swap con 3 anni di vita residua. Un’istituzione finanziaria riceve il 3,0% annuo in sterline e paga l’1,5% annuo in</t>
  </si>
  <si>
    <t>dollari, una volta all’anno. La zero curve dei tassi privi di rischio è piatta in entrambe le valute. Gli zero rates (composti continuamente) in</t>
  </si>
  <si>
    <t>sterline sono pari al 2,5% annuo e quelli in dollari sono pari al 2,0% annuo. I capitali scambiati sono pari, rispettivamente, a £10 milioni e a $15</t>
  </si>
  <si>
    <t>milioni. Il tasso di cambio spot di una sterlina è pari a $1,5. Valutate il currency swap come portafoglio di due titoli a tasso fisso.</t>
  </si>
  <si>
    <t>(a) Qual è il valore del titolo in dollari?</t>
  </si>
  <si>
    <t>(b) Qual è il valore del titolo in sterline?</t>
  </si>
  <si>
    <t>(c) Qual è il valore del currency swap?</t>
  </si>
  <si>
    <t>Rd</t>
  </si>
  <si>
    <t>Rf</t>
  </si>
  <si>
    <t>Ld</t>
  </si>
  <si>
    <t>Lf</t>
  </si>
  <si>
    <t>t</t>
  </si>
  <si>
    <t>Pmtd</t>
  </si>
  <si>
    <t>Pmtf</t>
  </si>
  <si>
    <t>Pd</t>
  </si>
  <si>
    <t>Pf</t>
  </si>
  <si>
    <t>Bd</t>
  </si>
  <si>
    <t>Bf</t>
  </si>
  <si>
    <t>Gli importi sono espressi in milioni: dollari per Bd e per Vswap, sterline per Bf.</t>
  </si>
  <si>
    <t>Capitolo 8 Cartolarizzazioni e Crisi Finanziaria del 2007-8</t>
  </si>
  <si>
    <t>8.1.</t>
  </si>
  <si>
    <t>Considerate l’ABS e l’ABS CDO mostrati nella Figura u8.1. Calcolate la minima perdita sul portafoglio di mutui subprime che comporta:</t>
  </si>
  <si>
    <t>(a) una perdita del 100% del capitale per l’equity tranche e la mezzanine tranche dell’ABS;</t>
  </si>
  <si>
    <t>(b) una perdita del 50% del capitale per la senior tranche dell’ABS;</t>
  </si>
  <si>
    <t>(c) una perdita del 100% del capitale per l’equity tranche dell’ABS CDO;</t>
  </si>
  <si>
    <t>(d) una perdita del 100% del capitale per la mezzanine tranche dell’ABS CDO;</t>
  </si>
  <si>
    <t>(e) una perdita del 50% del capitale per la senior tranche dell’ABS CDO;</t>
  </si>
  <si>
    <t>(f) una perdita del 100% del capitale per la senior tranche dell’ABS CDO.</t>
  </si>
  <si>
    <t>Supponete che tutti i portafogli di mutui sottostanti gli ABSs subiscano la stessa percentuale di perdite.</t>
  </si>
  <si>
    <t>LS / L</t>
  </si>
  <si>
    <t>LM / L</t>
  </si>
  <si>
    <t>LE / L</t>
  </si>
  <si>
    <t>LABS CDO, S / LABS CDO</t>
  </si>
  <si>
    <t>LABS CDO, M / LABS CDO</t>
  </si>
  <si>
    <t>LABS CDO, E/ LABS CDO</t>
  </si>
  <si>
    <t>Tavola u.8.1 Perdite su ABS e ABS CDO.</t>
  </si>
  <si>
    <t>Perdite</t>
  </si>
  <si>
    <t>Perdite sull'ABS</t>
  </si>
  <si>
    <t>Perdite sull'ABS CDO</t>
  </si>
  <si>
    <t>sul portafoglio di mutui subprime</t>
  </si>
  <si>
    <t>equity</t>
  </si>
  <si>
    <t>mezzanine</t>
  </si>
  <si>
    <t>senior</t>
  </si>
  <si>
    <t>tranche</t>
  </si>
  <si>
    <t>Capitolo 10 Funzionamento dei Mercati delle Opzioni</t>
  </si>
  <si>
    <t>10.1.</t>
  </si>
  <si>
    <t>Un investitore compra 5 contratti di tipo call, con strike $60. Ogni contratto è scritto su 100 azioni. Le azioni vengono frazionate con uno stock</t>
  </si>
  <si>
    <t>split 6 × 5.</t>
  </si>
  <si>
    <t>(a) Qual è il nuovo strike?</t>
  </si>
  <si>
    <t>(b) Qual è il nuovo numero di azioni su cui sono scritti i 5 contratti?</t>
  </si>
  <si>
    <t>K*</t>
  </si>
  <si>
    <t>Capitolo 11 Proprietà Fondamentali delle Opzioni su Azioni</t>
  </si>
  <si>
    <t>11.1.</t>
  </si>
  <si>
    <t>I prezzi di due opzioni europee, una call e una put, entrambe con strike $45 e scadenza tra 6 mesi, sono pari, rispettivamente, a $2 e $5. Le</t>
  </si>
  <si>
    <t>opzioni sono scritte su un’azione che non paga dividendi, il cui prezzo corrente è pari a $40. Qual è il tasso privo di rischio implicito?</t>
  </si>
  <si>
    <t>Capitolo 12 Strategie Operative mediante Opzioni</t>
  </si>
  <si>
    <t>12.1.</t>
  </si>
  <si>
    <t>Il box spread è la combinazione di un bull spread, composto da due calls con prezzi d’esercizio K1 e K2 (K1 &lt; K2), e di un bear spread,</t>
  </si>
  <si>
    <t>composto da due puts con gli stessi prezzi d’esercizio, K1 e K2.</t>
  </si>
  <si>
    <t>(a) Descrivete il valore finale del box spread.</t>
  </si>
  <si>
    <t>(b) Qual è il valore corrente del box spread? Definite le variabili necessarie.</t>
  </si>
  <si>
    <t>(c) In quali circostanze un investitore potrebbe decidere di costruire un box spread?</t>
  </si>
  <si>
    <t>(d) Quali investitori (hedgers, speculatori, arbitraggisti) potrebbero essere interessati a costruire un box spread? Spiegate la vostra risposta.</t>
  </si>
  <si>
    <t>(a) Il valore finale del box spread è sempre pari a K₂ − K₁, quale che sia il valore finale del sottostante.</t>
  </si>
  <si>
    <t>(b) Il valore corrente del box spread è pari al valore attuale di K₂ − K₁.</t>
  </si>
  <si>
    <t>(c) e (d) Gli arbitraggisti potrebbero essere interessati a costruire un box spread se fosse valutato male dal mercato.</t>
  </si>
  <si>
    <t>12.2.</t>
  </si>
  <si>
    <t>Un investitore crea un butterfly spread mediante calls a 9 mesi con prezzi d’esercizio pari a $115, $125 e $135. I prezzi delle opzioni sono pari,</t>
  </si>
  <si>
    <t>rispettivamente, a $20,50; $14,50 e $9,50. Sia ST il prezzo dell’azione tra 9 mesi.</t>
  </si>
  <si>
    <t>(a) Qual è l’investimento iniziale?</t>
  </si>
  <si>
    <t>(b) Qual è il valore finale del butterfly spread se ST = $110?</t>
  </si>
  <si>
    <t>(c) Qual è il valore finale del butterfly spread se ST = $120?</t>
  </si>
  <si>
    <t>(d) Qual è il valore finale del butterfly spread se ST = $125?</t>
  </si>
  <si>
    <t>(e) Qual è il valore finale del butterfly spread se ST = $128?</t>
  </si>
  <si>
    <t>(f) Qual è il valore finale del butterfly spread se ST = $140?</t>
  </si>
  <si>
    <t>K1</t>
  </si>
  <si>
    <t>K2</t>
  </si>
  <si>
    <t>K3</t>
  </si>
  <si>
    <t>c1</t>
  </si>
  <si>
    <t>c2</t>
  </si>
  <si>
    <t>c3</t>
  </si>
  <si>
    <t>n1</t>
  </si>
  <si>
    <t>n2</t>
  </si>
  <si>
    <t>n3</t>
  </si>
  <si>
    <t>Valore finale</t>
  </si>
  <si>
    <t>13.1.</t>
  </si>
  <si>
    <t>Considerate una put americana, con prezzo d’esercizio di $1,20 e scadenza tra 1 anno, scritta sul franco svizzero. Supponete che il prezzo spot</t>
  </si>
  <si>
    <t>del franco svizzero sia di $1,21 e che la sua volatilità sia del 10% annuo. I tassi d’interesse, composti continuamente, in dollari e in franchi</t>
  </si>
  <si>
    <t>svizzeri sono pari, rispettivamente, al 4% e allo 0,5%. Usate un albero a tre stadi per determinare il valore corrente della put americana.</t>
  </si>
  <si>
    <t>Δt</t>
  </si>
  <si>
    <t>u</t>
  </si>
  <si>
    <t>T (anni)</t>
  </si>
  <si>
    <t>d</t>
  </si>
  <si>
    <t>e^(−rΔt)</t>
  </si>
  <si>
    <t>σ</t>
  </si>
  <si>
    <t>Numero di stadi</t>
  </si>
  <si>
    <t>t = 0/3 T</t>
  </si>
  <si>
    <t>t = 1/3 T</t>
  </si>
  <si>
    <t>t = 2/3 T</t>
  </si>
  <si>
    <t>t = 3/3 T</t>
  </si>
  <si>
    <t>Valore della put americana</t>
  </si>
  <si>
    <t>In ogni nodo, il numero in alto è il prezzo dell’attività sottostante e quello in basso è il prezzo dell’opzione.</t>
  </si>
  <si>
    <t>Capitolo 15 Modello Black-Scholes-Merton</t>
  </si>
  <si>
    <t>15.1.</t>
  </si>
  <si>
    <t>Considerate un’opzione a 1 anno scritta su un titolo che non paga dividendi. Il prezzo dell’azione è pari a $85. Il prezzo d’esercizio dell’opzione</t>
  </si>
  <si>
    <t>è pari a $90 e la volatilità è pari al 18% annuo. Il tasso privo di rischio (composto continuamente) è pari al 6% annuo. Utilizzate il modello</t>
  </si>
  <si>
    <t>Black-Scholes-Merton.</t>
  </si>
  <si>
    <t>(a) Qual è il valore di d1?</t>
  </si>
  <si>
    <t>(b) Qual è il valore di d2?</t>
  </si>
  <si>
    <t>(c) Qual è il prezzo della call, c?</t>
  </si>
  <si>
    <t>(d) Qual è il prezzo della put, p?</t>
  </si>
  <si>
    <t>Assumete ora che, dopo 3 mesi e dopo 9 mesi, il titolo paghi un dividendo di $1,50.</t>
  </si>
  <si>
    <t>(e) Qual è il valore attuale dei dividendi?</t>
  </si>
  <si>
    <t>(f) Qual è il nuovo valore di d1, tenendo conto dei dividendi?</t>
  </si>
  <si>
    <t>(g) Qual è il nuovo valore di d2, tenendo conto dei dividendi?</t>
  </si>
  <si>
    <t>(h) Qual è il nuovo prezzo della call, c, tenendo conto dei dividendi?</t>
  </si>
  <si>
    <t>d1</t>
  </si>
  <si>
    <t>N(d1)</t>
  </si>
  <si>
    <t>N(-d1)</t>
  </si>
  <si>
    <t>d2</t>
  </si>
  <si>
    <t>N(d2)</t>
  </si>
  <si>
    <t>N(-d2)</t>
  </si>
  <si>
    <t>div1</t>
  </si>
  <si>
    <t>τ1</t>
  </si>
  <si>
    <t>PV1</t>
  </si>
  <si>
    <t>div2</t>
  </si>
  <si>
    <t>τ2</t>
  </si>
  <si>
    <t>PV2</t>
  </si>
  <si>
    <t>D</t>
  </si>
  <si>
    <t>Capitolo 16 Stock Options per Impiegati e Dirigenti</t>
  </si>
  <si>
    <t>16.1.</t>
  </si>
  <si>
    <t>Discutete i pro e i contro della remunerazione dei dirigenti mediante stock options rispetto all’alternativa rappresentata dall’assegnazione di</t>
  </si>
  <si>
    <t>azioni.</t>
  </si>
  <si>
    <t>A volte si dice che le stock options siano il «corrispettivo della performance» (pay for performance). Quest’affermazione trascura però la natura</t>
  </si>
  <si>
    <t>asimmetrica delle opzioni. Se le azioni vanno bene, e gli azionisti fanno utili, anche le stock options vanno bene, e i managers vengono così</t>
  </si>
  <si>
    <t>pagati per la buona performance della società.</t>
  </si>
  <si>
    <t>Se invece le azioni vanno male, e gli azionisti perdono denaro, tutto quel che accade ai managers è di non realizzare un utile. Diversamente</t>
  </si>
  <si>
    <t>dagli azionisti, i managers non subiscono perdite.</t>
  </si>
  <si>
    <t>Molti ritengono che si possa ottenere una pay for performance più efficace assegnando ai managers le «unità azionarie vincolate» (restricted</t>
  </si>
  <si>
    <t>stock units – RSUs). Queste attribuiscono il diritto a ricevere azioni della società in una data futura, alla «data di vestizione» (vesting date),</t>
  </si>
  <si>
    <t>subordinatamente al soddisfacimento delle condizioni previste. Le variazioni del loro valore rispecchiano quindi quelle delle azioni detenute</t>
  </si>
  <si>
    <t>dagli altri azionisti.</t>
  </si>
  <si>
    <t>A volte si sostiene che la natura asimmetrica delle opzioni può indurre il top management a prendere rischi che altrimenti non avrebbe assunto.</t>
  </si>
  <si>
    <t>L’accresciuta rischiosità delle attività aziendali può avvantaggiare o svantaggiare gli azionisti.</t>
  </si>
  <si>
    <t>Capitolo 17 Opzioni su Indici Azionari e Valute</t>
  </si>
  <si>
    <t>17.1.</t>
  </si>
  <si>
    <t>Il tasso di cambio USD/EUR è pari a $1. Tra 6 mesi sarà $1,1 o $0,9. Assumete che i tassi d’interesse privi di rischio in dollari e in euro siano</t>
  </si>
  <si>
    <t>pari, rispettivamente, al 6% e all’8% annuo.</t>
  </si>
  <si>
    <t>(a) Qual è il valore (in dollari) di una put europea, con scadenza tra 6 mesi, che consente di vendere 1 milione di euro in cambio di 1,05 milioni</t>
  </si>
  <si>
    <t>di dollari? Verificate che la risposta ottenuta in base al principio della valutazione neutrale verso il rischio coincida con quella ottenuta in</t>
  </si>
  <si>
    <t>assenza di opportunità d’arbitraggio.</t>
  </si>
  <si>
    <t>(b) La put equivale a una call, con scadenza tra 6 mesi, che consente di acquistare 1,05 milioni di dollari in cambio di 1 milione di euro?</t>
  </si>
  <si>
    <t>L*</t>
  </si>
  <si>
    <t>S0*</t>
  </si>
  <si>
    <t>Su</t>
  </si>
  <si>
    <t>Su*</t>
  </si>
  <si>
    <t>Sd</t>
  </si>
  <si>
    <t>Sd*</t>
  </si>
  <si>
    <t>F</t>
  </si>
  <si>
    <t>F*</t>
  </si>
  <si>
    <t>u*</t>
  </si>
  <si>
    <t>d*</t>
  </si>
  <si>
    <t>r*</t>
  </si>
  <si>
    <t>rf*</t>
  </si>
  <si>
    <t>pu</t>
  </si>
  <si>
    <t>cu*</t>
  </si>
  <si>
    <t>pd</t>
  </si>
  <si>
    <t>cd*</t>
  </si>
  <si>
    <t>D*</t>
  </si>
  <si>
    <t>e-rdt</t>
  </si>
  <si>
    <t>e-r*dt</t>
  </si>
  <si>
    <t>e-rfdt</t>
  </si>
  <si>
    <t>e-rf*dt</t>
  </si>
  <si>
    <t>e-(r-rf)dt</t>
  </si>
  <si>
    <t>e-(r*-rf*)dt</t>
  </si>
  <si>
    <t>put</t>
  </si>
  <si>
    <t>call*</t>
  </si>
  <si>
    <t>put * L</t>
  </si>
  <si>
    <t>a</t>
  </si>
  <si>
    <t>a*</t>
  </si>
  <si>
    <t>prob</t>
  </si>
  <si>
    <t>prob*</t>
  </si>
  <si>
    <t>E(S0)</t>
  </si>
  <si>
    <t>E(S0*)</t>
  </si>
  <si>
    <t>La put per vendere €1 milione in cambio di $1,05 milioni equivale a una call per acquistare $1,05 milioni in cambio di €1 milione. I due metodi</t>
  </si>
  <si>
    <t>di valutazione sono riportati affiancati; gli importi della colonna B sono in dollari, quelli della colonna E in euro.</t>
  </si>
  <si>
    <t>17.2.</t>
  </si>
  <si>
    <t>Per valutare una call americana scritta sul dollaro australiano, con strike pari a USD 0,68 e scadenza tra 6 mesi, viene utilizzato un albero</t>
  </si>
  <si>
    <t>binomiale a 2 stadi. La lunghezza di ogni intervallo temporale, Δt, è pari a 3 mesi. Il tasso di cambio corrente del dollaro australiano è pari a</t>
  </si>
  <si>
    <t>USD 0,70. I tassi privi di rischio, composti continuamente, in USD e in AUD sono pari, rispettivamente, al 4% e al 4,5%. La volatilità del tasso</t>
  </si>
  <si>
    <t>di cambio è pari al 10% annuo.</t>
  </si>
  <si>
    <t>(a) Qual è il montante, u, del tasso di cambio?</t>
  </si>
  <si>
    <t>(b) Qual è la probabilità di rialzo, p?</t>
  </si>
  <si>
    <t>(c) Qual è il prezzo della call americana?</t>
  </si>
  <si>
    <t>e−rΔt</t>
  </si>
  <si>
    <t>S0 u2</t>
  </si>
  <si>
    <t>Cuu</t>
  </si>
  <si>
    <t>S0 u</t>
  </si>
  <si>
    <t>Cu</t>
  </si>
  <si>
    <t>Cud</t>
  </si>
  <si>
    <t>C</t>
  </si>
  <si>
    <t>S0 d</t>
  </si>
  <si>
    <t>Cd</t>
  </si>
  <si>
    <t>S0 d2</t>
  </si>
  <si>
    <t>Cdd</t>
  </si>
  <si>
    <t>17.3.</t>
  </si>
  <si>
    <t>Il prezzo spot di un indice azionario è pari a $250. Il dividend yield dell’indice è pari al 3% annuo. Il tasso privo di rischio è pari al 4%. Se il</t>
  </si>
  <si>
    <t>prezzo di una call europea a 3 mesi, con strike $240, è pari a $16, qual è la volatilità implicita annua?</t>
  </si>
  <si>
    <t>La volatilità implicita σ è il valore ottenuto con la Ricerca obiettivo: impostare il prezzo in B92 uguale al premio in B88 modificando B94. Se si</t>
  </si>
  <si>
    <t>modificano i dati, ripetere la ricerca.</t>
  </si>
  <si>
    <t>17.4.</t>
  </si>
  <si>
    <t>Per valutare un’opzione sul Dow Jones Industrial Average (DJIA), viene utilizzato un albero binomiale à la Cox-Ross-Rubinstein. Il dividend</t>
  </si>
  <si>
    <t>yield è pari al 3% annuo, la volatilità dell’indice è pari al 14% annuo, l’intervallo temporale è pari a 2 mesi e il tasso privo di rischio è pari al</t>
  </si>
  <si>
    <t>5% annuo. Qual è la probabilità di rialzo?</t>
  </si>
  <si>
    <t>17.5.</t>
  </si>
  <si>
    <t>Una banca ha venduto ai risparmiatori un prodotto che offre il tasso di rendimento complessivo (esclusi i dividendi) dello S&amp;P/TSX Composite,</t>
  </si>
  <si>
    <t>relativo al prossimo anno, con un cap che esclude la possibilità di un rendimento superiore al 20%. Se l’indice scende, i risparmiatori si vedono</t>
  </si>
  <si>
    <t>comunque restituire il capitale investito.</t>
  </si>
  <si>
    <t>(a) Descrivete la posizione su opzioni che equivale al prodotto offerto dalla banca.</t>
  </si>
  <si>
    <t>(b) Scrivete le formule che usereste per valutare il prodotto e spiegate con cura come fareste a decidere se il prodotto risulta conveniente per i</t>
  </si>
  <si>
    <t>risparmiatori.</t>
  </si>
  <si>
    <t>(a) Supponiamo di investire nel prodotto l’importo S₀, dove S₀ è il prezzo corrente in dollari dell’indice. Il valore dell’investimento tra 1 anno è</t>
  </si>
  <si>
    <t>pari a S₀ più il valore finale di un bull spread. Il bull spread è composto da una call lunga con prezzo d’esercizio S₀ e da una call corta con</t>
  </si>
  <si>
    <t>prezzo d’esercizio 1,2 × S₀.</t>
  </si>
  <si>
    <t>La somma algebrica dei valori correnti delle due calls dovrebbe essere pari al valore attuale degli interessi che si sarebbero altrimenti percepiti</t>
  </si>
  <si>
    <t>investendo l’importo S₀ in uno zero-coupon bond a 1 anno.</t>
  </si>
  <si>
    <t>(b) Per un investimento iniziale pari a S₀, il valore corrente del prodotto è</t>
  </si>
  <si>
    <t>V₀ = S₀ e^(−rT) + c(S₀, T) − c(1,2 × S₀, T)</t>
  </si>
  <si>
    <t>dove T = 1, c(K, T) è il prezzo di una call sull’indice con strike K e scadenza T. Le calls possono essere valutate mediante</t>
  </si>
  <si>
    <t>c(K, T) = S₀ e^(−qT) N(d₁) − K e^(−rT) N(d₂)</t>
  </si>
  <si>
    <t>d₁ = [ln(S₀/K) + (r − q + σ²/2)T] / (σ √T) e d₂ = d₁ − σ √T.</t>
  </si>
  <si>
    <t>Trascurando costi e rischio di credito dell’emittente, il prezzo richiesto di S₀ è equo quando V₀ = S₀, ossia quando</t>
  </si>
  <si>
    <t>c(S₀, T) − c(1,2 × S₀, T) = S₀ [1 − e^(−rT)].</t>
  </si>
  <si>
    <t>Un valore teorico superiore al prezzo richiesto rende il prodotto conveniente per il risparmiatore; un valore inferiore indica il contrario.</t>
  </si>
  <si>
    <t>Capitolo 18 Opzioni su Futures e Modello di Black</t>
  </si>
  <si>
    <t>18.1.</t>
  </si>
  <si>
    <t>Considerate una put americana, con prezzo d’esercizio di $0,55 e scadenza tra 1 anno, scritta su un futures. Il prezzo futures corrente è di $0,60</t>
  </si>
  <si>
    <t>e la volatilità è del 25%. I tassi d’interesse (composti continuamente) sono pari al 6%. Utilizzate un albero binomiale a 4 stadi per valutare</t>
  </si>
  <si>
    <t>l’opzione.</t>
  </si>
  <si>
    <t>t = 0/4 T</t>
  </si>
  <si>
    <t>t = 1/4 T</t>
  </si>
  <si>
    <t>t = 2/4 T</t>
  </si>
  <si>
    <t>t = 3/4 T</t>
  </si>
  <si>
    <t>t = 4/4 T</t>
  </si>
  <si>
    <t>Valore della put</t>
  </si>
  <si>
    <t>americana</t>
  </si>
  <si>
    <t>18.2.</t>
  </si>
  <si>
    <t>Considerate una put americana, con prezzo d’esercizio di ¢740 e scadenza tra 3 mesi, scritta sul futures sul frumento. Il prezzo futures corrente</t>
  </si>
  <si>
    <t>è di ¢760 e la volatilità è del 25%. I tassi d’interesse (composti continuamente) sono pari al 5%. Utilizzate un albero binomiale a 3 stadi per</t>
  </si>
  <si>
    <t>valutare l’opzione. Spiegate con cura cosa succede se – dopo 2 mesi – l’opzione viene esercitata. Supponete che al momento dell’esercizio il</t>
  </si>
  <si>
    <t>prezzo futures sia pari a ¢724 e che l’ultimo prezzo di liquidazione sia di ¢720.</t>
  </si>
  <si>
    <t>Dopo 2 mesi, il valore dell’opzione in caso d’esercizio è di ¢16 (= ¢740 − ¢724). Si avrebbe un accredito di ¢20 (= ¢740 − ¢720) e</t>
  </si>
  <si>
    <t>l’assegnazione di una posizione corta sul futures del valore corrente di −¢4 (= ¢720 − ¢724).</t>
  </si>
  <si>
    <t>18.3.</t>
  </si>
  <si>
    <t>Utilizzate il modello di Black per valutare una put europea, con strike $30 e scadenza tra 12 mesi, scritta sul prezzo spot di una certa merce. Il</t>
  </si>
  <si>
    <t>prezzo corrente del futures a 12 mesi scritto sulla merce è pari a $35. Il tasso privo di rischio è pari al 5% e la volatilità è pari al 25%.</t>
  </si>
  <si>
    <t>N(−d1)</t>
  </si>
  <si>
    <t>N(−d2)</t>
  </si>
  <si>
    <t>18.4.</t>
  </si>
  <si>
    <t>Considerate una call americana scritta su</t>
  </si>
  <si>
    <t>(a) il prezzo spot dell’oro;</t>
  </si>
  <si>
    <t>(b) il prezzo spot del rame;</t>
  </si>
  <si>
    <t>(c) il prezzo futures dell’oro;</t>
  </si>
  <si>
    <t>(d) il prezzo medio dell’oro misurato tra il tempo zero e il tempo corrente.</t>
  </si>
  <si>
    <t>Può essere conveniente l’esercizio anticipato? Motivate le vostre risposte.</t>
  </si>
  <si>
    <t>(a) No, nelle ipotesi in cui l’oro sia trattato come un bene d’investimento che non offre redditi e i tassi d’interesse siano non negativi. Rinviare</t>
  </si>
  <si>
    <t>l’esercizio permette di posticipare il pagamento dello strike senza rinunciare al contenuto assicurativo della call.</t>
  </si>
  <si>
    <t>(b) Sì. La disponibilità immediata del rame può offrire benefici di consumo o produttivi che non si ottengono continuando a detenere l’opzione.</t>
  </si>
  <si>
    <t>(c) Sì. L’esercizio di una call su futures consente di incassare il valore intrinseco e di assumere la posizione sul futures; l’incasso anticipato può</t>
  </si>
  <si>
    <t>rendere conveniente l’esercizio.</t>
  </si>
  <si>
    <t>(d) Sì. Il prezzo medio può diminuire successivamente; l’esercizio può consentire di bloccare un valore intrinseco che altrimenti potrebbe</t>
  </si>
  <si>
    <t>ridursi.</t>
  </si>
  <si>
    <t>Capitolo 19 Lettere Greche</t>
  </si>
  <si>
    <t>19.1.</t>
  </si>
  <si>
    <t>Un’istituzione finanziaria ha una posizione corta su una put europea, con prezzo d’esercizio di $7.600 e scadenza tra 1 anno, scritta sullo S&amp;P</t>
  </si>
  <si>
    <t>500. Il prezzo spot dell’indice è di $7.600, la volatilità è del 20% e il dividend yield è dell’1%. I tassi d’interesse privi di rischio (composti</t>
  </si>
  <si>
    <t>continuamente) sono pari al 4%.</t>
  </si>
  <si>
    <t>(a) Calcolate il delta, il gamma e il vega della posizione e spiegatene il significato.</t>
  </si>
  <si>
    <t>(b) Cosa fareste per rendere il portafoglio delta neutral?</t>
  </si>
  <si>
    <t>(c) Dopo 1 settimana, il prezzo spot dell’indice è di $7.828. Cosa fareste per mantenere la neutralità del portafoglio rispetto al delta?</t>
  </si>
  <si>
    <t>e-qT</t>
  </si>
  <si>
    <t>Delta (posizione corta)</t>
  </si>
  <si>
    <t>N'(d1)</t>
  </si>
  <si>
    <t>N'(d1)e-qT</t>
  </si>
  <si>
    <t>Gamma (posizione corta)</t>
  </si>
  <si>
    <t>Vega (per 1 p.p.)</t>
  </si>
  <si>
    <t>In prima approssimazione, un aumento di $1 del prezzo dell’indice fa aumentare il valore della posizione corta di $0,39730. Il gamma negativo</t>
  </si>
  <si>
    <t>indica che il delta diminuisce quando il prezzo dell’indice aumenta.</t>
  </si>
  <si>
    <t>Il vega, qui espresso per una variazione di un punto percentuale della volatilità, indica che un aumento di un punto percentuale della volatilità</t>
  </si>
  <si>
    <t>riduce il valore della posizione di $29,0944.</t>
  </si>
  <si>
    <t>(b) Per rendere il portafoglio delta neutral, occorre vendere 0,39730 unità dell’indice per ogni put venduta.</t>
  </si>
  <si>
    <t>(c) Dopo 1 settimana, T = 51/52 e il nuovo delta è 0,34238. Il delta si è ridotto di 0,05493 (= 0,39730 − 0,34238). Per mantenere la neutralità del</t>
  </si>
  <si>
    <t>portafoglio rispetto al delta, occorre riacquistare 0,05493 unità dell’indice per ogni put venduta.</t>
  </si>
  <si>
    <t>19.2.</t>
  </si>
  <si>
    <t>Una banca ha appena venduto 500.000 calls, con prezzo d’esercizio di $40 e scadenza tra 3 mesi, scritte su una certa azione. Il prezzo corrente</t>
  </si>
  <si>
    <t>dell’azione è di $40 e la volatilità è del 30%. I tassi d’interesse (composti continuamente) sono pari al 5%.</t>
  </si>
  <si>
    <t>(a) Che posizione dovrebbe assumere la banca sulle azioni per risultare neutrale rispetto al delta?</t>
  </si>
  <si>
    <t>(b) Supponete che – immediatamente dopo la vendita dell’opzione – la banca abbia assunto una posizione che la rende neutrale rispetto al delta.</t>
  </si>
  <si>
    <t>Tuttavia, un’ora dopo, il prezzo dell’azione si porta a $42. Che operazione è necessaria per mantenere la neutralità rispetto al delta? La banca ha</t>
  </si>
  <si>
    <t>tratto profitto da questa situazione, o no? Non è necessario che calcoliate l’esatto importo che la banca ha guadagnato o ha perso.</t>
  </si>
  <si>
    <t>(c) Rispondete alle domande sub b) nel caso in cui il prezzo dell’azione si porti a $38 invece che a $42.</t>
  </si>
  <si>
    <t>Delta</t>
  </si>
  <si>
    <t>(a) La banca deve comprare 281.451 azioni.</t>
  </si>
  <si>
    <t>(b) Se il prezzo sale a $42, la banca deve comprare altre 61.381 azioni. È probabile che abbia subito una perdita, perché il gamma della sua</t>
  </si>
  <si>
    <t>posizione è negativo.</t>
  </si>
  <si>
    <t>(c) Se il prezzo scende a $38, la banca deve vendere 67.874 azioni. È probabile che abbia subito una perdita anche in questo caso, perché il</t>
  </si>
  <si>
    <t>gamma della sua posizione è negativo.</t>
  </si>
  <si>
    <t>19.3.</t>
  </si>
  <si>
    <t>Un trader decide di coprire il suo portafoglio contro il rischio di forti variazioni di mercato prendendo posizioni sul sottostante e su due opzioni</t>
  </si>
  <si>
    <t>(cfr. tavola in basso).</t>
  </si>
  <si>
    <t>Gamma</t>
  </si>
  <si>
    <t>Vega</t>
  </si>
  <si>
    <t>Portafoglio</t>
  </si>
  <si>
    <t>Opzione 1</t>
  </si>
  <si>
    <t>Opzione 2</t>
  </si>
  <si>
    <t>(a) Quante opzioni sono necessarie per rendere il portafoglio neutrale in termini di gamma e vega?</t>
  </si>
  <si>
    <t>(b) Quante unità del sottostante sono necessarie affinché il portafoglio post-copertura sia neutrale anche in termini di delta?</t>
  </si>
  <si>
    <t>Delta prima</t>
  </si>
  <si>
    <t>del</t>
  </si>
  <si>
    <t>sottostante</t>
  </si>
  <si>
    <t>Delta post-copertura</t>
  </si>
  <si>
    <t>19.4.</t>
  </si>
  <si>
    <t>Un trader decide di proteggere il suo portafoglio con una put. Il portafoglio ha un valore corrente di $150 milioni, una volatilità del 15% e un</t>
  </si>
  <si>
    <t>dividend yield del 3% annuo. La put necessaria per immunizzare il portafoglio ha uno strike di $145 milioni e una scadenza di 24 settimane. Il</t>
  </si>
  <si>
    <t>tasso privo di rischio è pari al 4%. Dato che l’opzione non è quotata in borsa, il trader decide di crearla sinteticamente.</t>
  </si>
  <si>
    <t>(a) Per creare la put sintetica, che percentuale del portafoglio originale va inizialmente venduta (investendo il ricavato al tasso privo di rischio)?</t>
  </si>
  <si>
    <t>(b) Dopo una settimana, quando il valore del portafoglio scende a $145 milioni, in che misura va modificata la percentuale sub (a)?</t>
  </si>
  <si>
    <t>(c) Dopo due settimane, quando il valore del portafoglio risale a $148 milioni, in che misura va modificata la percentuale sub (b)?</t>
  </si>
  <si>
    <t>Weeks</t>
  </si>
  <si>
    <t>(b) Ulteriore</t>
  </si>
  <si>
    <t>(c) Riacquisto</t>
  </si>
  <si>
    <t>vendita</t>
  </si>
  <si>
    <t>Quota da vendere</t>
  </si>
  <si>
    <t>Un aumento della quota da mantenere venduta richiede un’ulteriore vendita; una sua diminuzione richiede un riacquisto.</t>
  </si>
  <si>
    <t>19.5.</t>
  </si>
  <si>
    <t>Costruite un butterfly spread lungo, utilizzando le tre calls riportate nella tavola in basso.</t>
  </si>
  <si>
    <t>c₁</t>
  </si>
  <si>
    <t>c₂</t>
  </si>
  <si>
    <t>c₃</t>
  </si>
  <si>
    <t>Prezzo d’esercizio ($)</t>
  </si>
  <si>
    <t>Scadenza (giorni)</t>
  </si>
  <si>
    <t>Prezzo</t>
  </si>
  <si>
    <t>Theta</t>
  </si>
  <si>
    <t>Rho</t>
  </si>
  <si>
    <t>(a) Quanto costa il butterfly spread?</t>
  </si>
  <si>
    <t>(b) Calcolate le 5 lettere greche per il butterfly spread e spiegatene il significato.</t>
  </si>
  <si>
    <t>(c) Cosa fareste per rendere il portafoglio delta neutral?</t>
  </si>
  <si>
    <t>(d) Supponiamo che domani il prezzo di c1 scenda a $12,18, mentre i prezzi di c2 e c3 restano inalterati. C’è un’opportunità di arbitraggio?</t>
  </si>
  <si>
    <t>Spiegate la vostra risposta.</t>
  </si>
  <si>
    <t>Butterfly spread</t>
  </si>
  <si>
    <t>Sottostante</t>
  </si>
  <si>
    <t>da comprare</t>
  </si>
  <si>
    <t>Quantità</t>
  </si>
  <si>
    <t>Nuovo prezzo c1</t>
  </si>
  <si>
    <t>Nuovo costo</t>
  </si>
  <si>
    <t>Ricavo da arbitraggio</t>
  </si>
  <si>
    <t>(b) Il delta misura la sensibilità del valore del portafoglio al prezzo del sottostante; il gamma misura la sensibilità del delta allo stesso prezzo. Il</t>
  </si>
  <si>
    <t>theta misura la variazione del valore al trascorrere del tempo, mentre il vega e il rho misurano le sensibilità alla volatilità e al tasso d’interesse.</t>
  </si>
  <si>
    <t>Il portafoglio ha quindi un delta lievemente negativo, un gamma negativo, un theta positivo e sensitività negative alla volatilità e al tasso</t>
  </si>
  <si>
    <t>d’interesse.</t>
  </si>
  <si>
    <t>(c) Per rendere il portafoglio delta neutral, dovremmo comprare 0,0077 unità del sottostante (le piccole variazioni di prezzo del sottostante</t>
  </si>
  <si>
    <t>hanno un effetto molto modesto sul valore dell’intero portafoglio).</t>
  </si>
  <si>
    <t>(d) Sì. La costruzione del butterfly spread lungo non comporta un costo, bensì un ricavo pari a $2,36. L’arbitraggista, a fronte del ricavo iniziale,</t>
  </si>
  <si>
    <t>non sopporterebbe costi alla scadenza del butterfly spread (e potrebbe conseguire un ulteriore ricavo se il prezzo del sottostante risultasse</t>
  </si>
  <si>
    <t>compreso tra $90 e $110).</t>
  </si>
  <si>
    <t>Capitolo 20 Volatility Smiles e Volatility Surfaces</t>
  </si>
  <si>
    <t>20.1.</t>
  </si>
  <si>
    <t>La volatilità implicita in una call europea, con prezzo d’esercizio di $30 e scadenza tra 1 anno, scritta su una certa azione è pari al 30%. La</t>
  </si>
  <si>
    <t>volatilità implicita in una put europea, con prezzo d’esercizio di $30 e scadenza tra 1 anno, scritta sulla stessa azione è pari al 33%. Qual è</t>
  </si>
  <si>
    <t>l’arbitraggio che un trader potrebbe effettuare? Quest’opportunità di arbitraggio dipende dall’assunzione di log-normalità che è alla base del</t>
  </si>
  <si>
    <t>modello Black-Scholes? Spiegate con cura la vostra risposta.</t>
  </si>
  <si>
    <t>Dato che la volatilità implicita nella put è maggiore di quella implicita nella corrispondente call, il prezzo della put è troppo elevato rispetto a</t>
  </si>
  <si>
    <t>quello della call: la put-call parity non è rispettata.</t>
  </si>
  <si>
    <t>Il trader compra la call, vende la put e assume una posizione corta su un forward con la stessa scadenza e prezzo di consegna K = $30. Il payoff</t>
  </si>
  <si>
    <t>complessivo è</t>
  </si>
  <si>
    <t>max(S_T − K, 0) − max(K − S_T, 0) + (K − S_T) = 0.</t>
  </si>
  <si>
    <t>Sia F₀ il prezzo forward corrente. Il valore della posizione corta sul forward con prezzo di consegna K è (K − F₀) e^(−rT). Tenendo conto di</t>
  </si>
  <si>
    <t>questo valore, il ricavo iniziale netto dell’operazione è</t>
  </si>
  <si>
    <t>p − c − (K − F₀) e^(−rT) &gt; 0.</t>
  </si>
  <si>
    <t>L’operazione genera quindi un ricavo iniziale positivo senza obblighi netti alla scadenza. L’arbitraggio non dipende dall’assunzione di</t>
  </si>
  <si>
    <t>log-normalità: dipende dalla violazione della put-call parity.</t>
  </si>
  <si>
    <t>20.2.</t>
  </si>
  <si>
    <t>La distribuzione probabilistica del prezzo di un’azione a un futuro istante di tempo ha la coda destra più spessa e la coda sinistra più sottile</t>
  </si>
  <si>
    <t>rispetto alla distribuzione log-normale. Descrivete l’effetto di questa configurazione sulle opzioni call e put, in the money e out of the money.</t>
  </si>
  <si>
    <t>Che forma assume il volatility smile?</t>
  </si>
  <si>
    <t>Si tratta della situazione opposta a quella che caratterizza in genere le opzioni su azioni. È probabile che il modello Black-Scholes sopravvaluti</t>
  </si>
  <si>
    <t>le out of the money puts e le in the money calls. Analogamente, è probabile che il modello Black-Scholes sottovaluti le out of the money calls e</t>
  </si>
  <si>
    <t>le in the money puts. Il volatility smile cresce col crescere del prezzo d’esercizio.</t>
  </si>
  <si>
    <t>Capitolo 21 Procedure Numeriche</t>
  </si>
  <si>
    <t>21.1.</t>
  </si>
  <si>
    <t>Considerate una put americana, con prezzo d’esercizio di $450 e scadenza tra 6 mesi, scritta su un index futures con prezzo corrente di $450 e</t>
  </si>
  <si>
    <t>scadenza tra 7 mesi. Il dividend yield dell’indice è pari al 3% e la volatilità è del 30% annuo. Il tasso d’interesse privo di rischio è pari al 7%</t>
  </si>
  <si>
    <t>annuo. Costruite un albero binomiale a 3 stadi per effettuare i seguenti calcoli:</t>
  </si>
  <si>
    <t>(a) calcolate il valore corrente della put americana;</t>
  </si>
  <si>
    <t>(b) calcolate il delta della put americana rispetto al prezzo futures;</t>
  </si>
  <si>
    <t>(c) calcolate il delta della put americana rispetto al prezzo spot dell’indice;</t>
  </si>
  <si>
    <t>(d) calcolate il valore corrente della corrispondente put europea;</t>
  </si>
  <si>
    <t>(e) applicate la tecnica della variabile di controllo per migliorare la vostra stima del valore corrente della put americana e del suo delta rispetto</t>
  </si>
  <si>
    <t>al prezzo futures.</t>
  </si>
  <si>
    <t>Si tenga conto che il prezzo Black-Scholes della corrispondente put europea è di $36,7042 e che il delta rispetto al prezzo futures – secondo il</t>
  </si>
  <si>
    <t>modello Black-Scholes – è pari a –0,4420.</t>
  </si>
  <si>
    <t>Fu</t>
  </si>
  <si>
    <t>TF</t>
  </si>
  <si>
    <t>Fd</t>
  </si>
  <si>
    <t>DF</t>
  </si>
  <si>
    <t>∂F/∂S</t>
  </si>
  <si>
    <t>DS</t>
  </si>
  <si>
    <t>pam</t>
  </si>
  <si>
    <t>Dam</t>
  </si>
  <si>
    <t>peur</t>
  </si>
  <si>
    <t>Deur</t>
  </si>
  <si>
    <t>pBS</t>
  </si>
  <si>
    <t>DBS</t>
  </si>
  <si>
    <t>La riga finale applica la correzione mediante variabile di controllo al prezzo e al delta futures.</t>
  </si>
  <si>
    <t>Capitolo 13 Alberi Binomiali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</si>
</sst>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7">
    <numFmt numFmtId="164" formatCode="[$$-409]#,##0"/>
    <numFmt numFmtId="165" formatCode="\¢#,##0.00"/>
    <numFmt numFmtId="166" formatCode="&quot;$&quot;#,##0.00"/>
    <numFmt numFmtId="167" formatCode="[$$-409]#,##0.00"/>
    <numFmt numFmtId="168" formatCode="0.0000"/>
    <numFmt numFmtId="169" formatCode="[$$-4809]#,##0"/>
    <numFmt numFmtId="170" formatCode="[$$-409]#,##0.0"/>
    <numFmt numFmtId="171" formatCode="0.000%"/>
    <numFmt numFmtId="172" formatCode="0.0"/>
    <numFmt numFmtId="173" formatCode="0.0%"/>
    <numFmt numFmtId="174" formatCode="0.00000"/>
    <numFmt numFmtId="175" formatCode="[$$-409]#,##0.00000"/>
    <numFmt numFmtId="176" formatCode="0.0000%"/>
    <numFmt numFmtId="177" formatCode="[$£-809]#,##0"/>
    <numFmt numFmtId="178" formatCode="[$£-809]#,##0.0"/>
    <numFmt numFmtId="179" formatCode="[$$-409]#,##0.000"/>
    <numFmt numFmtId="180" formatCode="&quot;$&quot;0.0000"/>
    <numFmt numFmtId="181" formatCode="&quot;¢&quot;0.0000"/>
    <numFmt numFmtId="182" formatCode="&quot;$&quot;0.00"/>
    <numFmt numFmtId="183" formatCode="&quot;$&quot;#,##0.00000"/>
    <numFmt numFmtId="184" formatCode="#,##0.00000"/>
    <numFmt numFmtId="185" formatCode="0.000000"/>
    <numFmt numFmtId="186" formatCode="&quot;$&quot;0.000000"/>
    <numFmt numFmtId="187" formatCode="&quot;USD &quot;0.00"/>
    <numFmt numFmtId="188" formatCode="&quot;USD &quot;0.000000"/>
    <numFmt numFmtId="189" formatCode="&quot;$&quot;#,##0"/>
    <numFmt numFmtId="190" formatCode="0.000000000"/>
  </numFmts>
  <fonts count="7" x14ac:knownFonts="1">
    <font>
      <sz val="10.5"/>
      <name val="Times New Roman"/>
      <family val="1"/>
    </font>
    <font>
      <sz val="10.5"/>
      <color rgb="FF000000"/>
      <name val="Times New Roman"/>
      <family val="1"/>
    </font>
    <font>
      <b/>
      <sz val="10.5"/>
      <color rgb="FF000000"/>
      <name val="Times New Roman"/>
      <family val="1"/>
    </font>
    <font>
      <i/>
      <sz val="10.5"/>
      <color rgb="FF000000"/>
      <name val="Times New Roman"/>
      <family val="1"/>
    </font>
    <font>
      <sz val="10.5"/>
      <name val="Times New Roman"/>
      <family val="1"/>
    </font>
    <font>
      <sz val="10.5"/>
      <name val="Times New Roman"/>
      <family val="1"/>
    </font>
    <font>
      <b/>
      <sz val="10.5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5">
    <xf numFmtId="0" fontId="0" fillId="0" borderId="0" xfId="0"/>
    <xf numFmtId="0" fontId="2" fillId="0" borderId="0" xfId="1" applyNumberFormat="1" applyFont="1" applyFill="1" applyBorder="1" applyAlignment="1">
      <alignment vertical="center"/>
    </xf>
    <xf numFmtId="0" fontId="3" fillId="0" borderId="0" xfId="1" applyNumberFormat="1" applyFont="1" applyFill="1" applyBorder="1" applyAlignment="1">
      <alignment vertical="center"/>
    </xf>
    <xf numFmtId="168" fontId="2" fillId="0" borderId="0" xfId="1" applyNumberFormat="1" applyFont="1" applyFill="1" applyBorder="1" applyAlignment="1">
      <alignment vertical="center"/>
    </xf>
    <xf numFmtId="180" fontId="2" fillId="0" borderId="0" xfId="1" applyNumberFormat="1" applyFont="1" applyFill="1" applyBorder="1" applyAlignment="1">
      <alignment vertical="center"/>
    </xf>
    <xf numFmtId="181" fontId="2" fillId="0" borderId="0" xfId="1" applyNumberFormat="1" applyFont="1" applyFill="1" applyBorder="1" applyAlignment="1">
      <alignment vertical="center"/>
    </xf>
    <xf numFmtId="0" fontId="1" fillId="0" borderId="0" xfId="1" applyNumberFormat="1" applyFont="1" applyFill="1" applyBorder="1" applyAlignment="1">
      <alignment vertical="center"/>
    </xf>
    <xf numFmtId="3" fontId="1" fillId="0" borderId="0" xfId="1" applyNumberFormat="1" applyFont="1" applyFill="1" applyBorder="1" applyAlignment="1">
      <alignment vertical="center"/>
    </xf>
    <xf numFmtId="164" fontId="1" fillId="0" borderId="0" xfId="1" applyNumberFormat="1" applyFont="1" applyFill="1" applyBorder="1" applyAlignment="1">
      <alignment vertical="center"/>
    </xf>
    <xf numFmtId="165" fontId="1" fillId="0" borderId="0" xfId="1" applyNumberFormat="1" applyFont="1" applyFill="1" applyBorder="1" applyAlignment="1">
      <alignment vertical="center"/>
    </xf>
    <xf numFmtId="166" fontId="1" fillId="0" borderId="0" xfId="1" applyNumberFormat="1" applyFont="1" applyFill="1" applyBorder="1" applyAlignment="1">
      <alignment vertical="center"/>
    </xf>
    <xf numFmtId="17" fontId="1" fillId="0" borderId="0" xfId="1" applyNumberFormat="1" applyFont="1" applyFill="1" applyBorder="1" applyAlignment="1">
      <alignment vertical="center"/>
    </xf>
    <xf numFmtId="167" fontId="1" fillId="0" borderId="0" xfId="1" applyNumberFormat="1" applyFont="1" applyFill="1" applyBorder="1" applyAlignment="1">
      <alignment vertical="center"/>
    </xf>
    <xf numFmtId="2" fontId="1" fillId="0" borderId="0" xfId="1" applyNumberFormat="1" applyFont="1" applyFill="1" applyBorder="1" applyAlignment="1">
      <alignment vertical="center"/>
    </xf>
    <xf numFmtId="2" fontId="1" fillId="0" borderId="0" xfId="1" applyNumberFormat="1" applyFont="1" applyFill="1" applyBorder="1" applyAlignment="1">
      <alignment horizontal="center" vertical="center"/>
    </xf>
    <xf numFmtId="168" fontId="1" fillId="0" borderId="0" xfId="1" applyNumberFormat="1" applyFont="1" applyFill="1" applyBorder="1" applyAlignment="1">
      <alignment vertical="center"/>
    </xf>
    <xf numFmtId="169" fontId="1" fillId="0" borderId="0" xfId="1" applyNumberFormat="1" applyFont="1" applyFill="1" applyBorder="1" applyAlignment="1">
      <alignment vertical="center"/>
    </xf>
    <xf numFmtId="9" fontId="1" fillId="0" borderId="0" xfId="1" applyNumberFormat="1" applyFont="1" applyFill="1" applyBorder="1" applyAlignment="1">
      <alignment vertical="center"/>
    </xf>
    <xf numFmtId="171" fontId="1" fillId="0" borderId="0" xfId="1" applyNumberFormat="1" applyFont="1" applyFill="1" applyBorder="1" applyAlignment="1">
      <alignment vertical="center"/>
    </xf>
    <xf numFmtId="172" fontId="1" fillId="0" borderId="0" xfId="1" applyNumberFormat="1" applyFont="1" applyFill="1" applyBorder="1" applyAlignment="1">
      <alignment vertical="center"/>
    </xf>
    <xf numFmtId="173" fontId="1" fillId="0" borderId="0" xfId="1" applyNumberFormat="1" applyFont="1" applyFill="1" applyBorder="1" applyAlignment="1">
      <alignment vertical="center"/>
    </xf>
    <xf numFmtId="172" fontId="1" fillId="0" borderId="0" xfId="1" applyNumberFormat="1" applyFont="1" applyFill="1" applyBorder="1" applyAlignment="1">
      <alignment horizontal="center" vertical="center"/>
    </xf>
    <xf numFmtId="173" fontId="1" fillId="0" borderId="0" xfId="1" applyNumberFormat="1" applyFont="1" applyFill="1" applyBorder="1" applyAlignment="1">
      <alignment horizontal="center" vertical="center"/>
    </xf>
    <xf numFmtId="3" fontId="1" fillId="0" borderId="0" xfId="1" applyNumberFormat="1" applyFont="1" applyFill="1" applyBorder="1" applyAlignment="1">
      <alignment horizontal="center" vertical="center"/>
    </xf>
    <xf numFmtId="174" fontId="1" fillId="0" borderId="0" xfId="1" applyNumberFormat="1" applyFont="1" applyFill="1" applyBorder="1" applyAlignment="1">
      <alignment vertical="center"/>
    </xf>
    <xf numFmtId="174" fontId="1" fillId="0" borderId="0" xfId="1" applyNumberFormat="1" applyFont="1" applyFill="1" applyBorder="1" applyAlignment="1">
      <alignment horizontal="center" vertical="center"/>
    </xf>
    <xf numFmtId="10" fontId="1" fillId="0" borderId="0" xfId="1" applyNumberFormat="1" applyFont="1" applyFill="1" applyBorder="1" applyAlignment="1">
      <alignment vertical="center"/>
    </xf>
    <xf numFmtId="176" fontId="1" fillId="0" borderId="0" xfId="1" applyNumberFormat="1" applyFont="1" applyFill="1" applyBorder="1" applyAlignment="1">
      <alignment vertical="center"/>
    </xf>
    <xf numFmtId="179" fontId="1" fillId="0" borderId="0" xfId="1" applyNumberFormat="1" applyFont="1" applyFill="1" applyBorder="1" applyAlignment="1">
      <alignment vertical="center"/>
    </xf>
    <xf numFmtId="182" fontId="1" fillId="0" borderId="0" xfId="1" applyNumberFormat="1" applyFont="1" applyFill="1" applyBorder="1" applyAlignment="1">
      <alignment vertical="center"/>
    </xf>
    <xf numFmtId="183" fontId="1" fillId="0" borderId="0" xfId="1" applyNumberFormat="1" applyFont="1" applyFill="1" applyBorder="1" applyAlignment="1">
      <alignment vertical="center"/>
    </xf>
    <xf numFmtId="184" fontId="1" fillId="0" borderId="0" xfId="1" applyNumberFormat="1" applyFont="1" applyFill="1" applyBorder="1" applyAlignment="1">
      <alignment vertical="center"/>
    </xf>
    <xf numFmtId="185" fontId="1" fillId="0" borderId="0" xfId="1" applyNumberFormat="1" applyFont="1" applyFill="1" applyBorder="1" applyAlignment="1">
      <alignment vertical="center"/>
    </xf>
    <xf numFmtId="185" fontId="2" fillId="0" borderId="0" xfId="1" applyNumberFormat="1" applyFont="1" applyFill="1" applyBorder="1" applyAlignment="1">
      <alignment vertical="center"/>
    </xf>
    <xf numFmtId="186" fontId="2" fillId="0" borderId="0" xfId="1" applyNumberFormat="1" applyFont="1" applyFill="1" applyBorder="1" applyAlignment="1">
      <alignment vertical="center"/>
    </xf>
    <xf numFmtId="187" fontId="1" fillId="0" borderId="0" xfId="1" applyNumberFormat="1" applyFont="1" applyFill="1" applyBorder="1" applyAlignment="1">
      <alignment vertical="center"/>
    </xf>
    <xf numFmtId="188" fontId="1" fillId="0" borderId="0" xfId="1" applyNumberFormat="1" applyFont="1" applyFill="1" applyBorder="1" applyAlignment="1">
      <alignment vertical="center"/>
    </xf>
    <xf numFmtId="0" fontId="1" fillId="0" borderId="0" xfId="1" applyNumberFormat="1" applyFont="1" applyFill="1" applyBorder="1" applyAlignment="1">
      <alignment horizontal="center" vertical="center"/>
    </xf>
    <xf numFmtId="0" fontId="3" fillId="0" borderId="0" xfId="1" applyNumberFormat="1" applyFont="1" applyFill="1" applyBorder="1" applyAlignment="1">
      <alignment horizontal="center" vertical="center"/>
    </xf>
    <xf numFmtId="0" fontId="5" fillId="0" borderId="0" xfId="0" applyFont="1"/>
    <xf numFmtId="20" fontId="1" fillId="0" borderId="0" xfId="1" applyNumberFormat="1" applyFont="1" applyFill="1" applyBorder="1" applyAlignment="1">
      <alignment vertical="center"/>
    </xf>
    <xf numFmtId="189" fontId="1" fillId="0" borderId="0" xfId="1" applyNumberFormat="1" applyFont="1" applyFill="1" applyBorder="1" applyAlignment="1">
      <alignment vertical="center"/>
    </xf>
    <xf numFmtId="190" fontId="1" fillId="0" borderId="0" xfId="1" applyNumberFormat="1" applyFont="1" applyFill="1" applyBorder="1" applyAlignment="1">
      <alignment vertical="center"/>
    </xf>
    <xf numFmtId="180" fontId="1" fillId="0" borderId="0" xfId="1" applyNumberFormat="1" applyFont="1" applyFill="1" applyBorder="1" applyAlignment="1">
      <alignment vertical="center"/>
    </xf>
    <xf numFmtId="4" fontId="1" fillId="0" borderId="0" xfId="1" applyNumberFormat="1" applyFont="1" applyFill="1" applyBorder="1" applyAlignment="1">
      <alignment vertical="center"/>
    </xf>
    <xf numFmtId="170" fontId="1" fillId="0" borderId="0" xfId="1" applyNumberFormat="1" applyFont="1" applyFill="1" applyBorder="1" applyAlignment="1">
      <alignment vertical="center"/>
    </xf>
    <xf numFmtId="175" fontId="1" fillId="0" borderId="0" xfId="1" applyNumberFormat="1" applyFont="1" applyFill="1" applyBorder="1" applyAlignment="1">
      <alignment vertical="center"/>
    </xf>
    <xf numFmtId="10" fontId="1" fillId="0" borderId="0" xfId="1" applyNumberFormat="1" applyFont="1" applyFill="1" applyBorder="1" applyAlignment="1">
      <alignment horizontal="center" vertical="center"/>
    </xf>
    <xf numFmtId="177" fontId="1" fillId="0" borderId="0" xfId="1" applyNumberFormat="1" applyFont="1" applyFill="1" applyBorder="1" applyAlignment="1">
      <alignment vertical="center"/>
    </xf>
    <xf numFmtId="178" fontId="1" fillId="0" borderId="0" xfId="1" applyNumberFormat="1" applyFont="1" applyFill="1" applyBorder="1" applyAlignment="1">
      <alignment vertical="center"/>
    </xf>
    <xf numFmtId="0" fontId="6" fillId="2" borderId="0" xfId="1" applyNumberFormat="1" applyFont="1" applyFill="1" applyBorder="1" applyAlignment="1">
      <alignment horizontal="left" vertical="center"/>
    </xf>
    <xf numFmtId="0" fontId="2" fillId="0" borderId="0" xfId="1" applyNumberFormat="1" applyFont="1" applyFill="1" applyBorder="1" applyAlignment="1">
      <alignment horizontal="left" vertical="center"/>
    </xf>
    <xf numFmtId="0" fontId="3" fillId="0" borderId="0" xfId="1" applyNumberFormat="1" applyFont="1" applyFill="1" applyBorder="1" applyAlignment="1">
      <alignment horizontal="center" vertical="center"/>
    </xf>
    <xf numFmtId="0" fontId="1" fillId="0" borderId="0" xfId="1" applyNumberFormat="1" applyFont="1" applyFill="1" applyBorder="1" applyAlignment="1">
      <alignment horizontal="left" vertical="center"/>
    </xf>
    <xf numFmtId="0" fontId="1" fillId="0" borderId="0" xfId="1" applyNumberFormat="1" applyFont="1" applyFill="1" applyBorder="1" applyAlignment="1">
      <alignment horizontal="center" vertical="center"/>
    </xf>
  </cellXfs>
  <cellStyles count="2">
    <cellStyle name="Normal" xfId="1"/>
    <cellStyle name="Normale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7543800" cy="3429000"/>
    <xdr:pic>
      <xdr:nvPicPr>
        <xdr:cNvPr id="2" name="/xl/media/imag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Hull 12a edizione">
  <a:themeElements>
    <a:clrScheme name="Hull 12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Hull 12a">
      <a:majorFont>
        <a:latin typeface="Times New Roman"/>
        <a:ea typeface="Calibri Light"/>
        <a:cs typeface="Calibri Light"/>
      </a:majorFont>
      <a:minorFont>
        <a:latin typeface="Times New Roman"/>
        <a:ea typeface="Calibri"/>
        <a:cs typeface="Calibri"/>
      </a:minorFont>
    </a:fontScheme>
    <a:fmtScheme name="Hull 12a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36878"/>
    <pageSetUpPr fitToPage="1"/>
  </sheetPr>
  <dimension ref="A1:H61"/>
  <sheetViews>
    <sheetView showGridLines="0" tabSelected="1" zoomScaleNormal="100" workbookViewId="0">
      <pane ySplit="2" topLeftCell="A3" activePane="bottomLeft" state="frozen"/>
      <selection sqref="A1:H1"/>
      <selection pane="bottomLeft" sqref="A1:H1"/>
    </sheetView>
  </sheetViews>
  <sheetFormatPr defaultRowHeight="15" customHeight="1" x14ac:dyDescent="0.2"/>
  <cols>
    <col min="1" max="1" width="26.28515625" style="39" customWidth="1"/>
    <col min="2" max="2" width="13.85546875" style="39" customWidth="1"/>
    <col min="3" max="3" width="12.5703125" style="39" customWidth="1"/>
    <col min="4" max="4" width="15.140625" style="39" customWidth="1"/>
    <col min="5" max="5" width="13.85546875" style="39" customWidth="1"/>
    <col min="6" max="6" width="12.5703125" style="39" customWidth="1"/>
    <col min="7" max="7" width="15.140625" style="39" customWidth="1"/>
    <col min="8" max="8" width="13.85546875" style="39" customWidth="1"/>
    <col min="9" max="16384" width="9.140625" style="39"/>
  </cols>
  <sheetData>
    <row r="1" spans="1:8" ht="15" customHeight="1" x14ac:dyDescent="0.2">
      <c r="A1" s="50" t="s">
        <v>0</v>
      </c>
      <c r="B1" s="51"/>
      <c r="C1" s="51"/>
      <c r="D1" s="51"/>
      <c r="E1" s="51"/>
      <c r="F1" s="51"/>
      <c r="G1" s="51"/>
      <c r="H1" s="51"/>
    </row>
    <row r="2" spans="1:8" ht="15" customHeight="1" x14ac:dyDescent="0.2">
      <c r="A2" s="6"/>
      <c r="B2" s="6"/>
      <c r="C2" s="6"/>
      <c r="D2" s="6"/>
      <c r="E2" s="6"/>
      <c r="F2" s="6"/>
      <c r="G2" s="6"/>
      <c r="H2" s="6"/>
    </row>
    <row r="3" spans="1:8" ht="15" customHeight="1" x14ac:dyDescent="0.2">
      <c r="A3" s="51" t="s">
        <v>1</v>
      </c>
      <c r="B3" s="51"/>
      <c r="C3" s="51"/>
      <c r="D3" s="51"/>
      <c r="E3" s="51"/>
      <c r="F3" s="51"/>
      <c r="G3" s="51"/>
      <c r="H3" s="51"/>
    </row>
    <row r="4" spans="1:8" ht="15" customHeight="1" x14ac:dyDescent="0.2">
      <c r="A4" s="53" t="s">
        <v>2</v>
      </c>
      <c r="B4" s="53"/>
      <c r="C4" s="53"/>
      <c r="D4" s="53"/>
      <c r="E4" s="53"/>
      <c r="F4" s="53"/>
      <c r="G4" s="53"/>
      <c r="H4" s="53"/>
    </row>
    <row r="5" spans="1:8" ht="15" customHeight="1" x14ac:dyDescent="0.2">
      <c r="A5" s="53" t="s">
        <v>3</v>
      </c>
      <c r="B5" s="53"/>
      <c r="C5" s="53"/>
      <c r="D5" s="53"/>
      <c r="E5" s="53"/>
      <c r="F5" s="53"/>
      <c r="G5" s="53"/>
      <c r="H5" s="53"/>
    </row>
    <row r="6" spans="1:8" ht="15" customHeight="1" x14ac:dyDescent="0.2">
      <c r="A6" s="53" t="s">
        <v>4</v>
      </c>
      <c r="B6" s="53"/>
      <c r="C6" s="53"/>
      <c r="D6" s="53"/>
      <c r="E6" s="53"/>
      <c r="F6" s="53"/>
      <c r="G6" s="53"/>
      <c r="H6" s="53"/>
    </row>
    <row r="7" spans="1:8" ht="15" customHeight="1" x14ac:dyDescent="0.2">
      <c r="A7" s="53" t="s">
        <v>5</v>
      </c>
      <c r="B7" s="53"/>
      <c r="C7" s="53"/>
      <c r="D7" s="53"/>
      <c r="E7" s="53"/>
      <c r="F7" s="53"/>
      <c r="G7" s="53"/>
      <c r="H7" s="53"/>
    </row>
    <row r="8" spans="1:8" ht="15" customHeight="1" x14ac:dyDescent="0.2">
      <c r="A8" s="53" t="s">
        <v>6</v>
      </c>
      <c r="B8" s="53"/>
      <c r="C8" s="53"/>
      <c r="D8" s="53"/>
      <c r="E8" s="53"/>
      <c r="F8" s="53"/>
      <c r="G8" s="53"/>
      <c r="H8" s="53"/>
    </row>
    <row r="9" spans="1:8" ht="15" customHeight="1" x14ac:dyDescent="0.2">
      <c r="A9" s="53" t="s">
        <v>7</v>
      </c>
      <c r="B9" s="53"/>
      <c r="C9" s="53"/>
      <c r="D9" s="53"/>
      <c r="E9" s="53"/>
      <c r="F9" s="53"/>
      <c r="G9" s="53"/>
      <c r="H9" s="53"/>
    </row>
    <row r="10" spans="1:8" ht="15" customHeight="1" x14ac:dyDescent="0.2">
      <c r="A10" s="6"/>
      <c r="B10" s="6"/>
      <c r="C10" s="6"/>
      <c r="D10" s="6"/>
      <c r="E10" s="6"/>
      <c r="F10" s="6"/>
      <c r="G10" s="6"/>
      <c r="H10" s="6"/>
    </row>
    <row r="11" spans="1:8" ht="15" customHeight="1" x14ac:dyDescent="0.2">
      <c r="A11" s="51" t="s">
        <v>8</v>
      </c>
      <c r="B11" s="51"/>
      <c r="C11" s="51"/>
      <c r="D11" s="51"/>
      <c r="E11" s="51"/>
      <c r="F11" s="51"/>
      <c r="G11" s="51"/>
      <c r="H11" s="51"/>
    </row>
    <row r="12" spans="1:8" ht="15" customHeight="1" x14ac:dyDescent="0.2">
      <c r="A12" s="2" t="s">
        <v>9</v>
      </c>
      <c r="B12" s="7">
        <v>10</v>
      </c>
      <c r="C12" s="6"/>
      <c r="D12" s="6"/>
      <c r="E12" s="6"/>
      <c r="F12" s="6"/>
      <c r="G12" s="6"/>
      <c r="H12" s="6"/>
    </row>
    <row r="13" spans="1:8" ht="15" customHeight="1" x14ac:dyDescent="0.2">
      <c r="A13" s="2" t="s">
        <v>10</v>
      </c>
      <c r="B13" s="8">
        <v>450</v>
      </c>
      <c r="C13" s="6"/>
      <c r="D13" s="6"/>
      <c r="E13" s="6"/>
      <c r="F13" s="6"/>
      <c r="G13" s="6"/>
      <c r="H13" s="6"/>
    </row>
    <row r="14" spans="1:8" ht="15" customHeight="1" x14ac:dyDescent="0.2">
      <c r="A14" s="2" t="s">
        <v>11</v>
      </c>
      <c r="B14" s="8">
        <v>6000</v>
      </c>
      <c r="C14" s="6"/>
      <c r="D14" s="6"/>
      <c r="E14" s="6"/>
      <c r="F14" s="6"/>
      <c r="G14" s="6"/>
      <c r="H14" s="6"/>
    </row>
    <row r="15" spans="1:8" ht="15" customHeight="1" x14ac:dyDescent="0.2">
      <c r="A15" s="6"/>
      <c r="B15" s="52" t="s">
        <v>12</v>
      </c>
      <c r="C15" s="52"/>
      <c r="D15" s="6"/>
      <c r="E15" s="6"/>
      <c r="F15" s="6"/>
      <c r="G15" s="6"/>
      <c r="H15" s="6"/>
    </row>
    <row r="16" spans="1:8" ht="15" customHeight="1" x14ac:dyDescent="0.2">
      <c r="A16" s="6"/>
      <c r="B16" s="8">
        <v>5500</v>
      </c>
      <c r="C16" s="8">
        <v>7000</v>
      </c>
      <c r="D16" s="6"/>
      <c r="E16" s="6"/>
      <c r="F16" s="6"/>
      <c r="G16" s="6"/>
      <c r="H16" s="6"/>
    </row>
    <row r="17" spans="1:8" ht="15" customHeight="1" x14ac:dyDescent="0.2">
      <c r="A17" s="6"/>
      <c r="B17" s="6"/>
      <c r="C17" s="6"/>
      <c r="D17" s="6"/>
      <c r="E17" s="6"/>
      <c r="F17" s="6"/>
      <c r="G17" s="6"/>
      <c r="H17" s="6"/>
    </row>
    <row r="18" spans="1:8" ht="15" customHeight="1" x14ac:dyDescent="0.2">
      <c r="A18" s="6" t="s">
        <v>13</v>
      </c>
      <c r="B18" s="8">
        <f>B12*(MIN(B14,B16)+B13)</f>
        <v>59500</v>
      </c>
      <c r="C18" s="8">
        <f>B12*(MIN(B14,C16)+B13)</f>
        <v>64500</v>
      </c>
      <c r="D18" s="6"/>
      <c r="E18" s="6"/>
      <c r="F18" s="6"/>
      <c r="G18" s="6"/>
      <c r="H18" s="6"/>
    </row>
    <row r="19" spans="1:8" ht="15" customHeight="1" x14ac:dyDescent="0.2">
      <c r="A19" s="6"/>
      <c r="B19" s="6"/>
      <c r="C19" s="6"/>
      <c r="D19" s="6"/>
      <c r="E19" s="6"/>
      <c r="F19" s="6"/>
      <c r="G19" s="6"/>
      <c r="H19" s="6"/>
    </row>
    <row r="20" spans="1:8" ht="15" customHeight="1" x14ac:dyDescent="0.2">
      <c r="A20" s="6"/>
      <c r="B20" s="6"/>
      <c r="C20" s="6"/>
      <c r="D20" s="6"/>
      <c r="E20" s="6"/>
      <c r="F20" s="6"/>
      <c r="G20" s="6"/>
      <c r="H20" s="6"/>
    </row>
    <row r="21" spans="1:8" ht="15" customHeight="1" x14ac:dyDescent="0.2">
      <c r="A21" s="51" t="s">
        <v>14</v>
      </c>
      <c r="B21" s="51"/>
      <c r="C21" s="51"/>
      <c r="D21" s="51"/>
      <c r="E21" s="51"/>
      <c r="F21" s="51"/>
      <c r="G21" s="51"/>
      <c r="H21" s="51"/>
    </row>
    <row r="22" spans="1:8" ht="15" customHeight="1" x14ac:dyDescent="0.2">
      <c r="A22" s="53" t="s">
        <v>15</v>
      </c>
      <c r="B22" s="53"/>
      <c r="C22" s="53"/>
      <c r="D22" s="53"/>
      <c r="E22" s="53"/>
      <c r="F22" s="53"/>
      <c r="G22" s="53"/>
      <c r="H22" s="53"/>
    </row>
    <row r="23" spans="1:8" ht="15" customHeight="1" x14ac:dyDescent="0.2">
      <c r="A23" s="53" t="s">
        <v>16</v>
      </c>
      <c r="B23" s="53"/>
      <c r="C23" s="53"/>
      <c r="D23" s="53"/>
      <c r="E23" s="53"/>
      <c r="F23" s="53"/>
      <c r="G23" s="53"/>
      <c r="H23" s="53"/>
    </row>
    <row r="24" spans="1:8" ht="15" customHeight="1" x14ac:dyDescent="0.2">
      <c r="A24" s="53" t="s">
        <v>17</v>
      </c>
      <c r="B24" s="53"/>
      <c r="C24" s="53"/>
      <c r="D24" s="53"/>
      <c r="E24" s="53"/>
      <c r="F24" s="53"/>
      <c r="G24" s="53"/>
      <c r="H24" s="53"/>
    </row>
    <row r="25" spans="1:8" ht="15" customHeight="1" x14ac:dyDescent="0.2">
      <c r="A25" s="53" t="s">
        <v>18</v>
      </c>
      <c r="B25" s="53"/>
      <c r="C25" s="53"/>
      <c r="D25" s="53"/>
      <c r="E25" s="53"/>
      <c r="F25" s="53"/>
      <c r="G25" s="53"/>
      <c r="H25" s="53"/>
    </row>
    <row r="26" spans="1:8" ht="15" customHeight="1" x14ac:dyDescent="0.2">
      <c r="A26" s="53" t="s">
        <v>19</v>
      </c>
      <c r="B26" s="53"/>
      <c r="C26" s="53"/>
      <c r="D26" s="53"/>
      <c r="E26" s="53"/>
      <c r="F26" s="53"/>
      <c r="G26" s="53"/>
      <c r="H26" s="53"/>
    </row>
    <row r="27" spans="1:8" ht="15" customHeight="1" x14ac:dyDescent="0.2">
      <c r="A27" s="6"/>
      <c r="B27" s="6"/>
      <c r="C27" s="6"/>
      <c r="D27" s="6"/>
      <c r="E27" s="6"/>
      <c r="F27" s="6"/>
      <c r="G27" s="6"/>
      <c r="H27" s="6"/>
    </row>
    <row r="28" spans="1:8" ht="15" customHeight="1" x14ac:dyDescent="0.2">
      <c r="A28" s="51" t="s">
        <v>8</v>
      </c>
      <c r="B28" s="51"/>
      <c r="C28" s="51"/>
      <c r="D28" s="51"/>
      <c r="E28" s="51"/>
      <c r="F28" s="51"/>
      <c r="G28" s="51"/>
      <c r="H28" s="51"/>
    </row>
    <row r="29" spans="1:8" ht="15" customHeight="1" x14ac:dyDescent="0.2">
      <c r="A29" s="2" t="s">
        <v>20</v>
      </c>
      <c r="B29" s="7">
        <v>1000</v>
      </c>
      <c r="C29" s="6"/>
      <c r="D29" s="6"/>
      <c r="E29" s="6"/>
      <c r="F29" s="6"/>
      <c r="G29" s="6"/>
      <c r="H29" s="6"/>
    </row>
    <row r="30" spans="1:8" ht="15" customHeight="1" x14ac:dyDescent="0.2">
      <c r="A30" s="6" t="s">
        <v>21</v>
      </c>
      <c r="B30" s="8">
        <v>740</v>
      </c>
      <c r="C30" s="6"/>
      <c r="D30" s="6"/>
      <c r="E30" s="6"/>
      <c r="F30" s="6"/>
      <c r="G30" s="6"/>
      <c r="H30" s="6"/>
    </row>
    <row r="31" spans="1:8" ht="15" customHeight="1" x14ac:dyDescent="0.2">
      <c r="A31" s="2" t="s">
        <v>11</v>
      </c>
      <c r="B31" s="8">
        <v>740</v>
      </c>
      <c r="C31" s="6"/>
      <c r="D31" s="6"/>
      <c r="E31" s="6"/>
      <c r="F31" s="6"/>
      <c r="G31" s="6"/>
      <c r="H31" s="6"/>
    </row>
    <row r="32" spans="1:8" ht="15" customHeight="1" x14ac:dyDescent="0.2">
      <c r="A32" s="2" t="s">
        <v>22</v>
      </c>
      <c r="B32" s="8">
        <v>70</v>
      </c>
      <c r="C32" s="6"/>
      <c r="D32" s="6"/>
      <c r="E32" s="6"/>
      <c r="F32" s="6"/>
      <c r="G32" s="6"/>
      <c r="H32" s="6"/>
    </row>
    <row r="33" spans="1:8" ht="15" customHeight="1" x14ac:dyDescent="0.2">
      <c r="A33" s="6"/>
      <c r="B33" s="6"/>
      <c r="C33" s="6"/>
      <c r="D33" s="6"/>
      <c r="E33" s="6"/>
      <c r="F33" s="6"/>
      <c r="G33" s="6"/>
      <c r="H33" s="6"/>
    </row>
    <row r="34" spans="1:8" ht="15" customHeight="1" x14ac:dyDescent="0.2">
      <c r="A34" s="6"/>
      <c r="B34" s="52" t="s">
        <v>12</v>
      </c>
      <c r="C34" s="52"/>
      <c r="D34" s="52"/>
      <c r="E34" s="52"/>
      <c r="F34" s="6"/>
      <c r="G34" s="6"/>
      <c r="H34" s="6"/>
    </row>
    <row r="35" spans="1:8" ht="15" customHeight="1" x14ac:dyDescent="0.2">
      <c r="A35" s="6"/>
      <c r="B35" s="8">
        <v>650</v>
      </c>
      <c r="C35" s="8">
        <v>740</v>
      </c>
      <c r="D35" s="8">
        <v>810</v>
      </c>
      <c r="E35" s="8">
        <v>900</v>
      </c>
      <c r="F35" s="6"/>
      <c r="G35" s="6"/>
      <c r="H35" s="6"/>
    </row>
    <row r="36" spans="1:8" ht="15" customHeight="1" x14ac:dyDescent="0.2">
      <c r="A36" s="6" t="s">
        <v>23</v>
      </c>
      <c r="B36" s="8">
        <f>$B$29*((B35-$B$30)+MAX($B$31-B35,0)-$B$32)</f>
        <v>-70000</v>
      </c>
      <c r="C36" s="8">
        <f>$B$29*((C35-$B$30)+MAX($B$31-C35,0)-$B$32)</f>
        <v>-70000</v>
      </c>
      <c r="D36" s="8">
        <f>$B$29*((D35-$B$30)+MAX($B$31-D35,0)-$B$32)</f>
        <v>0</v>
      </c>
      <c r="E36" s="8">
        <f>$B$29*((E35-$B$30)+MAX($B$31-E35,0)-$B$32)</f>
        <v>90000</v>
      </c>
      <c r="F36" s="6"/>
      <c r="G36" s="6"/>
      <c r="H36" s="6"/>
    </row>
    <row r="37" spans="1:8" ht="15" customHeight="1" x14ac:dyDescent="0.2">
      <c r="A37" s="6"/>
      <c r="B37" s="6"/>
      <c r="C37" s="6"/>
      <c r="D37" s="6"/>
      <c r="E37" s="6"/>
      <c r="F37" s="6"/>
      <c r="G37" s="6"/>
      <c r="H37" s="6"/>
    </row>
    <row r="38" spans="1:8" ht="15" customHeight="1" x14ac:dyDescent="0.2">
      <c r="A38" s="6"/>
      <c r="B38" s="6"/>
      <c r="C38" s="6"/>
      <c r="D38" s="6"/>
      <c r="E38" s="6"/>
      <c r="F38" s="6"/>
      <c r="G38" s="6"/>
      <c r="H38" s="6"/>
    </row>
    <row r="39" spans="1:8" ht="15" customHeight="1" x14ac:dyDescent="0.2">
      <c r="A39" s="51" t="s">
        <v>24</v>
      </c>
      <c r="B39" s="51"/>
      <c r="C39" s="51"/>
      <c r="D39" s="51"/>
      <c r="E39" s="51"/>
      <c r="F39" s="51"/>
      <c r="G39" s="51"/>
      <c r="H39" s="51"/>
    </row>
    <row r="40" spans="1:8" ht="15" customHeight="1" x14ac:dyDescent="0.2">
      <c r="A40" s="53" t="s">
        <v>25</v>
      </c>
      <c r="B40" s="53"/>
      <c r="C40" s="53"/>
      <c r="D40" s="53"/>
      <c r="E40" s="53"/>
      <c r="F40" s="53"/>
      <c r="G40" s="53"/>
      <c r="H40" s="53"/>
    </row>
    <row r="41" spans="1:8" ht="15" customHeight="1" x14ac:dyDescent="0.2">
      <c r="A41" s="53" t="s">
        <v>26</v>
      </c>
      <c r="B41" s="53"/>
      <c r="C41" s="53"/>
      <c r="D41" s="53"/>
      <c r="E41" s="53"/>
      <c r="F41" s="53"/>
      <c r="G41" s="53"/>
      <c r="H41" s="53"/>
    </row>
    <row r="42" spans="1:8" ht="15" customHeight="1" x14ac:dyDescent="0.2">
      <c r="A42" s="53" t="s">
        <v>27</v>
      </c>
      <c r="B42" s="53"/>
      <c r="C42" s="53"/>
      <c r="D42" s="53"/>
      <c r="E42" s="53"/>
      <c r="F42" s="53"/>
      <c r="G42" s="53"/>
      <c r="H42" s="53"/>
    </row>
    <row r="43" spans="1:8" ht="15" customHeight="1" x14ac:dyDescent="0.2">
      <c r="A43" s="53" t="s">
        <v>28</v>
      </c>
      <c r="B43" s="53"/>
      <c r="C43" s="53"/>
      <c r="D43" s="53"/>
      <c r="E43" s="53"/>
      <c r="F43" s="53"/>
      <c r="G43" s="53"/>
      <c r="H43" s="53"/>
    </row>
    <row r="44" spans="1:8" ht="15" customHeight="1" x14ac:dyDescent="0.2">
      <c r="A44" s="53" t="s">
        <v>29</v>
      </c>
      <c r="B44" s="53"/>
      <c r="C44" s="53"/>
      <c r="D44" s="53"/>
      <c r="E44" s="53"/>
      <c r="F44" s="53"/>
      <c r="G44" s="53"/>
      <c r="H44" s="53"/>
    </row>
    <row r="45" spans="1:8" ht="15" customHeight="1" x14ac:dyDescent="0.2">
      <c r="A45" s="53" t="s">
        <v>30</v>
      </c>
      <c r="B45" s="53"/>
      <c r="C45" s="53"/>
      <c r="D45" s="53"/>
      <c r="E45" s="53"/>
      <c r="F45" s="53"/>
      <c r="G45" s="53"/>
      <c r="H45" s="53"/>
    </row>
    <row r="46" spans="1:8" ht="15" customHeight="1" x14ac:dyDescent="0.2">
      <c r="A46" s="53" t="s">
        <v>31</v>
      </c>
      <c r="B46" s="53"/>
      <c r="C46" s="53"/>
      <c r="D46" s="53"/>
      <c r="E46" s="53"/>
      <c r="F46" s="53"/>
      <c r="G46" s="53"/>
      <c r="H46" s="53"/>
    </row>
    <row r="47" spans="1:8" ht="15" customHeight="1" x14ac:dyDescent="0.2">
      <c r="A47" s="53" t="s">
        <v>32</v>
      </c>
      <c r="B47" s="53"/>
      <c r="C47" s="53"/>
      <c r="D47" s="53"/>
      <c r="E47" s="53"/>
      <c r="F47" s="53"/>
      <c r="G47" s="53"/>
      <c r="H47" s="53"/>
    </row>
    <row r="48" spans="1:8" ht="15" customHeight="1" x14ac:dyDescent="0.2">
      <c r="A48" s="6"/>
      <c r="B48" s="6"/>
      <c r="C48" s="6"/>
      <c r="D48" s="6"/>
      <c r="E48" s="6"/>
      <c r="F48" s="6"/>
      <c r="G48" s="6"/>
      <c r="H48" s="6"/>
    </row>
    <row r="49" spans="1:8" ht="15" customHeight="1" x14ac:dyDescent="0.2">
      <c r="A49" s="51" t="s">
        <v>8</v>
      </c>
      <c r="B49" s="51"/>
      <c r="C49" s="51"/>
      <c r="D49" s="51"/>
      <c r="E49" s="51"/>
      <c r="F49" s="51"/>
      <c r="G49" s="51"/>
      <c r="H49" s="51"/>
    </row>
    <row r="50" spans="1:8" ht="15" customHeight="1" x14ac:dyDescent="0.2">
      <c r="A50" s="2" t="s">
        <v>20</v>
      </c>
      <c r="B50" s="7">
        <v>100</v>
      </c>
      <c r="C50" s="6"/>
      <c r="D50" s="6"/>
      <c r="E50" s="6"/>
      <c r="F50" s="6"/>
      <c r="G50" s="6"/>
      <c r="H50" s="6"/>
    </row>
    <row r="51" spans="1:8" ht="15" customHeight="1" x14ac:dyDescent="0.2">
      <c r="A51" s="6" t="s">
        <v>21</v>
      </c>
      <c r="B51" s="8">
        <v>350</v>
      </c>
      <c r="C51" s="6"/>
      <c r="D51" s="6"/>
      <c r="E51" s="6"/>
      <c r="F51" s="6"/>
      <c r="G51" s="6"/>
      <c r="H51" s="6"/>
    </row>
    <row r="52" spans="1:8" ht="15" customHeight="1" x14ac:dyDescent="0.2">
      <c r="A52" s="2" t="s">
        <v>11</v>
      </c>
      <c r="B52" s="8">
        <v>340</v>
      </c>
      <c r="C52" s="6"/>
      <c r="D52" s="6"/>
      <c r="E52" s="6"/>
      <c r="F52" s="6"/>
      <c r="G52" s="6"/>
      <c r="H52" s="6"/>
    </row>
    <row r="53" spans="1:8" ht="15" customHeight="1" x14ac:dyDescent="0.2">
      <c r="A53" s="2" t="s">
        <v>10</v>
      </c>
      <c r="B53" s="8">
        <v>30</v>
      </c>
      <c r="C53" s="6"/>
      <c r="D53" s="6"/>
      <c r="E53" s="6"/>
      <c r="F53" s="6"/>
      <c r="G53" s="6"/>
      <c r="H53" s="6"/>
    </row>
    <row r="54" spans="1:8" ht="15" customHeight="1" x14ac:dyDescent="0.2">
      <c r="A54" s="6"/>
      <c r="B54" s="6"/>
      <c r="C54" s="6"/>
      <c r="D54" s="6"/>
      <c r="E54" s="6"/>
      <c r="F54" s="6"/>
      <c r="G54" s="6"/>
      <c r="H54" s="6"/>
    </row>
    <row r="55" spans="1:8" ht="15" customHeight="1" x14ac:dyDescent="0.2">
      <c r="A55" s="6"/>
      <c r="B55" s="37" t="s">
        <v>33</v>
      </c>
      <c r="C55" s="6"/>
      <c r="D55" s="6"/>
      <c r="E55" s="6"/>
      <c r="F55" s="6"/>
      <c r="G55" s="6"/>
      <c r="H55" s="6"/>
    </row>
    <row r="56" spans="1:8" ht="15" customHeight="1" x14ac:dyDescent="0.2">
      <c r="A56" s="6" t="s">
        <v>34</v>
      </c>
      <c r="B56" s="8">
        <f>B50*B51</f>
        <v>35000</v>
      </c>
      <c r="C56" s="6"/>
      <c r="D56" s="6"/>
      <c r="E56" s="6"/>
      <c r="F56" s="6"/>
      <c r="G56" s="6"/>
      <c r="H56" s="6"/>
    </row>
    <row r="57" spans="1:8" ht="15" customHeight="1" x14ac:dyDescent="0.2">
      <c r="A57" s="6" t="s">
        <v>35</v>
      </c>
      <c r="B57" s="8">
        <f>B50*B53</f>
        <v>3000</v>
      </c>
      <c r="C57" s="6"/>
      <c r="D57" s="6"/>
      <c r="E57" s="6"/>
      <c r="F57" s="6"/>
      <c r="G57" s="6"/>
      <c r="H57" s="6"/>
    </row>
    <row r="58" spans="1:8" ht="15" customHeight="1" x14ac:dyDescent="0.2">
      <c r="A58" s="6"/>
      <c r="B58" s="52" t="s">
        <v>12</v>
      </c>
      <c r="C58" s="52"/>
      <c r="D58" s="6"/>
      <c r="E58" s="6"/>
      <c r="F58" s="6"/>
      <c r="G58" s="6"/>
      <c r="H58" s="6"/>
    </row>
    <row r="59" spans="1:8" ht="15" customHeight="1" x14ac:dyDescent="0.2">
      <c r="A59" s="6"/>
      <c r="B59" s="8">
        <v>400</v>
      </c>
      <c r="C59" s="8">
        <v>300</v>
      </c>
      <c r="D59" s="6"/>
      <c r="E59" s="6"/>
      <c r="F59" s="6"/>
      <c r="G59" s="6"/>
      <c r="H59" s="6"/>
    </row>
    <row r="60" spans="1:8" ht="15" customHeight="1" x14ac:dyDescent="0.2">
      <c r="A60" s="6" t="s">
        <v>36</v>
      </c>
      <c r="B60" s="8">
        <f>$B$50*(B59-$B$51)</f>
        <v>5000</v>
      </c>
      <c r="C60" s="8">
        <f>$B$50*(C59-$B$51)</f>
        <v>-5000</v>
      </c>
      <c r="D60" s="6"/>
      <c r="E60" s="6"/>
      <c r="F60" s="6"/>
      <c r="G60" s="6"/>
      <c r="H60" s="6"/>
    </row>
    <row r="61" spans="1:8" ht="15" customHeight="1" x14ac:dyDescent="0.2">
      <c r="A61" s="6" t="s">
        <v>37</v>
      </c>
      <c r="B61" s="8">
        <f>$B$50*(MAX(B59-$B$52,0)-$B$53)</f>
        <v>3000</v>
      </c>
      <c r="C61" s="8">
        <f>$B$50*(MAX(C59-$B$52,0)-$B$53)</f>
        <v>-3000</v>
      </c>
      <c r="D61" s="6"/>
      <c r="E61" s="6"/>
      <c r="F61" s="6"/>
      <c r="G61" s="6"/>
      <c r="H61" s="6"/>
    </row>
  </sheetData>
  <mergeCells count="29">
    <mergeCell ref="A22:H22"/>
    <mergeCell ref="A23:H23"/>
    <mergeCell ref="A24:H24"/>
    <mergeCell ref="A25:H25"/>
    <mergeCell ref="A26:H26"/>
    <mergeCell ref="A28:H28"/>
    <mergeCell ref="B34:E34"/>
    <mergeCell ref="A39:H39"/>
    <mergeCell ref="A49:H49"/>
    <mergeCell ref="B58:C58"/>
    <mergeCell ref="A40:H40"/>
    <mergeCell ref="A41:H41"/>
    <mergeCell ref="A42:H42"/>
    <mergeCell ref="A43:H43"/>
    <mergeCell ref="A44:H44"/>
    <mergeCell ref="A45:H45"/>
    <mergeCell ref="A46:H46"/>
    <mergeCell ref="A47:H47"/>
    <mergeCell ref="A1:H1"/>
    <mergeCell ref="A3:H3"/>
    <mergeCell ref="A11:H11"/>
    <mergeCell ref="B15:C15"/>
    <mergeCell ref="A21:H21"/>
    <mergeCell ref="A4:H4"/>
    <mergeCell ref="A5:H5"/>
    <mergeCell ref="A6:H6"/>
    <mergeCell ref="A7:H7"/>
    <mergeCell ref="A8:H8"/>
    <mergeCell ref="A9:H9"/>
  </mergeCells>
  <pageMargins left="0.35" right="0.35" top="0.45" bottom="0.45" header="0.2" footer="0.2"/>
  <pageSetup paperSize="9" fitToHeight="0" orientation="landscape"/>
  <headerFooter>
    <oddFooter>&amp;L&amp;"Times New Roman,Regular"&amp;8John C. Hull – 12a edizione&amp;C&amp;"Times New Roman,Regular"&amp;8Ulteriori Domande&amp;R&amp;"Times New Roman,Regular"&amp;8&amp;A |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36878"/>
    <pageSetUpPr fitToPage="1"/>
  </sheetPr>
  <dimension ref="A1:H43"/>
  <sheetViews>
    <sheetView showGridLines="0" zoomScaleNormal="100" workbookViewId="0">
      <pane ySplit="2" topLeftCell="A3" activePane="bottomLeft" state="frozen"/>
      <selection sqref="A1:H1"/>
      <selection pane="bottomLeft" sqref="A1:H1"/>
    </sheetView>
  </sheetViews>
  <sheetFormatPr defaultRowHeight="15" customHeight="1" x14ac:dyDescent="0.2"/>
  <cols>
    <col min="1" max="1" width="26.28515625" style="39" customWidth="1"/>
    <col min="2" max="2" width="13.85546875" style="39" customWidth="1"/>
    <col min="3" max="3" width="12.5703125" style="39" customWidth="1"/>
    <col min="4" max="4" width="15.140625" style="39" customWidth="1"/>
    <col min="5" max="5" width="13.85546875" style="39" customWidth="1"/>
    <col min="6" max="6" width="12.5703125" style="39" customWidth="1"/>
    <col min="7" max="7" width="15.140625" style="39" customWidth="1"/>
    <col min="8" max="8" width="13.85546875" style="39" customWidth="1"/>
    <col min="9" max="16384" width="9.140625" style="39"/>
  </cols>
  <sheetData>
    <row r="1" spans="1:8" ht="15" customHeight="1" x14ac:dyDescent="0.2">
      <c r="A1" s="50" t="s">
        <v>38</v>
      </c>
      <c r="B1" s="51"/>
      <c r="C1" s="51"/>
      <c r="D1" s="51"/>
      <c r="E1" s="51"/>
      <c r="F1" s="51"/>
      <c r="G1" s="51"/>
      <c r="H1" s="51"/>
    </row>
    <row r="2" spans="1:8" ht="15" customHeight="1" x14ac:dyDescent="0.2">
      <c r="A2" s="6"/>
      <c r="B2" s="6"/>
      <c r="C2" s="6"/>
      <c r="D2" s="6"/>
      <c r="E2" s="6"/>
      <c r="F2" s="6"/>
      <c r="G2" s="6"/>
      <c r="H2" s="6"/>
    </row>
    <row r="3" spans="1:8" ht="15" customHeight="1" x14ac:dyDescent="0.2">
      <c r="A3" s="51" t="s">
        <v>39</v>
      </c>
      <c r="B3" s="51"/>
      <c r="C3" s="51"/>
      <c r="D3" s="51"/>
      <c r="E3" s="51"/>
      <c r="F3" s="51"/>
      <c r="G3" s="51"/>
      <c r="H3" s="51"/>
    </row>
    <row r="4" spans="1:8" ht="15" customHeight="1" x14ac:dyDescent="0.2">
      <c r="A4" s="53" t="s">
        <v>40</v>
      </c>
      <c r="B4" s="53"/>
      <c r="C4" s="53"/>
      <c r="D4" s="53"/>
      <c r="E4" s="53"/>
      <c r="F4" s="53"/>
      <c r="G4" s="53"/>
      <c r="H4" s="53"/>
    </row>
    <row r="5" spans="1:8" ht="15" customHeight="1" x14ac:dyDescent="0.2">
      <c r="A5" s="53" t="s">
        <v>41</v>
      </c>
      <c r="B5" s="53"/>
      <c r="C5" s="53"/>
      <c r="D5" s="53"/>
      <c r="E5" s="53"/>
      <c r="F5" s="53"/>
      <c r="G5" s="53"/>
      <c r="H5" s="53"/>
    </row>
    <row r="6" spans="1:8" ht="15" customHeight="1" x14ac:dyDescent="0.2">
      <c r="A6" s="53" t="s">
        <v>42</v>
      </c>
      <c r="B6" s="53"/>
      <c r="C6" s="53"/>
      <c r="D6" s="53"/>
      <c r="E6" s="53"/>
      <c r="F6" s="53"/>
      <c r="G6" s="53"/>
      <c r="H6" s="53"/>
    </row>
    <row r="7" spans="1:8" ht="15" customHeight="1" x14ac:dyDescent="0.2">
      <c r="A7" s="53" t="s">
        <v>43</v>
      </c>
      <c r="B7" s="53"/>
      <c r="C7" s="53"/>
      <c r="D7" s="53"/>
      <c r="E7" s="53"/>
      <c r="F7" s="53"/>
      <c r="G7" s="53"/>
      <c r="H7" s="53"/>
    </row>
    <row r="8" spans="1:8" ht="15" customHeight="1" x14ac:dyDescent="0.2">
      <c r="A8" s="53" t="s">
        <v>44</v>
      </c>
      <c r="B8" s="53"/>
      <c r="C8" s="53"/>
      <c r="D8" s="53"/>
      <c r="E8" s="53"/>
      <c r="F8" s="53"/>
      <c r="G8" s="53"/>
      <c r="H8" s="53"/>
    </row>
    <row r="9" spans="1:8" ht="15" customHeight="1" x14ac:dyDescent="0.2">
      <c r="A9" s="53" t="s">
        <v>45</v>
      </c>
      <c r="B9" s="53"/>
      <c r="C9" s="53"/>
      <c r="D9" s="53"/>
      <c r="E9" s="53"/>
      <c r="F9" s="53"/>
      <c r="G9" s="53"/>
      <c r="H9" s="53"/>
    </row>
    <row r="10" spans="1:8" ht="15" customHeight="1" x14ac:dyDescent="0.2">
      <c r="A10" s="53" t="s">
        <v>46</v>
      </c>
      <c r="B10" s="53"/>
      <c r="C10" s="53"/>
      <c r="D10" s="53"/>
      <c r="E10" s="53"/>
      <c r="F10" s="53"/>
      <c r="G10" s="53"/>
      <c r="H10" s="53"/>
    </row>
    <row r="11" spans="1:8" ht="15" customHeight="1" x14ac:dyDescent="0.2">
      <c r="A11" s="6"/>
      <c r="B11" s="6"/>
      <c r="C11" s="6"/>
      <c r="D11" s="6"/>
      <c r="E11" s="6"/>
      <c r="F11" s="6"/>
      <c r="G11" s="6"/>
      <c r="H11" s="6"/>
    </row>
    <row r="12" spans="1:8" ht="15" customHeight="1" x14ac:dyDescent="0.2">
      <c r="A12" s="51" t="s">
        <v>8</v>
      </c>
      <c r="B12" s="51"/>
      <c r="C12" s="51"/>
      <c r="D12" s="51"/>
      <c r="E12" s="51"/>
      <c r="F12" s="51"/>
      <c r="G12" s="51"/>
      <c r="H12" s="51"/>
    </row>
    <row r="13" spans="1:8" ht="15" customHeight="1" x14ac:dyDescent="0.2">
      <c r="A13" s="6" t="s">
        <v>47</v>
      </c>
      <c r="B13" s="8">
        <v>7700</v>
      </c>
      <c r="C13" s="6"/>
      <c r="D13" s="6"/>
      <c r="E13" s="6"/>
      <c r="F13" s="6"/>
      <c r="G13" s="6"/>
      <c r="H13" s="6"/>
    </row>
    <row r="14" spans="1:8" ht="15" customHeight="1" x14ac:dyDescent="0.2">
      <c r="A14" s="6" t="s">
        <v>48</v>
      </c>
      <c r="B14" s="8">
        <v>7500</v>
      </c>
      <c r="C14" s="6"/>
      <c r="D14" s="6"/>
      <c r="E14" s="6"/>
      <c r="F14" s="6"/>
      <c r="G14" s="6"/>
      <c r="H14" s="6"/>
    </row>
    <row r="15" spans="1:8" ht="15" customHeight="1" x14ac:dyDescent="0.2">
      <c r="A15" s="2" t="s">
        <v>49</v>
      </c>
      <c r="B15" s="7">
        <v>50</v>
      </c>
      <c r="C15" s="6"/>
      <c r="D15" s="6"/>
      <c r="E15" s="6"/>
      <c r="F15" s="6"/>
      <c r="G15" s="6"/>
      <c r="H15" s="6"/>
    </row>
    <row r="16" spans="1:8" ht="15" customHeight="1" x14ac:dyDescent="0.2">
      <c r="A16" s="2" t="s">
        <v>50</v>
      </c>
      <c r="B16" s="7">
        <v>50</v>
      </c>
      <c r="C16" s="6"/>
      <c r="D16" s="6"/>
      <c r="E16" s="6"/>
      <c r="F16" s="6"/>
      <c r="G16" s="6"/>
      <c r="H16" s="6"/>
    </row>
    <row r="17" spans="1:8" ht="15" customHeight="1" x14ac:dyDescent="0.2">
      <c r="A17" s="6" t="s">
        <v>51</v>
      </c>
      <c r="B17" s="8">
        <v>1250000</v>
      </c>
      <c r="C17" s="6"/>
      <c r="D17" s="6"/>
      <c r="E17" s="6"/>
      <c r="F17" s="6"/>
      <c r="G17" s="6"/>
      <c r="H17" s="6"/>
    </row>
    <row r="18" spans="1:8" ht="15" customHeight="1" x14ac:dyDescent="0.2">
      <c r="A18" s="6" t="s">
        <v>52</v>
      </c>
      <c r="B18" s="8">
        <v>1000000</v>
      </c>
      <c r="C18" s="6"/>
      <c r="D18" s="6"/>
      <c r="E18" s="6"/>
      <c r="F18" s="6"/>
      <c r="G18" s="6"/>
      <c r="H18" s="6"/>
    </row>
    <row r="19" spans="1:8" ht="15" customHeight="1" x14ac:dyDescent="0.2">
      <c r="A19" s="6"/>
      <c r="B19" s="6"/>
      <c r="C19" s="6"/>
      <c r="D19" s="6"/>
      <c r="E19" s="6"/>
      <c r="F19" s="6"/>
      <c r="G19" s="6"/>
      <c r="H19" s="6"/>
    </row>
    <row r="20" spans="1:8" ht="15" customHeight="1" x14ac:dyDescent="0.2">
      <c r="A20" s="6" t="s">
        <v>53</v>
      </c>
      <c r="B20" s="8">
        <f>B15*B16*(B14-B13)</f>
        <v>-500000</v>
      </c>
      <c r="C20" s="6"/>
      <c r="D20" s="6"/>
      <c r="E20" s="6"/>
      <c r="F20" s="6"/>
      <c r="G20" s="6"/>
      <c r="H20" s="6"/>
    </row>
    <row r="21" spans="1:8" ht="15" customHeight="1" x14ac:dyDescent="0.2">
      <c r="A21" s="6" t="s">
        <v>54</v>
      </c>
      <c r="B21" s="8">
        <f>B15*B16*(B13-B14)</f>
        <v>500000</v>
      </c>
      <c r="C21" s="6"/>
      <c r="D21" s="6"/>
      <c r="E21" s="6"/>
      <c r="F21" s="6"/>
      <c r="G21" s="6"/>
      <c r="H21" s="6"/>
    </row>
    <row r="22" spans="1:8" ht="15" customHeight="1" x14ac:dyDescent="0.2">
      <c r="A22" s="6" t="s">
        <v>55</v>
      </c>
      <c r="B22" s="8">
        <f>B17+B20</f>
        <v>750000</v>
      </c>
      <c r="C22" s="6"/>
      <c r="D22" s="6"/>
      <c r="E22" s="6"/>
      <c r="F22" s="6"/>
      <c r="G22" s="6"/>
      <c r="H22" s="6"/>
    </row>
    <row r="23" spans="1:8" ht="15" customHeight="1" x14ac:dyDescent="0.2">
      <c r="A23" s="6" t="s">
        <v>56</v>
      </c>
      <c r="B23" s="8">
        <f>B17-B22</f>
        <v>500000</v>
      </c>
      <c r="C23" s="6"/>
      <c r="D23" s="6"/>
      <c r="E23" s="6"/>
      <c r="F23" s="6"/>
      <c r="G23" s="6"/>
      <c r="H23" s="6"/>
    </row>
    <row r="24" spans="1:8" ht="15" customHeight="1" x14ac:dyDescent="0.2">
      <c r="A24" s="6"/>
      <c r="B24" s="6"/>
      <c r="C24" s="6"/>
      <c r="D24" s="6"/>
      <c r="E24" s="6"/>
      <c r="F24" s="6"/>
      <c r="G24" s="6"/>
      <c r="H24" s="6"/>
    </row>
    <row r="25" spans="1:8" ht="15" customHeight="1" x14ac:dyDescent="0.2">
      <c r="A25" s="6"/>
      <c r="B25" s="6"/>
      <c r="C25" s="6"/>
      <c r="D25" s="6"/>
      <c r="E25" s="6"/>
      <c r="F25" s="6"/>
      <c r="G25" s="6"/>
      <c r="H25" s="6"/>
    </row>
    <row r="26" spans="1:8" ht="15" customHeight="1" x14ac:dyDescent="0.2">
      <c r="A26" s="51" t="s">
        <v>57</v>
      </c>
      <c r="B26" s="51"/>
      <c r="C26" s="51"/>
      <c r="D26" s="51"/>
      <c r="E26" s="51"/>
      <c r="F26" s="51"/>
      <c r="G26" s="51"/>
      <c r="H26" s="51"/>
    </row>
    <row r="27" spans="1:8" ht="15" customHeight="1" x14ac:dyDescent="0.2">
      <c r="A27" s="53" t="s">
        <v>58</v>
      </c>
      <c r="B27" s="53"/>
      <c r="C27" s="53"/>
      <c r="D27" s="53"/>
      <c r="E27" s="53"/>
      <c r="F27" s="53"/>
      <c r="G27" s="53"/>
      <c r="H27" s="53"/>
    </row>
    <row r="28" spans="1:8" ht="15" customHeight="1" x14ac:dyDescent="0.2">
      <c r="A28" s="53" t="s">
        <v>59</v>
      </c>
      <c r="B28" s="53"/>
      <c r="C28" s="53"/>
      <c r="D28" s="53"/>
      <c r="E28" s="53"/>
      <c r="F28" s="53"/>
      <c r="G28" s="53"/>
      <c r="H28" s="53"/>
    </row>
    <row r="29" spans="1:8" ht="15" customHeight="1" x14ac:dyDescent="0.2">
      <c r="A29" s="53" t="s">
        <v>60</v>
      </c>
      <c r="B29" s="53"/>
      <c r="C29" s="53"/>
      <c r="D29" s="53"/>
      <c r="E29" s="53"/>
      <c r="F29" s="53"/>
      <c r="G29" s="53"/>
      <c r="H29" s="53"/>
    </row>
    <row r="30" spans="1:8" ht="15" customHeight="1" x14ac:dyDescent="0.2">
      <c r="A30" s="6"/>
      <c r="B30" s="6"/>
      <c r="C30" s="6"/>
      <c r="D30" s="6"/>
      <c r="E30" s="6"/>
      <c r="F30" s="6"/>
      <c r="G30" s="6"/>
      <c r="H30" s="6"/>
    </row>
    <row r="31" spans="1:8" ht="15" customHeight="1" x14ac:dyDescent="0.2">
      <c r="A31" s="51" t="s">
        <v>8</v>
      </c>
      <c r="B31" s="51"/>
      <c r="C31" s="51"/>
      <c r="D31" s="51"/>
      <c r="E31" s="51"/>
      <c r="F31" s="51"/>
      <c r="G31" s="51"/>
      <c r="H31" s="51"/>
    </row>
    <row r="32" spans="1:8" ht="15" customHeight="1" x14ac:dyDescent="0.2">
      <c r="A32" s="6" t="s">
        <v>47</v>
      </c>
      <c r="B32" s="9">
        <v>7.21</v>
      </c>
      <c r="C32" s="6"/>
      <c r="D32" s="6"/>
      <c r="E32" s="6"/>
      <c r="F32" s="6"/>
      <c r="G32" s="6"/>
      <c r="H32" s="6"/>
    </row>
    <row r="33" spans="1:8" ht="15" customHeight="1" x14ac:dyDescent="0.2">
      <c r="A33" s="6" t="s">
        <v>48</v>
      </c>
      <c r="B33" s="9">
        <v>6.76</v>
      </c>
      <c r="C33" s="6"/>
      <c r="D33" s="6"/>
      <c r="E33" s="6"/>
      <c r="F33" s="6"/>
      <c r="G33" s="6"/>
      <c r="H33" s="6"/>
    </row>
    <row r="34" spans="1:8" ht="15" customHeight="1" x14ac:dyDescent="0.2">
      <c r="A34" s="6" t="s">
        <v>61</v>
      </c>
      <c r="B34" s="9">
        <v>7.12</v>
      </c>
      <c r="C34" s="6"/>
      <c r="D34" s="6"/>
      <c r="E34" s="6"/>
      <c r="F34" s="6"/>
      <c r="G34" s="6"/>
      <c r="H34" s="6"/>
    </row>
    <row r="35" spans="1:8" ht="15" customHeight="1" x14ac:dyDescent="0.2">
      <c r="A35" s="2" t="s">
        <v>49</v>
      </c>
      <c r="B35" s="7">
        <v>1</v>
      </c>
      <c r="C35" s="6"/>
      <c r="D35" s="6"/>
      <c r="E35" s="6"/>
      <c r="F35" s="6"/>
      <c r="G35" s="6"/>
      <c r="H35" s="6"/>
    </row>
    <row r="36" spans="1:8" ht="15" customHeight="1" x14ac:dyDescent="0.2">
      <c r="A36" s="2" t="s">
        <v>50</v>
      </c>
      <c r="B36" s="7">
        <v>5000</v>
      </c>
      <c r="C36" s="6"/>
      <c r="D36" s="6"/>
      <c r="E36" s="6"/>
      <c r="F36" s="6"/>
      <c r="G36" s="6"/>
      <c r="H36" s="6"/>
    </row>
    <row r="37" spans="1:8" ht="15" customHeight="1" x14ac:dyDescent="0.2">
      <c r="A37" s="6"/>
      <c r="B37" s="6"/>
      <c r="C37" s="6"/>
      <c r="D37" s="6"/>
      <c r="E37" s="6"/>
      <c r="F37" s="6"/>
      <c r="G37" s="6"/>
      <c r="H37" s="6"/>
    </row>
    <row r="38" spans="1:8" ht="15" customHeight="1" x14ac:dyDescent="0.2">
      <c r="A38" s="6" t="s">
        <v>36</v>
      </c>
      <c r="B38" s="8">
        <f>B35*B36*(B32-B33)</f>
        <v>2250.0000000000009</v>
      </c>
      <c r="C38" s="6"/>
      <c r="D38" s="6"/>
      <c r="E38" s="6"/>
      <c r="F38" s="6"/>
      <c r="G38" s="6"/>
      <c r="H38" s="6"/>
    </row>
    <row r="39" spans="1:8" ht="15" customHeight="1" x14ac:dyDescent="0.2">
      <c r="A39" s="6" t="s">
        <v>37</v>
      </c>
      <c r="B39" s="8">
        <f>B35*B36*(B33-B34)</f>
        <v>-1800.0000000000016</v>
      </c>
      <c r="C39" s="6"/>
      <c r="D39" s="6"/>
      <c r="E39" s="6"/>
      <c r="F39" s="6"/>
      <c r="G39" s="6"/>
      <c r="H39" s="6"/>
    </row>
    <row r="40" spans="1:8" ht="15" customHeight="1" x14ac:dyDescent="0.2">
      <c r="A40" s="6"/>
      <c r="B40" s="6"/>
      <c r="C40" s="6"/>
      <c r="D40" s="6"/>
      <c r="E40" s="6"/>
      <c r="F40" s="6"/>
      <c r="G40" s="6"/>
      <c r="H40" s="6"/>
    </row>
    <row r="41" spans="1:8" ht="15" customHeight="1" x14ac:dyDescent="0.2">
      <c r="A41" s="6"/>
      <c r="B41" s="6"/>
      <c r="C41" s="6"/>
      <c r="D41" s="6"/>
      <c r="E41" s="6"/>
      <c r="F41" s="6"/>
      <c r="G41" s="6"/>
      <c r="H41" s="6"/>
    </row>
    <row r="42" spans="1:8" ht="15" customHeight="1" x14ac:dyDescent="0.2">
      <c r="A42" s="6"/>
      <c r="B42" s="6"/>
      <c r="C42" s="6"/>
      <c r="D42" s="6"/>
      <c r="E42" s="6"/>
      <c r="F42" s="6"/>
      <c r="G42" s="6"/>
      <c r="H42" s="6"/>
    </row>
    <row r="43" spans="1:8" ht="15" customHeight="1" x14ac:dyDescent="0.2">
      <c r="A43" s="6"/>
      <c r="B43" s="6"/>
      <c r="C43" s="6"/>
      <c r="D43" s="6"/>
      <c r="E43" s="6"/>
      <c r="F43" s="6"/>
      <c r="G43" s="6"/>
      <c r="H43" s="6"/>
    </row>
  </sheetData>
  <mergeCells count="15">
    <mergeCell ref="A28:H28"/>
    <mergeCell ref="A29:H29"/>
    <mergeCell ref="A31:H31"/>
    <mergeCell ref="A4:H4"/>
    <mergeCell ref="A5:H5"/>
    <mergeCell ref="A6:H6"/>
    <mergeCell ref="A7:H7"/>
    <mergeCell ref="A8:H8"/>
    <mergeCell ref="A9:H9"/>
    <mergeCell ref="A10:H10"/>
    <mergeCell ref="A1:H1"/>
    <mergeCell ref="A3:H3"/>
    <mergeCell ref="A12:H12"/>
    <mergeCell ref="A26:H26"/>
    <mergeCell ref="A27:H27"/>
  </mergeCells>
  <pageMargins left="0.35" right="0.35" top="0.45" bottom="0.45" header="0.2" footer="0.2"/>
  <pageSetup paperSize="9" fitToHeight="0" orientation="landscape"/>
  <headerFooter>
    <oddFooter>&amp;L&amp;"Times New Roman,Regular"&amp;8John C. Hull – 12a edizione&amp;C&amp;"Times New Roman,Regular"&amp;8Ulteriori Domande&amp;R&amp;"Times New Roman,Regular"&amp;8&amp;A |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36878"/>
    <pageSetUpPr fitToPage="1"/>
  </sheetPr>
  <dimension ref="A1:H56"/>
  <sheetViews>
    <sheetView showGridLines="0" zoomScaleNormal="100" workbookViewId="0">
      <pane ySplit="2" topLeftCell="A3" activePane="bottomLeft" state="frozen"/>
      <selection sqref="A1:H1"/>
      <selection pane="bottomLeft" sqref="A1:H1"/>
    </sheetView>
  </sheetViews>
  <sheetFormatPr defaultRowHeight="15" customHeight="1" x14ac:dyDescent="0.2"/>
  <cols>
    <col min="1" max="1" width="31.28515625" style="39" customWidth="1"/>
    <col min="2" max="5" width="13.85546875" style="39" customWidth="1"/>
    <col min="6" max="6" width="10.140625" style="39" customWidth="1"/>
    <col min="7" max="7" width="11.28515625" style="39" customWidth="1"/>
    <col min="8" max="8" width="12.5703125" style="39" customWidth="1"/>
    <col min="9" max="16384" width="9.140625" style="39"/>
  </cols>
  <sheetData>
    <row r="1" spans="1:8" ht="15" customHeight="1" x14ac:dyDescent="0.2">
      <c r="A1" s="50" t="s">
        <v>62</v>
      </c>
      <c r="B1" s="51"/>
      <c r="C1" s="51"/>
      <c r="D1" s="51"/>
      <c r="E1" s="51"/>
      <c r="F1" s="51"/>
      <c r="G1" s="51"/>
      <c r="H1" s="51"/>
    </row>
    <row r="2" spans="1:8" ht="15" customHeight="1" x14ac:dyDescent="0.2">
      <c r="A2" s="6"/>
      <c r="B2" s="6"/>
      <c r="C2" s="6"/>
      <c r="D2" s="6"/>
      <c r="E2" s="6"/>
      <c r="F2" s="6"/>
      <c r="G2" s="6"/>
      <c r="H2" s="6"/>
    </row>
    <row r="3" spans="1:8" ht="15" customHeight="1" x14ac:dyDescent="0.2">
      <c r="A3" s="51" t="s">
        <v>63</v>
      </c>
      <c r="B3" s="51"/>
      <c r="C3" s="51"/>
      <c r="D3" s="51"/>
      <c r="E3" s="51"/>
      <c r="F3" s="51"/>
      <c r="G3" s="51"/>
      <c r="H3" s="51"/>
    </row>
    <row r="4" spans="1:8" ht="15" customHeight="1" x14ac:dyDescent="0.2">
      <c r="A4" s="53" t="s">
        <v>64</v>
      </c>
      <c r="B4" s="53"/>
      <c r="C4" s="53"/>
      <c r="D4" s="53"/>
      <c r="E4" s="53"/>
      <c r="F4" s="53"/>
      <c r="G4" s="53"/>
      <c r="H4" s="53"/>
    </row>
    <row r="5" spans="1:8" ht="15" customHeight="1" x14ac:dyDescent="0.2">
      <c r="A5" s="53" t="s">
        <v>65</v>
      </c>
      <c r="B5" s="53"/>
      <c r="C5" s="53"/>
      <c r="D5" s="53"/>
      <c r="E5" s="53"/>
      <c r="F5" s="53"/>
      <c r="G5" s="53"/>
      <c r="H5" s="53"/>
    </row>
    <row r="6" spans="1:8" ht="15" customHeight="1" x14ac:dyDescent="0.2">
      <c r="A6" s="53" t="s">
        <v>66</v>
      </c>
      <c r="B6" s="53"/>
      <c r="C6" s="53"/>
      <c r="D6" s="53"/>
      <c r="E6" s="53"/>
      <c r="F6" s="53"/>
      <c r="G6" s="53"/>
      <c r="H6" s="53"/>
    </row>
    <row r="7" spans="1:8" ht="15" customHeight="1" x14ac:dyDescent="0.2">
      <c r="A7" s="53" t="s">
        <v>67</v>
      </c>
      <c r="B7" s="53"/>
      <c r="C7" s="53"/>
      <c r="D7" s="53"/>
      <c r="E7" s="53"/>
      <c r="F7" s="53"/>
      <c r="G7" s="53"/>
      <c r="H7" s="53"/>
    </row>
    <row r="8" spans="1:8" ht="15" customHeight="1" x14ac:dyDescent="0.2">
      <c r="A8" s="53" t="s">
        <v>68</v>
      </c>
      <c r="B8" s="53"/>
      <c r="C8" s="53"/>
      <c r="D8" s="53"/>
      <c r="E8" s="53"/>
      <c r="F8" s="53"/>
      <c r="G8" s="53"/>
      <c r="H8" s="53"/>
    </row>
    <row r="9" spans="1:8" ht="15" customHeight="1" x14ac:dyDescent="0.2">
      <c r="A9" s="6"/>
      <c r="B9" s="6"/>
      <c r="C9" s="6"/>
      <c r="D9" s="6"/>
      <c r="E9" s="6"/>
      <c r="F9" s="6"/>
      <c r="G9" s="6"/>
      <c r="H9" s="6"/>
    </row>
    <row r="10" spans="1:8" ht="15" customHeight="1" x14ac:dyDescent="0.2">
      <c r="A10" s="6"/>
      <c r="B10" s="1" t="s">
        <v>69</v>
      </c>
      <c r="C10" s="1" t="s">
        <v>70</v>
      </c>
      <c r="D10" s="1" t="s">
        <v>71</v>
      </c>
      <c r="E10" s="1" t="s">
        <v>72</v>
      </c>
      <c r="F10" s="6"/>
      <c r="G10" s="6"/>
      <c r="H10" s="6"/>
    </row>
    <row r="11" spans="1:8" ht="15" customHeight="1" x14ac:dyDescent="0.2">
      <c r="A11" s="6" t="s">
        <v>73</v>
      </c>
      <c r="B11" s="10">
        <v>3.65</v>
      </c>
      <c r="C11" s="10">
        <v>3</v>
      </c>
      <c r="D11" s="10" t="s">
        <v>74</v>
      </c>
      <c r="E11" s="10" t="s">
        <v>74</v>
      </c>
      <c r="F11" s="6"/>
      <c r="G11" s="6"/>
      <c r="H11" s="6"/>
    </row>
    <row r="12" spans="1:8" ht="15" customHeight="1" x14ac:dyDescent="0.2">
      <c r="A12" s="6" t="s">
        <v>75</v>
      </c>
      <c r="B12" s="10" t="s">
        <v>74</v>
      </c>
      <c r="C12" s="10">
        <v>2.95</v>
      </c>
      <c r="D12" s="10">
        <v>2.7</v>
      </c>
      <c r="E12" s="10" t="s">
        <v>74</v>
      </c>
      <c r="F12" s="6"/>
      <c r="G12" s="6"/>
      <c r="H12" s="6"/>
    </row>
    <row r="13" spans="1:8" ht="15" customHeight="1" x14ac:dyDescent="0.2">
      <c r="A13" s="6" t="s">
        <v>76</v>
      </c>
      <c r="B13" s="10" t="s">
        <v>74</v>
      </c>
      <c r="C13" s="10" t="s">
        <v>74</v>
      </c>
      <c r="D13" s="10">
        <v>2.65</v>
      </c>
      <c r="E13" s="10">
        <v>2.5</v>
      </c>
      <c r="F13" s="6"/>
      <c r="G13" s="6"/>
      <c r="H13" s="6"/>
    </row>
    <row r="14" spans="1:8" ht="15" customHeight="1" x14ac:dyDescent="0.2">
      <c r="A14" s="6" t="s">
        <v>77</v>
      </c>
      <c r="B14" s="10">
        <v>3.67</v>
      </c>
      <c r="C14" s="10" t="s">
        <v>74</v>
      </c>
      <c r="D14" s="10" t="s">
        <v>74</v>
      </c>
      <c r="E14" s="10">
        <v>2.5</v>
      </c>
      <c r="F14" s="6"/>
      <c r="G14" s="6"/>
      <c r="H14" s="6"/>
    </row>
    <row r="15" spans="1:8" ht="15" customHeight="1" x14ac:dyDescent="0.2">
      <c r="A15" s="6"/>
      <c r="B15" s="6"/>
      <c r="C15" s="6"/>
      <c r="D15" s="6"/>
      <c r="E15" s="6"/>
      <c r="F15" s="6"/>
      <c r="G15" s="6"/>
      <c r="H15" s="6"/>
    </row>
    <row r="16" spans="1:8" ht="15" customHeight="1" x14ac:dyDescent="0.2">
      <c r="A16" s="6"/>
      <c r="B16" s="6"/>
      <c r="C16" s="6"/>
      <c r="D16" s="6"/>
      <c r="E16" s="6"/>
      <c r="F16" s="6"/>
      <c r="G16" s="6"/>
      <c r="H16" s="6"/>
    </row>
    <row r="17" spans="1:8" ht="15" customHeight="1" x14ac:dyDescent="0.2">
      <c r="A17" s="51" t="s">
        <v>8</v>
      </c>
      <c r="B17" s="51"/>
      <c r="C17" s="51"/>
      <c r="D17" s="51"/>
      <c r="E17" s="51"/>
      <c r="F17" s="51"/>
      <c r="G17" s="51"/>
      <c r="H17" s="51"/>
    </row>
    <row r="18" spans="1:8" ht="15" customHeight="1" x14ac:dyDescent="0.2">
      <c r="A18" s="6" t="s">
        <v>78</v>
      </c>
      <c r="B18" s="6" t="s">
        <v>69</v>
      </c>
      <c r="C18" s="6" t="s">
        <v>70</v>
      </c>
      <c r="D18" s="11" t="s">
        <v>71</v>
      </c>
      <c r="E18" s="11" t="s">
        <v>72</v>
      </c>
      <c r="F18" s="6"/>
      <c r="G18" s="6"/>
      <c r="H18" s="6"/>
    </row>
    <row r="19" spans="1:8" ht="15" customHeight="1" x14ac:dyDescent="0.2">
      <c r="A19" s="6" t="s">
        <v>73</v>
      </c>
      <c r="B19" s="12">
        <v>3.65</v>
      </c>
      <c r="C19" s="12">
        <v>3</v>
      </c>
      <c r="D19" s="14" t="s">
        <v>74</v>
      </c>
      <c r="E19" s="14" t="s">
        <v>74</v>
      </c>
      <c r="F19" s="6"/>
      <c r="G19" s="6"/>
      <c r="H19" s="6"/>
    </row>
    <row r="20" spans="1:8" ht="15" customHeight="1" x14ac:dyDescent="0.2">
      <c r="A20" s="6" t="s">
        <v>75</v>
      </c>
      <c r="B20" s="14" t="s">
        <v>74</v>
      </c>
      <c r="C20" s="12">
        <v>2.95</v>
      </c>
      <c r="D20" s="12">
        <v>2.7</v>
      </c>
      <c r="E20" s="14" t="s">
        <v>74</v>
      </c>
      <c r="F20" s="6"/>
      <c r="G20" s="6"/>
      <c r="H20" s="6"/>
    </row>
    <row r="21" spans="1:8" ht="15" customHeight="1" x14ac:dyDescent="0.2">
      <c r="A21" s="6" t="s">
        <v>76</v>
      </c>
      <c r="B21" s="14" t="s">
        <v>74</v>
      </c>
      <c r="C21" s="14" t="s">
        <v>74</v>
      </c>
      <c r="D21" s="12">
        <v>2.65</v>
      </c>
      <c r="E21" s="12">
        <v>2.5</v>
      </c>
      <c r="F21" s="6"/>
      <c r="G21" s="6"/>
      <c r="H21" s="6"/>
    </row>
    <row r="22" spans="1:8" ht="15" customHeight="1" x14ac:dyDescent="0.2">
      <c r="A22" s="6" t="s">
        <v>77</v>
      </c>
      <c r="B22" s="12">
        <v>3.67</v>
      </c>
      <c r="C22" s="14" t="s">
        <v>74</v>
      </c>
      <c r="D22" s="14" t="s">
        <v>74</v>
      </c>
      <c r="E22" s="12">
        <v>2.5</v>
      </c>
      <c r="F22" s="6"/>
      <c r="G22" s="6"/>
      <c r="H22" s="6"/>
    </row>
    <row r="23" spans="1:8" ht="15" customHeight="1" x14ac:dyDescent="0.2">
      <c r="A23" s="6"/>
      <c r="B23" s="6"/>
      <c r="C23" s="6"/>
      <c r="D23" s="6"/>
      <c r="E23" s="6"/>
      <c r="F23" s="6"/>
      <c r="G23" s="6"/>
      <c r="H23" s="6"/>
    </row>
    <row r="24" spans="1:8" ht="15" customHeight="1" x14ac:dyDescent="0.2">
      <c r="A24" s="2" t="s">
        <v>79</v>
      </c>
      <c r="B24" s="15">
        <v>0.8</v>
      </c>
      <c r="C24" s="6"/>
      <c r="D24" s="6"/>
      <c r="E24" s="6"/>
      <c r="F24" s="6"/>
      <c r="G24" s="6"/>
      <c r="H24" s="6"/>
    </row>
    <row r="25" spans="1:8" ht="15" customHeight="1" x14ac:dyDescent="0.2">
      <c r="A25" s="2" t="s">
        <v>80</v>
      </c>
      <c r="B25" s="7">
        <v>100000</v>
      </c>
      <c r="C25" s="6"/>
      <c r="D25" s="6"/>
      <c r="E25" s="6"/>
      <c r="F25" s="6"/>
      <c r="G25" s="6"/>
      <c r="H25" s="6"/>
    </row>
    <row r="26" spans="1:8" ht="15" customHeight="1" x14ac:dyDescent="0.2">
      <c r="A26" s="6" t="s">
        <v>23</v>
      </c>
      <c r="B26" s="16">
        <f>B24*B25*((C19-B19)+(D20-C20)+(E21-D21))</f>
        <v>-83999.999999999985</v>
      </c>
      <c r="C26" s="6"/>
      <c r="D26" s="6"/>
      <c r="E26" s="6"/>
      <c r="F26" s="6"/>
      <c r="G26" s="6"/>
      <c r="H26" s="6"/>
    </row>
    <row r="27" spans="1:8" ht="15" customHeight="1" x14ac:dyDescent="0.2">
      <c r="A27" s="6"/>
      <c r="B27" s="6"/>
      <c r="C27" s="6"/>
      <c r="D27" s="6"/>
      <c r="E27" s="6"/>
      <c r="F27" s="6"/>
      <c r="G27" s="6"/>
      <c r="H27" s="6"/>
    </row>
    <row r="28" spans="1:8" ht="15" customHeight="1" x14ac:dyDescent="0.2">
      <c r="A28" s="6"/>
      <c r="B28" s="6"/>
      <c r="C28" s="6"/>
      <c r="D28" s="6"/>
      <c r="E28" s="6"/>
      <c r="F28" s="6"/>
      <c r="G28" s="6"/>
      <c r="H28" s="6"/>
    </row>
    <row r="29" spans="1:8" ht="15" customHeight="1" x14ac:dyDescent="0.2">
      <c r="A29" s="51" t="s">
        <v>81</v>
      </c>
      <c r="B29" s="51"/>
      <c r="C29" s="51"/>
      <c r="D29" s="51"/>
      <c r="E29" s="51"/>
      <c r="F29" s="51"/>
      <c r="G29" s="51"/>
      <c r="H29" s="51"/>
    </row>
    <row r="30" spans="1:8" ht="15" customHeight="1" x14ac:dyDescent="0.2">
      <c r="A30" s="53" t="s">
        <v>82</v>
      </c>
      <c r="B30" s="53"/>
      <c r="C30" s="53"/>
      <c r="D30" s="53"/>
      <c r="E30" s="53"/>
      <c r="F30" s="53"/>
      <c r="G30" s="53"/>
      <c r="H30" s="53"/>
    </row>
    <row r="31" spans="1:8" ht="15" customHeight="1" x14ac:dyDescent="0.2">
      <c r="A31" s="53" t="s">
        <v>83</v>
      </c>
      <c r="B31" s="53"/>
      <c r="C31" s="53"/>
      <c r="D31" s="53"/>
      <c r="E31" s="53"/>
      <c r="F31" s="53"/>
      <c r="G31" s="53"/>
      <c r="H31" s="53"/>
    </row>
    <row r="32" spans="1:8" ht="15" customHeight="1" x14ac:dyDescent="0.2">
      <c r="A32" s="53" t="s">
        <v>84</v>
      </c>
      <c r="B32" s="53"/>
      <c r="C32" s="53"/>
      <c r="D32" s="53"/>
      <c r="E32" s="53"/>
      <c r="F32" s="53"/>
      <c r="G32" s="53"/>
      <c r="H32" s="53"/>
    </row>
    <row r="33" spans="1:8" ht="15" customHeight="1" x14ac:dyDescent="0.2">
      <c r="A33" s="53" t="s">
        <v>85</v>
      </c>
      <c r="B33" s="53"/>
      <c r="C33" s="53"/>
      <c r="D33" s="53"/>
      <c r="E33" s="53"/>
      <c r="F33" s="53"/>
      <c r="G33" s="53"/>
      <c r="H33" s="53"/>
    </row>
    <row r="34" spans="1:8" ht="15" customHeight="1" x14ac:dyDescent="0.2">
      <c r="A34" s="53" t="s">
        <v>86</v>
      </c>
      <c r="B34" s="53"/>
      <c r="C34" s="53"/>
      <c r="D34" s="53"/>
      <c r="E34" s="53"/>
      <c r="F34" s="53"/>
      <c r="G34" s="53"/>
      <c r="H34" s="53"/>
    </row>
    <row r="35" spans="1:8" ht="15" customHeight="1" x14ac:dyDescent="0.2">
      <c r="A35" s="53" t="s">
        <v>87</v>
      </c>
      <c r="B35" s="53"/>
      <c r="C35" s="53"/>
      <c r="D35" s="53"/>
      <c r="E35" s="53"/>
      <c r="F35" s="53"/>
      <c r="G35" s="53"/>
      <c r="H35" s="53"/>
    </row>
    <row r="36" spans="1:8" ht="15" customHeight="1" x14ac:dyDescent="0.2">
      <c r="A36" s="53" t="s">
        <v>88</v>
      </c>
      <c r="B36" s="53"/>
      <c r="C36" s="53"/>
      <c r="D36" s="53"/>
      <c r="E36" s="53"/>
      <c r="F36" s="53"/>
      <c r="G36" s="53"/>
      <c r="H36" s="53"/>
    </row>
    <row r="37" spans="1:8" ht="15" customHeight="1" x14ac:dyDescent="0.2">
      <c r="A37" s="53" t="s">
        <v>89</v>
      </c>
      <c r="B37" s="53"/>
      <c r="C37" s="53"/>
      <c r="D37" s="53"/>
      <c r="E37" s="53"/>
      <c r="F37" s="53"/>
      <c r="G37" s="53"/>
      <c r="H37" s="53"/>
    </row>
    <row r="38" spans="1:8" ht="15" customHeight="1" x14ac:dyDescent="0.2">
      <c r="A38" s="6"/>
      <c r="B38" s="6"/>
      <c r="C38" s="6"/>
      <c r="D38" s="6"/>
      <c r="E38" s="6"/>
      <c r="F38" s="6"/>
      <c r="G38" s="6"/>
      <c r="H38" s="6"/>
    </row>
    <row r="39" spans="1:8" ht="15" customHeight="1" x14ac:dyDescent="0.2">
      <c r="A39" s="51" t="s">
        <v>8</v>
      </c>
      <c r="B39" s="51"/>
      <c r="C39" s="51"/>
      <c r="D39" s="51"/>
      <c r="E39" s="51"/>
      <c r="F39" s="51"/>
      <c r="G39" s="51"/>
      <c r="H39" s="51"/>
    </row>
    <row r="40" spans="1:8" ht="15" customHeight="1" x14ac:dyDescent="0.2">
      <c r="A40" s="2" t="s">
        <v>90</v>
      </c>
      <c r="B40" s="10">
        <v>0.86</v>
      </c>
      <c r="C40" s="6"/>
      <c r="D40" s="6"/>
      <c r="E40" s="6"/>
      <c r="F40" s="6"/>
      <c r="G40" s="6"/>
      <c r="H40" s="6"/>
    </row>
    <row r="41" spans="1:8" ht="15" customHeight="1" x14ac:dyDescent="0.2">
      <c r="A41" s="2" t="s">
        <v>91</v>
      </c>
      <c r="B41" s="10">
        <v>0.8</v>
      </c>
      <c r="C41" s="6"/>
      <c r="D41" s="6"/>
      <c r="E41" s="6"/>
      <c r="F41" s="6"/>
      <c r="G41" s="6"/>
      <c r="H41" s="6"/>
    </row>
    <row r="42" spans="1:8" ht="15" customHeight="1" x14ac:dyDescent="0.2">
      <c r="A42" s="2" t="s">
        <v>92</v>
      </c>
      <c r="B42" s="15">
        <v>0.95</v>
      </c>
      <c r="C42" s="6"/>
      <c r="D42" s="6"/>
      <c r="E42" s="6"/>
      <c r="F42" s="6"/>
      <c r="G42" s="6"/>
      <c r="H42" s="6"/>
    </row>
    <row r="43" spans="1:8" ht="15" customHeight="1" x14ac:dyDescent="0.2">
      <c r="A43" s="2" t="s">
        <v>80</v>
      </c>
      <c r="B43" s="7">
        <v>55000</v>
      </c>
      <c r="C43" s="6"/>
      <c r="D43" s="6"/>
      <c r="E43" s="6"/>
      <c r="F43" s="6"/>
      <c r="G43" s="6"/>
      <c r="H43" s="6"/>
    </row>
    <row r="44" spans="1:8" ht="15" customHeight="1" x14ac:dyDescent="0.2">
      <c r="A44" s="2" t="s">
        <v>93</v>
      </c>
      <c r="B44" s="7">
        <v>5000</v>
      </c>
      <c r="C44" s="6"/>
      <c r="D44" s="6"/>
      <c r="E44" s="6"/>
      <c r="F44" s="6"/>
      <c r="G44" s="6"/>
      <c r="H44" s="6"/>
    </row>
    <row r="45" spans="1:8" ht="15" customHeight="1" x14ac:dyDescent="0.2">
      <c r="A45" s="2" t="s">
        <v>21</v>
      </c>
      <c r="B45" s="10">
        <v>65</v>
      </c>
      <c r="C45" s="6"/>
      <c r="D45" s="6"/>
      <c r="E45" s="6"/>
      <c r="F45" s="6"/>
      <c r="G45" s="6"/>
      <c r="H45" s="6"/>
    </row>
    <row r="46" spans="1:8" ht="15" customHeight="1" x14ac:dyDescent="0.2">
      <c r="A46" s="2" t="s">
        <v>47</v>
      </c>
      <c r="B46" s="10">
        <v>66.5</v>
      </c>
      <c r="C46" s="6"/>
      <c r="D46" s="6"/>
      <c r="E46" s="6"/>
      <c r="F46" s="6"/>
      <c r="G46" s="6"/>
      <c r="H46" s="6"/>
    </row>
    <row r="47" spans="1:8" ht="15" customHeight="1" x14ac:dyDescent="0.2">
      <c r="A47" s="6"/>
      <c r="B47" s="6"/>
      <c r="C47" s="6"/>
      <c r="D47" s="6"/>
      <c r="E47" s="6"/>
      <c r="F47" s="6"/>
      <c r="G47" s="6"/>
      <c r="H47" s="6"/>
    </row>
    <row r="48" spans="1:8" ht="15" customHeight="1" x14ac:dyDescent="0.2">
      <c r="A48" s="6"/>
      <c r="B48" s="6"/>
      <c r="C48" s="6"/>
      <c r="D48" s="6"/>
      <c r="E48" s="6"/>
      <c r="F48" s="6"/>
      <c r="G48" s="6"/>
      <c r="H48" s="6"/>
    </row>
    <row r="49" spans="1:8" ht="15" customHeight="1" x14ac:dyDescent="0.2">
      <c r="A49" s="6"/>
      <c r="B49" s="6"/>
      <c r="C49" s="6"/>
      <c r="D49" s="6"/>
      <c r="E49" s="6"/>
      <c r="F49" s="6"/>
      <c r="G49" s="6"/>
      <c r="H49" s="6"/>
    </row>
    <row r="50" spans="1:8" ht="15" customHeight="1" x14ac:dyDescent="0.2">
      <c r="A50" s="2" t="s">
        <v>94</v>
      </c>
      <c r="B50" s="15">
        <f>B40/B41*B42</f>
        <v>1.02125</v>
      </c>
      <c r="C50" s="6"/>
      <c r="D50" s="6"/>
      <c r="E50" s="6"/>
      <c r="F50" s="6"/>
      <c r="G50" s="6"/>
      <c r="H50" s="6"/>
    </row>
    <row r="51" spans="1:8" ht="15" customHeight="1" x14ac:dyDescent="0.2">
      <c r="A51" s="2" t="s">
        <v>49</v>
      </c>
      <c r="B51" s="13">
        <f>B50*B43/B44</f>
        <v>11.233750000000001</v>
      </c>
      <c r="C51" s="6"/>
      <c r="D51" s="6"/>
      <c r="E51" s="6"/>
      <c r="F51" s="6"/>
      <c r="G51" s="6"/>
      <c r="H51" s="6"/>
    </row>
    <row r="52" spans="1:8" ht="15" customHeight="1" x14ac:dyDescent="0.2">
      <c r="A52" s="2" t="s">
        <v>95</v>
      </c>
      <c r="B52" s="13">
        <f>B50*B43*B45/(B44*B46)</f>
        <v>10.980357142857143</v>
      </c>
      <c r="C52" s="6"/>
      <c r="D52" s="6"/>
      <c r="E52" s="6"/>
      <c r="F52" s="6"/>
      <c r="G52" s="6"/>
      <c r="H52" s="6"/>
    </row>
    <row r="53" spans="1:8" ht="15" customHeight="1" x14ac:dyDescent="0.2">
      <c r="A53" s="6"/>
      <c r="B53" s="6"/>
      <c r="C53" s="6"/>
      <c r="D53" s="6"/>
      <c r="E53" s="6"/>
      <c r="F53" s="6"/>
      <c r="G53" s="6"/>
      <c r="H53" s="6"/>
    </row>
    <row r="54" spans="1:8" ht="15" customHeight="1" x14ac:dyDescent="0.2">
      <c r="A54" s="6"/>
      <c r="B54" s="6"/>
      <c r="C54" s="6"/>
      <c r="D54" s="6"/>
      <c r="E54" s="6"/>
      <c r="F54" s="6"/>
      <c r="G54" s="6"/>
      <c r="H54" s="6"/>
    </row>
    <row r="55" spans="1:8" ht="15" customHeight="1" x14ac:dyDescent="0.2">
      <c r="A55" s="6"/>
      <c r="B55" s="6"/>
      <c r="C55" s="6"/>
      <c r="D55" s="6"/>
      <c r="E55" s="6"/>
      <c r="F55" s="6"/>
      <c r="G55" s="6"/>
      <c r="H55" s="6"/>
    </row>
    <row r="56" spans="1:8" ht="15" customHeight="1" x14ac:dyDescent="0.2">
      <c r="A56" s="6"/>
      <c r="B56" s="6"/>
      <c r="C56" s="6"/>
      <c r="D56" s="6"/>
      <c r="E56" s="6"/>
      <c r="F56" s="6"/>
      <c r="G56" s="6"/>
      <c r="H56" s="6"/>
    </row>
  </sheetData>
  <mergeCells count="18">
    <mergeCell ref="A7:H7"/>
    <mergeCell ref="A8:H8"/>
    <mergeCell ref="A17:H17"/>
    <mergeCell ref="A29:H29"/>
    <mergeCell ref="A39:H39"/>
    <mergeCell ref="A30:H30"/>
    <mergeCell ref="A31:H31"/>
    <mergeCell ref="A32:H32"/>
    <mergeCell ref="A33:H33"/>
    <mergeCell ref="A34:H34"/>
    <mergeCell ref="A35:H35"/>
    <mergeCell ref="A36:H36"/>
    <mergeCell ref="A37:H37"/>
    <mergeCell ref="A1:H1"/>
    <mergeCell ref="A3:H3"/>
    <mergeCell ref="A4:H4"/>
    <mergeCell ref="A5:H5"/>
    <mergeCell ref="A6:H6"/>
  </mergeCells>
  <pageMargins left="0.35" right="0.35" top="0.45" bottom="0.45" header="0.2" footer="0.2"/>
  <pageSetup paperSize="9" fitToHeight="0" orientation="landscape"/>
  <headerFooter>
    <oddFooter>&amp;L&amp;"Times New Roman,Regular"&amp;8John C. Hull – 12a edizione&amp;C&amp;"Times New Roman,Regular"&amp;8Ulteriori Domande&amp;R&amp;"Times New Roman,Regular"&amp;8&amp;A |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36878"/>
    <pageSetUpPr fitToPage="1"/>
  </sheetPr>
  <dimension ref="A1:H49"/>
  <sheetViews>
    <sheetView showGridLines="0" zoomScaleNormal="100" workbookViewId="0">
      <pane ySplit="2" topLeftCell="A3" activePane="bottomLeft" state="frozen"/>
      <selection sqref="A1:H1"/>
      <selection pane="bottomLeft" sqref="A1:H1"/>
    </sheetView>
  </sheetViews>
  <sheetFormatPr defaultRowHeight="15" customHeight="1" x14ac:dyDescent="0.2"/>
  <cols>
    <col min="1" max="1" width="18.85546875" style="39" customWidth="1"/>
    <col min="2" max="2" width="17.5703125" style="39" customWidth="1"/>
    <col min="3" max="3" width="11.28515625" style="39" customWidth="1"/>
    <col min="4" max="4" width="13.85546875" style="39" customWidth="1"/>
    <col min="5" max="5" width="17" style="39" customWidth="1"/>
    <col min="6" max="6" width="13.85546875" style="39" customWidth="1"/>
    <col min="7" max="7" width="15.140625" style="39" customWidth="1"/>
    <col min="8" max="8" width="13.85546875" style="39" customWidth="1"/>
    <col min="9" max="16384" width="9.140625" style="39"/>
  </cols>
  <sheetData>
    <row r="1" spans="1:8" ht="15" customHeight="1" x14ac:dyDescent="0.2">
      <c r="A1" s="50" t="s">
        <v>96</v>
      </c>
      <c r="B1" s="51"/>
      <c r="C1" s="51"/>
      <c r="D1" s="51"/>
      <c r="E1" s="51"/>
      <c r="F1" s="51"/>
      <c r="G1" s="51"/>
      <c r="H1" s="51"/>
    </row>
    <row r="2" spans="1:8" ht="15" customHeight="1" x14ac:dyDescent="0.2">
      <c r="A2" s="6"/>
      <c r="B2" s="6"/>
      <c r="C2" s="6"/>
      <c r="D2" s="6"/>
      <c r="E2" s="6"/>
      <c r="F2" s="6"/>
      <c r="G2" s="6"/>
      <c r="H2" s="6"/>
    </row>
    <row r="3" spans="1:8" ht="15" customHeight="1" x14ac:dyDescent="0.2">
      <c r="A3" s="51" t="s">
        <v>97</v>
      </c>
      <c r="B3" s="51"/>
      <c r="C3" s="51"/>
      <c r="D3" s="51"/>
      <c r="E3" s="51"/>
      <c r="F3" s="51"/>
      <c r="G3" s="51"/>
      <c r="H3" s="51"/>
    </row>
    <row r="4" spans="1:8" ht="15" customHeight="1" x14ac:dyDescent="0.2">
      <c r="A4" s="53" t="s">
        <v>98</v>
      </c>
      <c r="B4" s="53"/>
      <c r="C4" s="53"/>
      <c r="D4" s="53"/>
      <c r="E4" s="53"/>
      <c r="F4" s="53"/>
      <c r="G4" s="53"/>
      <c r="H4" s="53"/>
    </row>
    <row r="5" spans="1:8" ht="15" customHeight="1" x14ac:dyDescent="0.2">
      <c r="A5" s="53" t="s">
        <v>99</v>
      </c>
      <c r="B5" s="53"/>
      <c r="C5" s="53"/>
      <c r="D5" s="53"/>
      <c r="E5" s="53"/>
      <c r="F5" s="53"/>
      <c r="G5" s="53"/>
      <c r="H5" s="53"/>
    </row>
    <row r="6" spans="1:8" ht="15" customHeight="1" x14ac:dyDescent="0.2">
      <c r="A6" s="53" t="s">
        <v>100</v>
      </c>
      <c r="B6" s="53"/>
      <c r="C6" s="53"/>
      <c r="D6" s="53"/>
      <c r="E6" s="53"/>
      <c r="F6" s="53"/>
      <c r="G6" s="53"/>
      <c r="H6" s="53"/>
    </row>
    <row r="7" spans="1:8" ht="15" customHeight="1" x14ac:dyDescent="0.2">
      <c r="A7" s="53" t="s">
        <v>101</v>
      </c>
      <c r="B7" s="53"/>
      <c r="C7" s="53"/>
      <c r="D7" s="53"/>
      <c r="E7" s="53"/>
      <c r="F7" s="53"/>
      <c r="G7" s="53"/>
      <c r="H7" s="53"/>
    </row>
    <row r="8" spans="1:8" ht="15" customHeight="1" x14ac:dyDescent="0.2">
      <c r="A8" s="53" t="s">
        <v>102</v>
      </c>
      <c r="B8" s="53"/>
      <c r="C8" s="53"/>
      <c r="D8" s="53"/>
      <c r="E8" s="53"/>
      <c r="F8" s="53"/>
      <c r="G8" s="53"/>
      <c r="H8" s="53"/>
    </row>
    <row r="9" spans="1:8" ht="15" customHeight="1" x14ac:dyDescent="0.2">
      <c r="A9" s="53" t="s">
        <v>103</v>
      </c>
      <c r="B9" s="53"/>
      <c r="C9" s="53"/>
      <c r="D9" s="53"/>
      <c r="E9" s="53"/>
      <c r="F9" s="53"/>
      <c r="G9" s="53"/>
      <c r="H9" s="53"/>
    </row>
    <row r="10" spans="1:8" ht="15" customHeight="1" x14ac:dyDescent="0.2">
      <c r="A10" s="53" t="s">
        <v>104</v>
      </c>
      <c r="B10" s="53"/>
      <c r="C10" s="53"/>
      <c r="D10" s="53"/>
      <c r="E10" s="53"/>
      <c r="F10" s="53"/>
      <c r="G10" s="53"/>
      <c r="H10" s="53"/>
    </row>
    <row r="11" spans="1:8" ht="15" customHeight="1" x14ac:dyDescent="0.2">
      <c r="A11" s="6"/>
      <c r="B11" s="6"/>
      <c r="C11" s="6"/>
      <c r="D11" s="6"/>
      <c r="E11" s="6"/>
      <c r="F11" s="6"/>
      <c r="G11" s="6"/>
      <c r="H11" s="6"/>
    </row>
    <row r="12" spans="1:8" ht="15" customHeight="1" x14ac:dyDescent="0.2">
      <c r="A12" s="51" t="s">
        <v>8</v>
      </c>
      <c r="B12" s="51"/>
      <c r="C12" s="51"/>
      <c r="D12" s="51"/>
      <c r="E12" s="51"/>
      <c r="F12" s="51"/>
      <c r="G12" s="51"/>
      <c r="H12" s="51"/>
    </row>
    <row r="13" spans="1:8" ht="15" customHeight="1" x14ac:dyDescent="0.2">
      <c r="A13" s="2" t="s">
        <v>105</v>
      </c>
      <c r="B13" s="17">
        <v>7.0000000000000007E-2</v>
      </c>
      <c r="C13" s="6"/>
      <c r="D13" s="6"/>
      <c r="E13" s="6"/>
      <c r="F13" s="6"/>
      <c r="G13" s="6"/>
      <c r="H13" s="6"/>
    </row>
    <row r="14" spans="1:8" ht="15" customHeight="1" x14ac:dyDescent="0.2">
      <c r="A14" s="2" t="s">
        <v>106</v>
      </c>
      <c r="B14" s="7">
        <v>1</v>
      </c>
      <c r="C14" s="7">
        <v>2</v>
      </c>
      <c r="D14" s="7">
        <v>4</v>
      </c>
      <c r="E14" s="7">
        <v>12</v>
      </c>
      <c r="F14" s="7">
        <v>52</v>
      </c>
      <c r="G14" s="7">
        <v>365</v>
      </c>
      <c r="H14" s="6"/>
    </row>
    <row r="15" spans="1:8" ht="15" customHeight="1" x14ac:dyDescent="0.2">
      <c r="A15" s="6"/>
      <c r="B15" s="6"/>
      <c r="C15" s="6"/>
      <c r="D15" s="6"/>
      <c r="E15" s="6"/>
      <c r="F15" s="6"/>
      <c r="G15" s="6"/>
      <c r="H15" s="6"/>
    </row>
    <row r="16" spans="1:8" ht="15" customHeight="1" x14ac:dyDescent="0.2">
      <c r="A16" s="2" t="s">
        <v>107</v>
      </c>
      <c r="B16" s="18">
        <f t="shared" ref="B16:G16" si="0">B14*((1+$B$13)^(1/B14)-1)</f>
        <v>7.0000000000000062E-2</v>
      </c>
      <c r="C16" s="18">
        <f t="shared" si="0"/>
        <v>6.8816086557720091E-2</v>
      </c>
      <c r="D16" s="18">
        <f t="shared" si="0"/>
        <v>6.8234100007245502E-2</v>
      </c>
      <c r="E16" s="18">
        <f t="shared" si="0"/>
        <v>6.7849744648863286E-2</v>
      </c>
      <c r="F16" s="18">
        <f t="shared" si="0"/>
        <v>6.770268384637923E-2</v>
      </c>
      <c r="G16" s="18">
        <f t="shared" si="0"/>
        <v>6.7664919673264823E-2</v>
      </c>
      <c r="H16" s="6"/>
    </row>
    <row r="17" spans="1:8" ht="15" customHeight="1" x14ac:dyDescent="0.2">
      <c r="A17" s="6"/>
      <c r="B17" s="6"/>
      <c r="C17" s="6"/>
      <c r="D17" s="6"/>
      <c r="E17" s="6"/>
      <c r="F17" s="6"/>
      <c r="G17" s="6"/>
      <c r="H17" s="6"/>
    </row>
    <row r="18" spans="1:8" ht="15" customHeight="1" x14ac:dyDescent="0.2">
      <c r="A18" s="6"/>
      <c r="B18" s="6"/>
      <c r="C18" s="6"/>
      <c r="D18" s="6"/>
      <c r="E18" s="6"/>
      <c r="F18" s="6"/>
      <c r="G18" s="6"/>
      <c r="H18" s="6"/>
    </row>
    <row r="19" spans="1:8" ht="15" customHeight="1" x14ac:dyDescent="0.2">
      <c r="A19" s="51" t="s">
        <v>108</v>
      </c>
      <c r="B19" s="51"/>
      <c r="C19" s="51"/>
      <c r="D19" s="51"/>
      <c r="E19" s="51"/>
      <c r="F19" s="51"/>
      <c r="G19" s="51"/>
      <c r="H19" s="51"/>
    </row>
    <row r="20" spans="1:8" ht="15" customHeight="1" x14ac:dyDescent="0.2">
      <c r="A20" s="53" t="s">
        <v>109</v>
      </c>
      <c r="B20" s="53"/>
      <c r="C20" s="53"/>
      <c r="D20" s="53"/>
      <c r="E20" s="53"/>
      <c r="F20" s="53"/>
      <c r="G20" s="53"/>
      <c r="H20" s="53"/>
    </row>
    <row r="21" spans="1:8" ht="15" customHeight="1" x14ac:dyDescent="0.2">
      <c r="A21" s="53" t="s">
        <v>110</v>
      </c>
      <c r="B21" s="53"/>
      <c r="C21" s="53"/>
      <c r="D21" s="53"/>
      <c r="E21" s="53"/>
      <c r="F21" s="53"/>
      <c r="G21" s="53"/>
      <c r="H21" s="53"/>
    </row>
    <row r="22" spans="1:8" ht="15" customHeight="1" x14ac:dyDescent="0.2">
      <c r="A22" s="6"/>
      <c r="B22" s="6"/>
      <c r="C22" s="6"/>
      <c r="D22" s="6"/>
      <c r="E22" s="6"/>
      <c r="F22" s="6"/>
      <c r="G22" s="6"/>
      <c r="H22" s="6"/>
    </row>
    <row r="23" spans="1:8" ht="15" customHeight="1" x14ac:dyDescent="0.2">
      <c r="A23" s="1" t="s">
        <v>111</v>
      </c>
      <c r="B23" s="1" t="s">
        <v>112</v>
      </c>
      <c r="C23" s="1" t="s">
        <v>113</v>
      </c>
      <c r="D23" s="1" t="s">
        <v>114</v>
      </c>
      <c r="E23" s="6"/>
      <c r="F23" s="6"/>
      <c r="G23" s="6"/>
      <c r="H23" s="6"/>
    </row>
    <row r="24" spans="1:8" ht="15" customHeight="1" x14ac:dyDescent="0.2">
      <c r="A24" s="6"/>
      <c r="B24" s="1" t="s">
        <v>115</v>
      </c>
      <c r="C24" s="6"/>
      <c r="D24" s="6"/>
      <c r="E24" s="6"/>
      <c r="F24" s="6"/>
      <c r="G24" s="6"/>
      <c r="H24" s="6"/>
    </row>
    <row r="25" spans="1:8" ht="15" customHeight="1" x14ac:dyDescent="0.2">
      <c r="A25" s="19">
        <v>0.5</v>
      </c>
      <c r="B25" s="20">
        <v>0.02</v>
      </c>
      <c r="C25" s="7">
        <v>10</v>
      </c>
      <c r="D25" s="7" t="s">
        <v>74</v>
      </c>
      <c r="E25" s="6"/>
      <c r="F25" s="6"/>
      <c r="G25" s="6"/>
      <c r="H25" s="6"/>
    </row>
    <row r="26" spans="1:8" ht="15" customHeight="1" x14ac:dyDescent="0.2">
      <c r="A26" s="19">
        <v>1</v>
      </c>
      <c r="B26" s="20">
        <v>2.3E-2</v>
      </c>
      <c r="C26" s="7">
        <v>15</v>
      </c>
      <c r="D26" s="7" t="s">
        <v>74</v>
      </c>
      <c r="E26" s="6"/>
      <c r="F26" s="6"/>
      <c r="G26" s="6"/>
      <c r="H26" s="6"/>
    </row>
    <row r="27" spans="1:8" ht="15" customHeight="1" x14ac:dyDescent="0.2">
      <c r="A27" s="19">
        <v>1.5</v>
      </c>
      <c r="B27" s="20">
        <v>2.7E-2</v>
      </c>
      <c r="C27" s="7">
        <v>10</v>
      </c>
      <c r="D27" s="7" t="s">
        <v>74</v>
      </c>
      <c r="E27" s="6"/>
      <c r="F27" s="6"/>
      <c r="G27" s="6"/>
      <c r="H27" s="6"/>
    </row>
    <row r="28" spans="1:8" ht="15" customHeight="1" x14ac:dyDescent="0.2">
      <c r="A28" s="19">
        <v>2</v>
      </c>
      <c r="B28" s="20">
        <v>3.2000000000000001E-2</v>
      </c>
      <c r="C28" s="7">
        <v>15</v>
      </c>
      <c r="D28" s="7">
        <v>1000</v>
      </c>
      <c r="E28" s="6"/>
      <c r="F28" s="6"/>
      <c r="G28" s="6"/>
      <c r="H28" s="6"/>
    </row>
    <row r="29" spans="1:8" ht="15" customHeight="1" x14ac:dyDescent="0.2">
      <c r="A29" s="6"/>
      <c r="B29" s="6"/>
      <c r="C29" s="6"/>
      <c r="D29" s="6"/>
      <c r="E29" s="6"/>
      <c r="F29" s="6"/>
      <c r="G29" s="6"/>
      <c r="H29" s="6"/>
    </row>
    <row r="30" spans="1:8" ht="15" customHeight="1" x14ac:dyDescent="0.2">
      <c r="A30" s="53" t="s">
        <v>116</v>
      </c>
      <c r="B30" s="53"/>
      <c r="C30" s="53"/>
      <c r="D30" s="53"/>
      <c r="E30" s="53"/>
      <c r="F30" s="53"/>
      <c r="G30" s="53"/>
      <c r="H30" s="53"/>
    </row>
    <row r="31" spans="1:8" ht="15" customHeight="1" x14ac:dyDescent="0.2">
      <c r="A31" s="53" t="s">
        <v>117</v>
      </c>
      <c r="B31" s="53"/>
      <c r="C31" s="53"/>
      <c r="D31" s="53"/>
      <c r="E31" s="53"/>
      <c r="F31" s="53"/>
      <c r="G31" s="53"/>
      <c r="H31" s="53"/>
    </row>
    <row r="32" spans="1:8" ht="15" customHeight="1" x14ac:dyDescent="0.2">
      <c r="A32" s="53" t="s">
        <v>118</v>
      </c>
      <c r="B32" s="53"/>
      <c r="C32" s="53"/>
      <c r="D32" s="53"/>
      <c r="E32" s="53"/>
      <c r="F32" s="53"/>
      <c r="G32" s="53"/>
      <c r="H32" s="53"/>
    </row>
    <row r="33" spans="1:8" ht="15" customHeight="1" x14ac:dyDescent="0.2">
      <c r="A33" s="6"/>
      <c r="B33" s="6"/>
      <c r="C33" s="6"/>
      <c r="D33" s="6"/>
      <c r="E33" s="6"/>
      <c r="F33" s="6"/>
      <c r="G33" s="6"/>
      <c r="H33" s="6"/>
    </row>
    <row r="34" spans="1:8" ht="15" customHeight="1" x14ac:dyDescent="0.2">
      <c r="A34" s="51" t="s">
        <v>8</v>
      </c>
      <c r="B34" s="51"/>
      <c r="C34" s="51"/>
      <c r="D34" s="51"/>
      <c r="E34" s="51"/>
      <c r="F34" s="51"/>
      <c r="G34" s="51"/>
      <c r="H34" s="51"/>
    </row>
    <row r="35" spans="1:8" ht="15" customHeight="1" x14ac:dyDescent="0.2">
      <c r="A35" s="37" t="s">
        <v>119</v>
      </c>
      <c r="B35" s="37" t="s">
        <v>112</v>
      </c>
      <c r="C35" s="37" t="s">
        <v>120</v>
      </c>
      <c r="D35" s="37" t="s">
        <v>121</v>
      </c>
      <c r="E35" s="54" t="s">
        <v>122</v>
      </c>
      <c r="F35" s="54"/>
      <c r="G35" s="54" t="s">
        <v>123</v>
      </c>
      <c r="H35" s="54"/>
    </row>
    <row r="36" spans="1:8" ht="15" customHeight="1" x14ac:dyDescent="0.2">
      <c r="A36" s="37" t="s">
        <v>124</v>
      </c>
      <c r="B36" s="37" t="s">
        <v>115</v>
      </c>
      <c r="C36" s="37" t="s">
        <v>125</v>
      </c>
      <c r="D36" s="37" t="s">
        <v>125</v>
      </c>
      <c r="E36" s="37" t="s">
        <v>126</v>
      </c>
      <c r="F36" s="37" t="s">
        <v>127</v>
      </c>
      <c r="G36" s="37" t="s">
        <v>126</v>
      </c>
      <c r="H36" s="37" t="s">
        <v>127</v>
      </c>
    </row>
    <row r="37" spans="1:8" ht="15" customHeight="1" x14ac:dyDescent="0.2">
      <c r="A37" s="21">
        <v>0.5</v>
      </c>
      <c r="B37" s="22">
        <v>0.02</v>
      </c>
      <c r="C37" s="23">
        <v>10</v>
      </c>
      <c r="D37" s="37" t="s">
        <v>74</v>
      </c>
      <c r="E37" s="25">
        <f>EXP(-B37*A37)</f>
        <v>0.99004983374916811</v>
      </c>
      <c r="F37" s="24">
        <f>EXP(-$B$43*A37)</f>
        <v>0.98419434114283166</v>
      </c>
      <c r="G37" s="13">
        <f>C37*E37</f>
        <v>9.9004983374916815</v>
      </c>
      <c r="H37" s="13">
        <f>C37*F37</f>
        <v>9.841943411428316</v>
      </c>
    </row>
    <row r="38" spans="1:8" ht="15" customHeight="1" x14ac:dyDescent="0.2">
      <c r="A38" s="21">
        <v>1</v>
      </c>
      <c r="B38" s="22">
        <v>2.3E-2</v>
      </c>
      <c r="C38" s="23">
        <v>15</v>
      </c>
      <c r="D38" s="37" t="s">
        <v>74</v>
      </c>
      <c r="E38" s="25">
        <f>EXP(-B38*A38)</f>
        <v>0.97726248377327707</v>
      </c>
      <c r="F38" s="24">
        <f>EXP(-$B$43*A38)</f>
        <v>0.96863850113757255</v>
      </c>
      <c r="G38" s="13">
        <f>C38*E38</f>
        <v>14.658937256599156</v>
      </c>
      <c r="H38" s="13">
        <f>C38*F38</f>
        <v>14.529577517063588</v>
      </c>
    </row>
    <row r="39" spans="1:8" ht="15" customHeight="1" x14ac:dyDescent="0.2">
      <c r="A39" s="21">
        <v>1.5</v>
      </c>
      <c r="B39" s="22">
        <v>2.7E-2</v>
      </c>
      <c r="C39" s="23">
        <v>10</v>
      </c>
      <c r="D39" s="37" t="s">
        <v>74</v>
      </c>
      <c r="E39" s="25">
        <f>EXP(-B39*A39)</f>
        <v>0.96030916451141302</v>
      </c>
      <c r="F39" s="24">
        <f>EXP(-$B$43*A39)</f>
        <v>0.95332853143267315</v>
      </c>
      <c r="G39" s="13">
        <f>C39*E39</f>
        <v>9.6030916451141302</v>
      </c>
      <c r="H39" s="13">
        <f>C39*F39</f>
        <v>9.5332853143267311</v>
      </c>
    </row>
    <row r="40" spans="1:8" ht="15" customHeight="1" x14ac:dyDescent="0.2">
      <c r="A40" s="21">
        <v>2</v>
      </c>
      <c r="B40" s="22">
        <v>3.2000000000000001E-2</v>
      </c>
      <c r="C40" s="23">
        <v>15</v>
      </c>
      <c r="D40" s="23">
        <v>1000</v>
      </c>
      <c r="E40" s="25">
        <f>EXP(-B40*A40)</f>
        <v>0.93800499953072947</v>
      </c>
      <c r="F40" s="24">
        <f>EXP(-$B$43*A40)</f>
        <v>0.93826054588604302</v>
      </c>
      <c r="G40" s="13">
        <f>(C40+D40)*E40</f>
        <v>952.07507452369043</v>
      </c>
      <c r="H40" s="13">
        <f>(C40+D40)*F40</f>
        <v>952.33445407433362</v>
      </c>
    </row>
    <row r="41" spans="1:8" ht="15" customHeight="1" x14ac:dyDescent="0.2">
      <c r="A41" s="6"/>
      <c r="B41" s="6"/>
      <c r="C41" s="6"/>
      <c r="D41" s="6"/>
      <c r="E41" s="6"/>
      <c r="F41" s="6"/>
      <c r="G41" s="13">
        <f>SUM(G37:G40)</f>
        <v>986.23760176289534</v>
      </c>
      <c r="H41" s="13">
        <f>SUM(H37:H40)</f>
        <v>986.23926031715223</v>
      </c>
    </row>
    <row r="42" spans="1:8" ht="15" customHeight="1" x14ac:dyDescent="0.2">
      <c r="A42" s="6"/>
      <c r="B42" s="6"/>
      <c r="C42" s="6"/>
      <c r="D42" s="6"/>
      <c r="E42" s="6"/>
      <c r="F42" s="6"/>
      <c r="G42" s="6"/>
      <c r="H42" s="6"/>
    </row>
    <row r="43" spans="1:8" ht="15" customHeight="1" x14ac:dyDescent="0.2">
      <c r="A43" s="2" t="s">
        <v>128</v>
      </c>
      <c r="B43" s="26">
        <v>3.1863800538512274E-2</v>
      </c>
      <c r="C43" s="6"/>
      <c r="D43" s="6"/>
      <c r="E43" s="6"/>
      <c r="F43" s="6"/>
      <c r="G43" s="6"/>
      <c r="H43" s="6"/>
    </row>
    <row r="44" spans="1:8" ht="15" customHeight="1" x14ac:dyDescent="0.2">
      <c r="A44" s="6"/>
      <c r="B44" s="6"/>
      <c r="C44" s="6"/>
      <c r="D44" s="6"/>
      <c r="E44" s="6"/>
      <c r="F44" s="6"/>
      <c r="G44" s="6"/>
      <c r="H44" s="6"/>
    </row>
    <row r="45" spans="1:8" ht="15" customHeight="1" x14ac:dyDescent="0.2">
      <c r="A45" s="53" t="s">
        <v>129</v>
      </c>
      <c r="B45" s="53"/>
      <c r="C45" s="53"/>
      <c r="D45" s="53"/>
      <c r="E45" s="53"/>
      <c r="F45" s="53"/>
      <c r="G45" s="53"/>
      <c r="H45" s="53"/>
    </row>
    <row r="46" spans="1:8" ht="15" customHeight="1" x14ac:dyDescent="0.2">
      <c r="A46" s="53" t="s">
        <v>130</v>
      </c>
      <c r="B46" s="53"/>
      <c r="C46" s="53"/>
      <c r="D46" s="53"/>
      <c r="E46" s="53"/>
      <c r="F46" s="53"/>
      <c r="G46" s="53"/>
      <c r="H46" s="53"/>
    </row>
    <row r="47" spans="1:8" ht="15" customHeight="1" x14ac:dyDescent="0.2">
      <c r="A47" s="6"/>
      <c r="B47" s="6"/>
      <c r="C47" s="6"/>
      <c r="D47" s="6"/>
      <c r="E47" s="6"/>
      <c r="F47" s="6"/>
      <c r="G47" s="6"/>
      <c r="H47" s="6"/>
    </row>
    <row r="48" spans="1:8" ht="15" customHeight="1" x14ac:dyDescent="0.2">
      <c r="A48" s="6"/>
      <c r="B48" s="6"/>
      <c r="C48" s="6"/>
      <c r="D48" s="6"/>
      <c r="E48" s="6"/>
      <c r="F48" s="6"/>
      <c r="G48" s="6"/>
      <c r="H48" s="6"/>
    </row>
    <row r="49" spans="1:8" ht="15" customHeight="1" x14ac:dyDescent="0.2">
      <c r="A49" s="6"/>
      <c r="B49" s="6"/>
      <c r="C49" s="6"/>
      <c r="D49" s="6"/>
      <c r="E49" s="6"/>
      <c r="F49" s="6"/>
      <c r="G49" s="6"/>
      <c r="H49" s="6"/>
    </row>
  </sheetData>
  <mergeCells count="21">
    <mergeCell ref="A46:H46"/>
    <mergeCell ref="A32:H32"/>
    <mergeCell ref="A34:H34"/>
    <mergeCell ref="E35:F35"/>
    <mergeCell ref="G35:H35"/>
    <mergeCell ref="A45:H45"/>
    <mergeCell ref="A19:H19"/>
    <mergeCell ref="A20:H20"/>
    <mergeCell ref="A21:H21"/>
    <mergeCell ref="A30:H30"/>
    <mergeCell ref="A31:H31"/>
    <mergeCell ref="A7:H7"/>
    <mergeCell ref="A8:H8"/>
    <mergeCell ref="A9:H9"/>
    <mergeCell ref="A10:H10"/>
    <mergeCell ref="A12:H12"/>
    <mergeCell ref="A1:H1"/>
    <mergeCell ref="A3:H3"/>
    <mergeCell ref="A4:H4"/>
    <mergeCell ref="A5:H5"/>
    <mergeCell ref="A6:H6"/>
  </mergeCells>
  <pageMargins left="0.35" right="0.35" top="0.45" bottom="0.45" header="0.2" footer="0.2"/>
  <pageSetup paperSize="9" fitToHeight="0" orientation="landscape"/>
  <headerFooter>
    <oddFooter>&amp;L&amp;"Times New Roman,Regular"&amp;8John C. Hull – 12a edizione&amp;C&amp;"Times New Roman,Regular"&amp;8Ulteriori Domande&amp;R&amp;"Times New Roman,Regular"&amp;8&amp;A |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36878"/>
    <pageSetUpPr fitToPage="1"/>
  </sheetPr>
  <dimension ref="A1:H47"/>
  <sheetViews>
    <sheetView showGridLines="0" zoomScaleNormal="100" workbookViewId="0">
      <pane ySplit="2" topLeftCell="A3" activePane="bottomLeft" state="frozen"/>
      <selection sqref="A1:H1"/>
      <selection pane="bottomLeft" sqref="A1:H1"/>
    </sheetView>
  </sheetViews>
  <sheetFormatPr defaultRowHeight="15" customHeight="1" x14ac:dyDescent="0.2"/>
  <cols>
    <col min="1" max="1" width="26.28515625" style="39" customWidth="1"/>
    <col min="2" max="2" width="13.85546875" style="39" customWidth="1"/>
    <col min="3" max="3" width="12.5703125" style="39" customWidth="1"/>
    <col min="4" max="4" width="15.140625" style="39" customWidth="1"/>
    <col min="5" max="5" width="13.85546875" style="39" customWidth="1"/>
    <col min="6" max="6" width="12.5703125" style="39" customWidth="1"/>
    <col min="7" max="7" width="15.140625" style="39" customWidth="1"/>
    <col min="8" max="8" width="13.85546875" style="39" customWidth="1"/>
    <col min="9" max="16384" width="9.140625" style="39"/>
  </cols>
  <sheetData>
    <row r="1" spans="1:8" ht="15" customHeight="1" x14ac:dyDescent="0.2">
      <c r="A1" s="50" t="s">
        <v>131</v>
      </c>
      <c r="B1" s="51"/>
      <c r="C1" s="51"/>
      <c r="D1" s="51"/>
      <c r="E1" s="51"/>
      <c r="F1" s="51"/>
      <c r="G1" s="51"/>
      <c r="H1" s="51"/>
    </row>
    <row r="2" spans="1:8" ht="15" customHeight="1" x14ac:dyDescent="0.2">
      <c r="A2" s="6"/>
      <c r="B2" s="6"/>
      <c r="C2" s="6"/>
      <c r="D2" s="6"/>
      <c r="E2" s="6"/>
      <c r="F2" s="6"/>
      <c r="G2" s="6"/>
      <c r="H2" s="6"/>
    </row>
    <row r="3" spans="1:8" ht="15" customHeight="1" x14ac:dyDescent="0.2">
      <c r="A3" s="51" t="s">
        <v>132</v>
      </c>
      <c r="B3" s="51"/>
      <c r="C3" s="51"/>
      <c r="D3" s="51"/>
      <c r="E3" s="51"/>
      <c r="F3" s="51"/>
      <c r="G3" s="51"/>
      <c r="H3" s="51"/>
    </row>
    <row r="4" spans="1:8" ht="15" customHeight="1" x14ac:dyDescent="0.2">
      <c r="A4" s="53" t="s">
        <v>133</v>
      </c>
      <c r="B4" s="53"/>
      <c r="C4" s="53"/>
      <c r="D4" s="53"/>
      <c r="E4" s="53"/>
      <c r="F4" s="53"/>
      <c r="G4" s="53"/>
      <c r="H4" s="53"/>
    </row>
    <row r="5" spans="1:8" ht="15" customHeight="1" x14ac:dyDescent="0.2">
      <c r="A5" s="53" t="s">
        <v>134</v>
      </c>
      <c r="B5" s="53"/>
      <c r="C5" s="53"/>
      <c r="D5" s="53"/>
      <c r="E5" s="53"/>
      <c r="F5" s="53"/>
      <c r="G5" s="53"/>
      <c r="H5" s="53"/>
    </row>
    <row r="6" spans="1:8" ht="15" customHeight="1" x14ac:dyDescent="0.2">
      <c r="A6" s="53" t="s">
        <v>135</v>
      </c>
      <c r="B6" s="53"/>
      <c r="C6" s="53"/>
      <c r="D6" s="53"/>
      <c r="E6" s="53"/>
      <c r="F6" s="53"/>
      <c r="G6" s="53"/>
      <c r="H6" s="53"/>
    </row>
    <row r="7" spans="1:8" ht="15" customHeight="1" x14ac:dyDescent="0.2">
      <c r="A7" s="53" t="s">
        <v>136</v>
      </c>
      <c r="B7" s="53"/>
      <c r="C7" s="53"/>
      <c r="D7" s="53"/>
      <c r="E7" s="53"/>
      <c r="F7" s="53"/>
      <c r="G7" s="53"/>
      <c r="H7" s="53"/>
    </row>
    <row r="8" spans="1:8" ht="15" customHeight="1" x14ac:dyDescent="0.2">
      <c r="A8" s="6"/>
      <c r="B8" s="6"/>
      <c r="C8" s="6"/>
      <c r="D8" s="6"/>
      <c r="E8" s="6"/>
      <c r="F8" s="6"/>
      <c r="G8" s="6"/>
      <c r="H8" s="6"/>
    </row>
    <row r="9" spans="1:8" ht="15" customHeight="1" x14ac:dyDescent="0.2">
      <c r="A9" s="51" t="s">
        <v>8</v>
      </c>
      <c r="B9" s="51"/>
      <c r="C9" s="51"/>
      <c r="D9" s="51"/>
      <c r="E9" s="51"/>
      <c r="F9" s="51"/>
      <c r="G9" s="51"/>
      <c r="H9" s="51"/>
    </row>
    <row r="10" spans="1:8" ht="15" customHeight="1" x14ac:dyDescent="0.2">
      <c r="A10" s="6" t="s">
        <v>21</v>
      </c>
      <c r="B10" s="8">
        <v>500</v>
      </c>
      <c r="C10" s="6"/>
      <c r="D10" s="6"/>
      <c r="E10" s="6"/>
      <c r="F10" s="6"/>
      <c r="G10" s="6"/>
      <c r="H10" s="6"/>
    </row>
    <row r="11" spans="1:8" ht="15" customHeight="1" x14ac:dyDescent="0.2">
      <c r="A11" s="2" t="s">
        <v>137</v>
      </c>
      <c r="B11" s="20">
        <v>7.4999999999999997E-2</v>
      </c>
      <c r="C11" s="6"/>
      <c r="D11" s="6"/>
      <c r="E11" s="6"/>
      <c r="F11" s="6"/>
      <c r="G11" s="6"/>
      <c r="H11" s="6"/>
    </row>
    <row r="12" spans="1:8" ht="15" customHeight="1" x14ac:dyDescent="0.2">
      <c r="A12" s="2" t="s">
        <v>138</v>
      </c>
      <c r="B12" s="17">
        <v>0.05</v>
      </c>
      <c r="C12" s="6"/>
      <c r="D12" s="6"/>
      <c r="E12" s="6"/>
      <c r="F12" s="6"/>
      <c r="G12" s="6"/>
      <c r="H12" s="6"/>
    </row>
    <row r="13" spans="1:8" ht="15" customHeight="1" x14ac:dyDescent="0.2">
      <c r="A13" s="2" t="s">
        <v>139</v>
      </c>
      <c r="B13" s="18">
        <f>2*LN(1+B12/2)</f>
        <v>4.9385225180742828E-2</v>
      </c>
      <c r="C13" s="6"/>
      <c r="D13" s="6"/>
      <c r="E13" s="6"/>
      <c r="F13" s="6"/>
      <c r="G13" s="6"/>
      <c r="H13" s="6"/>
    </row>
    <row r="14" spans="1:8" ht="15" customHeight="1" x14ac:dyDescent="0.2">
      <c r="A14" s="2" t="s">
        <v>140</v>
      </c>
      <c r="B14" s="7">
        <v>2</v>
      </c>
      <c r="C14" s="6"/>
      <c r="D14" s="6"/>
      <c r="E14" s="6"/>
      <c r="F14" s="6"/>
      <c r="G14" s="6"/>
      <c r="H14" s="6"/>
    </row>
    <row r="15" spans="1:8" ht="15" customHeight="1" x14ac:dyDescent="0.2">
      <c r="A15" s="6"/>
      <c r="B15" s="6"/>
      <c r="C15" s="6"/>
      <c r="D15" s="6"/>
      <c r="E15" s="6"/>
      <c r="F15" s="6"/>
      <c r="G15" s="6"/>
      <c r="H15" s="6"/>
    </row>
    <row r="16" spans="1:8" ht="15" customHeight="1" x14ac:dyDescent="0.2">
      <c r="A16" s="6" t="s">
        <v>47</v>
      </c>
      <c r="B16" s="12">
        <f>B10*EXP((B11-B13)*B14)</f>
        <v>526.28224067506164</v>
      </c>
      <c r="C16" s="6"/>
      <c r="D16" s="6"/>
      <c r="E16" s="6"/>
      <c r="F16" s="6"/>
      <c r="G16" s="6"/>
      <c r="H16" s="6"/>
    </row>
    <row r="17" spans="1:8" ht="15" customHeight="1" x14ac:dyDescent="0.2">
      <c r="A17" s="2" t="s">
        <v>141</v>
      </c>
      <c r="B17" s="18">
        <f>B11-B13</f>
        <v>2.5614774819257169E-2</v>
      </c>
      <c r="C17" s="6"/>
      <c r="D17" s="6"/>
      <c r="E17" s="6"/>
      <c r="F17" s="6"/>
      <c r="G17" s="6"/>
      <c r="H17" s="6"/>
    </row>
    <row r="18" spans="1:8" ht="15" customHeight="1" x14ac:dyDescent="0.2">
      <c r="A18" s="6"/>
      <c r="B18" s="6"/>
      <c r="C18" s="6"/>
      <c r="D18" s="6"/>
      <c r="E18" s="6"/>
      <c r="F18" s="6"/>
      <c r="G18" s="6"/>
      <c r="H18" s="6"/>
    </row>
    <row r="19" spans="1:8" ht="15" customHeight="1" x14ac:dyDescent="0.2">
      <c r="A19" s="6"/>
      <c r="B19" s="6"/>
      <c r="C19" s="6"/>
      <c r="D19" s="6"/>
      <c r="E19" s="6"/>
      <c r="F19" s="6"/>
      <c r="G19" s="6"/>
      <c r="H19" s="6"/>
    </row>
    <row r="20" spans="1:8" ht="15" customHeight="1" x14ac:dyDescent="0.2">
      <c r="A20" s="51" t="s">
        <v>142</v>
      </c>
      <c r="B20" s="51"/>
      <c r="C20" s="51"/>
      <c r="D20" s="51"/>
      <c r="E20" s="51"/>
      <c r="F20" s="51"/>
      <c r="G20" s="51"/>
      <c r="H20" s="51"/>
    </row>
    <row r="21" spans="1:8" ht="15" customHeight="1" x14ac:dyDescent="0.2">
      <c r="A21" s="53" t="s">
        <v>143</v>
      </c>
      <c r="B21" s="53"/>
      <c r="C21" s="53"/>
      <c r="D21" s="53"/>
      <c r="E21" s="53"/>
      <c r="F21" s="53"/>
      <c r="G21" s="53"/>
      <c r="H21" s="53"/>
    </row>
    <row r="22" spans="1:8" ht="15" customHeight="1" x14ac:dyDescent="0.2">
      <c r="A22" s="53" t="s">
        <v>144</v>
      </c>
      <c r="B22" s="53"/>
      <c r="C22" s="53"/>
      <c r="D22" s="53"/>
      <c r="E22" s="53"/>
      <c r="F22" s="53"/>
      <c r="G22" s="53"/>
      <c r="H22" s="53"/>
    </row>
    <row r="23" spans="1:8" ht="15" customHeight="1" x14ac:dyDescent="0.2">
      <c r="A23" s="53" t="s">
        <v>145</v>
      </c>
      <c r="B23" s="53"/>
      <c r="C23" s="53"/>
      <c r="D23" s="53"/>
      <c r="E23" s="53"/>
      <c r="F23" s="53"/>
      <c r="G23" s="53"/>
      <c r="H23" s="53"/>
    </row>
    <row r="24" spans="1:8" ht="15" customHeight="1" x14ac:dyDescent="0.2">
      <c r="A24" s="53" t="s">
        <v>146</v>
      </c>
      <c r="B24" s="53"/>
      <c r="C24" s="53"/>
      <c r="D24" s="53"/>
      <c r="E24" s="53"/>
      <c r="F24" s="53"/>
      <c r="G24" s="53"/>
      <c r="H24" s="53"/>
    </row>
    <row r="25" spans="1:8" ht="15" customHeight="1" x14ac:dyDescent="0.2">
      <c r="A25" s="53" t="s">
        <v>147</v>
      </c>
      <c r="B25" s="53"/>
      <c r="C25" s="53"/>
      <c r="D25" s="53"/>
      <c r="E25" s="53"/>
      <c r="F25" s="53"/>
      <c r="G25" s="53"/>
      <c r="H25" s="53"/>
    </row>
    <row r="26" spans="1:8" ht="15" customHeight="1" x14ac:dyDescent="0.2">
      <c r="A26" s="6"/>
      <c r="B26" s="6"/>
      <c r="C26" s="6"/>
      <c r="D26" s="6"/>
      <c r="E26" s="6"/>
      <c r="F26" s="6"/>
      <c r="G26" s="6"/>
      <c r="H26" s="6"/>
    </row>
    <row r="27" spans="1:8" ht="15" customHeight="1" x14ac:dyDescent="0.2">
      <c r="A27" s="51" t="s">
        <v>8</v>
      </c>
      <c r="B27" s="51"/>
      <c r="C27" s="51"/>
      <c r="D27" s="51"/>
      <c r="E27" s="51"/>
      <c r="F27" s="51"/>
      <c r="G27" s="51"/>
      <c r="H27" s="51"/>
    </row>
    <row r="28" spans="1:8" ht="15" customHeight="1" x14ac:dyDescent="0.2">
      <c r="A28" s="6" t="s">
        <v>21</v>
      </c>
      <c r="B28" s="29">
        <v>1.21</v>
      </c>
      <c r="C28" s="6"/>
      <c r="D28" s="6"/>
      <c r="E28" s="6"/>
      <c r="F28" s="6"/>
      <c r="G28" s="6"/>
      <c r="H28" s="6"/>
    </row>
    <row r="29" spans="1:8" ht="15" customHeight="1" x14ac:dyDescent="0.2">
      <c r="A29" s="6" t="s">
        <v>148</v>
      </c>
      <c r="B29" s="29">
        <v>1.2</v>
      </c>
      <c r="C29" s="6"/>
      <c r="D29" s="6"/>
      <c r="E29" s="6"/>
      <c r="F29" s="6"/>
      <c r="G29" s="6"/>
      <c r="H29" s="6"/>
    </row>
    <row r="30" spans="1:8" ht="15" customHeight="1" x14ac:dyDescent="0.2">
      <c r="A30" s="2" t="s">
        <v>137</v>
      </c>
      <c r="B30" s="20">
        <v>0.04</v>
      </c>
      <c r="C30" s="6"/>
      <c r="D30" s="6"/>
      <c r="E30" s="6"/>
      <c r="F30" s="6"/>
      <c r="G30" s="6"/>
      <c r="H30" s="6"/>
    </row>
    <row r="31" spans="1:8" ht="15" customHeight="1" x14ac:dyDescent="0.2">
      <c r="A31" s="2" t="s">
        <v>149</v>
      </c>
      <c r="B31" s="20">
        <v>5.0000000000000001E-3</v>
      </c>
      <c r="C31" s="6"/>
      <c r="D31" s="6"/>
      <c r="E31" s="6"/>
      <c r="F31" s="6"/>
      <c r="G31" s="6"/>
      <c r="H31" s="6"/>
    </row>
    <row r="32" spans="1:8" ht="15" customHeight="1" x14ac:dyDescent="0.2">
      <c r="A32" s="2" t="s">
        <v>140</v>
      </c>
      <c r="B32" s="15">
        <f>3/12</f>
        <v>0.25</v>
      </c>
      <c r="C32" s="6"/>
      <c r="D32" s="6"/>
      <c r="E32" s="6"/>
      <c r="F32" s="6"/>
      <c r="G32" s="6"/>
      <c r="H32" s="6"/>
    </row>
    <row r="33" spans="1:8" ht="15" customHeight="1" x14ac:dyDescent="0.2">
      <c r="A33" s="2" t="s">
        <v>150</v>
      </c>
      <c r="B33" s="7">
        <v>1000</v>
      </c>
      <c r="C33" s="6"/>
      <c r="D33" s="6"/>
      <c r="E33" s="6"/>
      <c r="F33" s="6"/>
      <c r="G33" s="6"/>
      <c r="H33" s="6"/>
    </row>
    <row r="34" spans="1:8" ht="15" customHeight="1" x14ac:dyDescent="0.2">
      <c r="A34" s="6"/>
      <c r="B34" s="6"/>
      <c r="C34" s="6"/>
      <c r="D34" s="6"/>
      <c r="E34" s="6"/>
      <c r="F34" s="6"/>
      <c r="G34" s="6"/>
      <c r="H34" s="6"/>
    </row>
    <row r="35" spans="1:8" ht="15" customHeight="1" x14ac:dyDescent="0.2">
      <c r="A35" s="6" t="s">
        <v>151</v>
      </c>
      <c r="B35" s="30">
        <f>B28*EXP((B30-B31)*B32)</f>
        <v>1.2206339557094625</v>
      </c>
      <c r="C35" s="6"/>
      <c r="D35" s="6"/>
      <c r="E35" s="6"/>
      <c r="F35" s="6"/>
      <c r="G35" s="6"/>
      <c r="H35" s="6"/>
    </row>
    <row r="36" spans="1:8" ht="15" customHeight="1" x14ac:dyDescent="0.2">
      <c r="A36" s="6" t="s">
        <v>152</v>
      </c>
      <c r="B36" s="10">
        <f>B33*B28</f>
        <v>1210</v>
      </c>
      <c r="C36" s="6"/>
      <c r="D36" s="6"/>
      <c r="E36" s="6"/>
      <c r="F36" s="6"/>
      <c r="G36" s="6"/>
      <c r="H36" s="6"/>
    </row>
    <row r="37" spans="1:8" ht="15" customHeight="1" x14ac:dyDescent="0.2">
      <c r="A37" s="6" t="s">
        <v>153</v>
      </c>
      <c r="B37" s="30">
        <f>B36*EXP(B30*B32)</f>
        <v>1222.1607021718432</v>
      </c>
      <c r="C37" s="6"/>
      <c r="D37" s="6"/>
      <c r="E37" s="6"/>
      <c r="F37" s="6"/>
      <c r="G37" s="6"/>
      <c r="H37" s="6"/>
    </row>
    <row r="38" spans="1:8" ht="15" customHeight="1" x14ac:dyDescent="0.2">
      <c r="A38" s="6" t="s">
        <v>154</v>
      </c>
      <c r="B38" s="31">
        <f>B37/B29</f>
        <v>1018.4672518098694</v>
      </c>
      <c r="C38" s="6"/>
      <c r="D38" s="6"/>
      <c r="E38" s="6"/>
      <c r="F38" s="6"/>
      <c r="G38" s="6"/>
      <c r="H38" s="6"/>
    </row>
    <row r="39" spans="1:8" ht="15" customHeight="1" x14ac:dyDescent="0.2">
      <c r="A39" s="6" t="s">
        <v>155</v>
      </c>
      <c r="B39" s="31">
        <f>B33*EXP(B31*B32)</f>
        <v>1001.2507815756227</v>
      </c>
      <c r="C39" s="6"/>
      <c r="D39" s="6"/>
      <c r="E39" s="6"/>
      <c r="F39" s="6"/>
      <c r="G39" s="6"/>
      <c r="H39" s="6"/>
    </row>
    <row r="40" spans="1:8" ht="15" customHeight="1" x14ac:dyDescent="0.2">
      <c r="A40" s="6" t="s">
        <v>156</v>
      </c>
      <c r="B40" s="31">
        <f>B38-B39</f>
        <v>17.216470234246685</v>
      </c>
      <c r="C40" s="6"/>
      <c r="D40" s="6"/>
      <c r="E40" s="6"/>
      <c r="F40" s="6"/>
      <c r="G40" s="6"/>
      <c r="H40" s="6"/>
    </row>
    <row r="41" spans="1:8" ht="15" customHeight="1" x14ac:dyDescent="0.2">
      <c r="A41" s="6"/>
      <c r="B41" s="6"/>
      <c r="C41" s="6"/>
      <c r="D41" s="6"/>
      <c r="E41" s="6"/>
      <c r="F41" s="6"/>
      <c r="G41" s="6"/>
      <c r="H41" s="6"/>
    </row>
    <row r="42" spans="1:8" ht="15" customHeight="1" x14ac:dyDescent="0.2">
      <c r="A42" s="53" t="s">
        <v>157</v>
      </c>
      <c r="B42" s="53"/>
      <c r="C42" s="53"/>
      <c r="D42" s="53"/>
      <c r="E42" s="53"/>
      <c r="F42" s="53"/>
      <c r="G42" s="53"/>
      <c r="H42" s="53"/>
    </row>
    <row r="43" spans="1:8" ht="15" customHeight="1" x14ac:dyDescent="0.2">
      <c r="A43" s="53" t="s">
        <v>158</v>
      </c>
      <c r="B43" s="53"/>
      <c r="C43" s="53"/>
      <c r="D43" s="53"/>
      <c r="E43" s="53"/>
      <c r="F43" s="53"/>
      <c r="G43" s="53"/>
      <c r="H43" s="53"/>
    </row>
    <row r="44" spans="1:8" ht="15" customHeight="1" x14ac:dyDescent="0.2">
      <c r="A44" s="53" t="s">
        <v>159</v>
      </c>
      <c r="B44" s="53"/>
      <c r="C44" s="53"/>
      <c r="D44" s="53"/>
      <c r="E44" s="53"/>
      <c r="F44" s="53"/>
      <c r="G44" s="53"/>
      <c r="H44" s="53"/>
    </row>
    <row r="45" spans="1:8" ht="15" customHeight="1" x14ac:dyDescent="0.2">
      <c r="A45" s="53" t="s">
        <v>160</v>
      </c>
      <c r="B45" s="53"/>
      <c r="C45" s="53"/>
      <c r="D45" s="53"/>
      <c r="E45" s="53"/>
      <c r="F45" s="53"/>
      <c r="G45" s="53"/>
      <c r="H45" s="53"/>
    </row>
    <row r="46" spans="1:8" ht="15" customHeight="1" x14ac:dyDescent="0.2">
      <c r="A46" s="53" t="s">
        <v>161</v>
      </c>
      <c r="B46" s="53"/>
      <c r="C46" s="53"/>
      <c r="D46" s="53"/>
      <c r="E46" s="53"/>
      <c r="F46" s="53"/>
      <c r="G46" s="53"/>
      <c r="H46" s="53"/>
    </row>
    <row r="47" spans="1:8" ht="15" customHeight="1" x14ac:dyDescent="0.2">
      <c r="A47" s="53" t="s">
        <v>162</v>
      </c>
      <c r="B47" s="53"/>
      <c r="C47" s="53"/>
      <c r="D47" s="53"/>
      <c r="E47" s="53"/>
      <c r="F47" s="53"/>
      <c r="G47" s="53"/>
      <c r="H47" s="53"/>
    </row>
  </sheetData>
  <mergeCells count="20">
    <mergeCell ref="A47:H47"/>
    <mergeCell ref="A42:H42"/>
    <mergeCell ref="A43:H43"/>
    <mergeCell ref="A44:H44"/>
    <mergeCell ref="A45:H45"/>
    <mergeCell ref="A46:H46"/>
    <mergeCell ref="A7:H7"/>
    <mergeCell ref="A9:H9"/>
    <mergeCell ref="A20:H20"/>
    <mergeCell ref="A27:H27"/>
    <mergeCell ref="A21:H21"/>
    <mergeCell ref="A22:H22"/>
    <mergeCell ref="A23:H23"/>
    <mergeCell ref="A24:H24"/>
    <mergeCell ref="A25:H25"/>
    <mergeCell ref="A1:H1"/>
    <mergeCell ref="A3:H3"/>
    <mergeCell ref="A4:H4"/>
    <mergeCell ref="A5:H5"/>
    <mergeCell ref="A6:H6"/>
  </mergeCells>
  <pageMargins left="0.35" right="0.35" top="0.45" bottom="0.45" header="0.2" footer="0.2"/>
  <pageSetup paperSize="9" fitToHeight="0" orientation="landscape"/>
  <headerFooter>
    <oddFooter>&amp;L&amp;"Times New Roman,Regular"&amp;8John C. Hull – 12a edizione&amp;C&amp;"Times New Roman,Regular"&amp;8Ulteriori Domande&amp;R&amp;"Times New Roman,Regular"&amp;8&amp;A |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36878"/>
    <pageSetUpPr fitToPage="1"/>
  </sheetPr>
  <dimension ref="A1:H20"/>
  <sheetViews>
    <sheetView showGridLines="0" zoomScaleNormal="100" workbookViewId="0">
      <pane ySplit="2" topLeftCell="A3" activePane="bottomLeft" state="frozen"/>
      <selection sqref="A1:H1"/>
      <selection pane="bottomLeft" sqref="A1:H1"/>
    </sheetView>
  </sheetViews>
  <sheetFormatPr defaultRowHeight="15" customHeight="1" x14ac:dyDescent="0.2"/>
  <cols>
    <col min="1" max="1" width="26.28515625" style="39" customWidth="1"/>
    <col min="2" max="2" width="13.85546875" style="39" customWidth="1"/>
    <col min="3" max="3" width="12.5703125" style="39" customWidth="1"/>
    <col min="4" max="4" width="15.140625" style="39" customWidth="1"/>
    <col min="5" max="5" width="13.85546875" style="39" customWidth="1"/>
    <col min="6" max="6" width="12.5703125" style="39" customWidth="1"/>
    <col min="7" max="7" width="15.140625" style="39" customWidth="1"/>
    <col min="8" max="8" width="13.85546875" style="39" customWidth="1"/>
    <col min="9" max="16384" width="9.140625" style="39"/>
  </cols>
  <sheetData>
    <row r="1" spans="1:8" ht="15" customHeight="1" x14ac:dyDescent="0.2">
      <c r="A1" s="50" t="s">
        <v>163</v>
      </c>
      <c r="B1" s="51"/>
      <c r="C1" s="51"/>
      <c r="D1" s="51"/>
      <c r="E1" s="51"/>
      <c r="F1" s="51"/>
      <c r="G1" s="51"/>
      <c r="H1" s="51"/>
    </row>
    <row r="2" spans="1:8" ht="15" customHeight="1" x14ac:dyDescent="0.2">
      <c r="A2" s="6"/>
      <c r="B2" s="6"/>
      <c r="C2" s="6"/>
      <c r="D2" s="6"/>
      <c r="E2" s="6"/>
      <c r="F2" s="6"/>
      <c r="G2" s="6"/>
      <c r="H2" s="6"/>
    </row>
    <row r="3" spans="1:8" ht="15" customHeight="1" x14ac:dyDescent="0.2">
      <c r="A3" s="51" t="s">
        <v>164</v>
      </c>
      <c r="B3" s="51"/>
      <c r="C3" s="51"/>
      <c r="D3" s="51"/>
      <c r="E3" s="51"/>
      <c r="F3" s="51"/>
      <c r="G3" s="51"/>
      <c r="H3" s="51"/>
    </row>
    <row r="4" spans="1:8" ht="15" customHeight="1" x14ac:dyDescent="0.2">
      <c r="A4" s="53" t="s">
        <v>165</v>
      </c>
      <c r="B4" s="53"/>
      <c r="C4" s="53"/>
      <c r="D4" s="53"/>
      <c r="E4" s="53"/>
      <c r="F4" s="53"/>
      <c r="G4" s="53"/>
      <c r="H4" s="53"/>
    </row>
    <row r="5" spans="1:8" ht="15" customHeight="1" x14ac:dyDescent="0.2">
      <c r="A5" s="53" t="s">
        <v>166</v>
      </c>
      <c r="B5" s="53"/>
      <c r="C5" s="53"/>
      <c r="D5" s="53"/>
      <c r="E5" s="53"/>
      <c r="F5" s="53"/>
      <c r="G5" s="53"/>
      <c r="H5" s="53"/>
    </row>
    <row r="6" spans="1:8" ht="15" customHeight="1" x14ac:dyDescent="0.2">
      <c r="A6" s="53" t="s">
        <v>167</v>
      </c>
      <c r="B6" s="53"/>
      <c r="C6" s="53"/>
      <c r="D6" s="53"/>
      <c r="E6" s="53"/>
      <c r="F6" s="53"/>
      <c r="G6" s="53"/>
      <c r="H6" s="53"/>
    </row>
    <row r="7" spans="1:8" ht="15" customHeight="1" x14ac:dyDescent="0.2">
      <c r="A7" s="53" t="s">
        <v>168</v>
      </c>
      <c r="B7" s="53"/>
      <c r="C7" s="53"/>
      <c r="D7" s="53"/>
      <c r="E7" s="53"/>
      <c r="F7" s="53"/>
      <c r="G7" s="53"/>
      <c r="H7" s="53"/>
    </row>
    <row r="8" spans="1:8" ht="15" customHeight="1" x14ac:dyDescent="0.2">
      <c r="A8" s="6"/>
      <c r="B8" s="6"/>
      <c r="C8" s="6"/>
      <c r="D8" s="6"/>
      <c r="E8" s="6"/>
      <c r="F8" s="6"/>
      <c r="G8" s="6"/>
      <c r="H8" s="6"/>
    </row>
    <row r="9" spans="1:8" ht="15" customHeight="1" x14ac:dyDescent="0.2">
      <c r="A9" s="51" t="s">
        <v>8</v>
      </c>
      <c r="B9" s="51"/>
      <c r="C9" s="51"/>
      <c r="D9" s="51"/>
      <c r="E9" s="51"/>
      <c r="F9" s="51"/>
      <c r="G9" s="51"/>
      <c r="H9" s="51"/>
    </row>
    <row r="10" spans="1:8" ht="15" customHeight="1" x14ac:dyDescent="0.2">
      <c r="A10" s="53" t="s">
        <v>169</v>
      </c>
      <c r="B10" s="53"/>
      <c r="C10" s="53"/>
      <c r="D10" s="53"/>
      <c r="E10" s="53"/>
      <c r="F10" s="53"/>
      <c r="G10" s="53"/>
      <c r="H10" s="53"/>
    </row>
    <row r="11" spans="1:8" ht="15" customHeight="1" x14ac:dyDescent="0.2">
      <c r="A11" s="53" t="s">
        <v>170</v>
      </c>
      <c r="B11" s="53"/>
      <c r="C11" s="53"/>
      <c r="D11" s="53"/>
      <c r="E11" s="53"/>
      <c r="F11" s="53"/>
      <c r="G11" s="53"/>
      <c r="H11" s="53"/>
    </row>
    <row r="12" spans="1:8" ht="15" customHeight="1" x14ac:dyDescent="0.2">
      <c r="A12" s="53" t="s">
        <v>171</v>
      </c>
      <c r="B12" s="53"/>
      <c r="C12" s="53"/>
      <c r="D12" s="53"/>
      <c r="E12" s="53"/>
      <c r="F12" s="53"/>
      <c r="G12" s="53"/>
      <c r="H12" s="53"/>
    </row>
    <row r="13" spans="1:8" ht="15" customHeight="1" x14ac:dyDescent="0.2">
      <c r="A13" s="53" t="s">
        <v>172</v>
      </c>
      <c r="B13" s="53"/>
      <c r="C13" s="53"/>
      <c r="D13" s="53"/>
      <c r="E13" s="53"/>
      <c r="F13" s="53"/>
      <c r="G13" s="53"/>
      <c r="H13" s="53"/>
    </row>
    <row r="14" spans="1:8" ht="15" customHeight="1" x14ac:dyDescent="0.2">
      <c r="A14" s="53" t="s">
        <v>173</v>
      </c>
      <c r="B14" s="53"/>
      <c r="C14" s="53"/>
      <c r="D14" s="53"/>
      <c r="E14" s="53"/>
      <c r="F14" s="53"/>
      <c r="G14" s="53"/>
      <c r="H14" s="53"/>
    </row>
    <row r="15" spans="1:8" ht="15" customHeight="1" x14ac:dyDescent="0.2">
      <c r="A15" s="53" t="s">
        <v>174</v>
      </c>
      <c r="B15" s="53"/>
      <c r="C15" s="53"/>
      <c r="D15" s="53"/>
      <c r="E15" s="53"/>
      <c r="F15" s="53"/>
      <c r="G15" s="53"/>
      <c r="H15" s="53"/>
    </row>
    <row r="16" spans="1:8" ht="15" customHeight="1" x14ac:dyDescent="0.2">
      <c r="A16" s="53" t="s">
        <v>175</v>
      </c>
      <c r="B16" s="53"/>
      <c r="C16" s="53"/>
      <c r="D16" s="53"/>
      <c r="E16" s="53"/>
      <c r="F16" s="53"/>
      <c r="G16" s="53"/>
      <c r="H16" s="53"/>
    </row>
    <row r="17" spans="1:8" ht="15" customHeight="1" x14ac:dyDescent="0.2">
      <c r="A17" s="6"/>
      <c r="B17" s="6"/>
      <c r="C17" s="6"/>
      <c r="D17" s="6"/>
      <c r="E17" s="6"/>
      <c r="F17" s="6"/>
      <c r="G17" s="6"/>
      <c r="H17" s="6"/>
    </row>
    <row r="18" spans="1:8" ht="15" customHeight="1" x14ac:dyDescent="0.2">
      <c r="A18" s="6"/>
      <c r="B18" s="6"/>
      <c r="C18" s="6"/>
      <c r="D18" s="6"/>
      <c r="E18" s="6"/>
      <c r="F18" s="6"/>
      <c r="G18" s="6"/>
      <c r="H18" s="6"/>
    </row>
    <row r="19" spans="1:8" ht="15" customHeight="1" x14ac:dyDescent="0.2">
      <c r="A19" s="6"/>
      <c r="B19" s="6"/>
      <c r="C19" s="6"/>
      <c r="D19" s="6"/>
      <c r="E19" s="6"/>
      <c r="F19" s="6"/>
      <c r="G19" s="6"/>
      <c r="H19" s="6"/>
    </row>
    <row r="20" spans="1:8" ht="15" customHeight="1" x14ac:dyDescent="0.2">
      <c r="A20" s="6"/>
      <c r="B20" s="6"/>
      <c r="C20" s="6"/>
      <c r="D20" s="6"/>
      <c r="E20" s="6"/>
      <c r="F20" s="6"/>
      <c r="G20" s="6"/>
      <c r="H20" s="6"/>
    </row>
  </sheetData>
  <mergeCells count="14">
    <mergeCell ref="A13:H13"/>
    <mergeCell ref="A14:H14"/>
    <mergeCell ref="A15:H15"/>
    <mergeCell ref="A16:H16"/>
    <mergeCell ref="A7:H7"/>
    <mergeCell ref="A9:H9"/>
    <mergeCell ref="A10:H10"/>
    <mergeCell ref="A11:H11"/>
    <mergeCell ref="A12:H12"/>
    <mergeCell ref="A1:H1"/>
    <mergeCell ref="A3:H3"/>
    <mergeCell ref="A4:H4"/>
    <mergeCell ref="A5:H5"/>
    <mergeCell ref="A6:H6"/>
  </mergeCells>
  <pageMargins left="0.35" right="0.35" top="0.45" bottom="0.45" header="0.2" footer="0.2"/>
  <pageSetup paperSize="9" fitToHeight="0" orientation="landscape"/>
  <headerFooter>
    <oddFooter>&amp;L&amp;"Times New Roman,Regular"&amp;8John C. Hull – 12a edizione&amp;C&amp;"Times New Roman,Regular"&amp;8Ulteriori Domande&amp;R&amp;"Times New Roman,Regular"&amp;8&amp;A |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36878"/>
    <pageSetUpPr fitToPage="1"/>
  </sheetPr>
  <dimension ref="A1:L153"/>
  <sheetViews>
    <sheetView showGridLines="0" zoomScaleNormal="100" workbookViewId="0">
      <pane ySplit="2" topLeftCell="A3" activePane="bottomLeft" state="frozen"/>
      <selection sqref="A1:H1"/>
      <selection pane="bottomLeft" sqref="A1:H1"/>
    </sheetView>
  </sheetViews>
  <sheetFormatPr defaultRowHeight="15" customHeight="1" x14ac:dyDescent="0.2"/>
  <cols>
    <col min="1" max="1" width="22.5703125" style="39" customWidth="1"/>
    <col min="2" max="3" width="12.5703125" style="39" customWidth="1"/>
    <col min="4" max="4" width="13.85546875" style="39" customWidth="1"/>
    <col min="5" max="9" width="12.5703125" style="39" customWidth="1"/>
    <col min="10" max="10" width="8.28515625" style="39" customWidth="1"/>
    <col min="11" max="12" width="12.5703125" style="39" customWidth="1"/>
    <col min="13" max="16384" width="9.140625" style="39"/>
  </cols>
  <sheetData>
    <row r="1" spans="1:12" ht="15" customHeight="1" x14ac:dyDescent="0.2">
      <c r="A1" s="50" t="s">
        <v>176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ht="15" customHeight="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" customHeight="1" x14ac:dyDescent="0.2">
      <c r="A3" s="51" t="s">
        <v>177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</row>
    <row r="4" spans="1:12" ht="15" customHeight="1" x14ac:dyDescent="0.2">
      <c r="A4" s="53" t="s">
        <v>178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2" ht="15" customHeight="1" x14ac:dyDescent="0.2">
      <c r="A5" s="53" t="s">
        <v>179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ht="15" customHeight="1" x14ac:dyDescent="0.2">
      <c r="A6" s="53" t="s">
        <v>180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</row>
    <row r="7" spans="1:12" ht="15" customHeight="1" x14ac:dyDescent="0.2">
      <c r="A7" s="53" t="s">
        <v>181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</row>
    <row r="8" spans="1:12" ht="15" customHeight="1" x14ac:dyDescent="0.2">
      <c r="A8" s="53" t="s">
        <v>182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</row>
    <row r="9" spans="1:12" ht="15" customHeight="1" x14ac:dyDescent="0.2">
      <c r="A9" s="53" t="s">
        <v>183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</row>
    <row r="10" spans="1:12" ht="15" customHeight="1" x14ac:dyDescent="0.2">
      <c r="A10" s="53" t="s">
        <v>184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</row>
    <row r="11" spans="1:12" ht="15" customHeight="1" x14ac:dyDescent="0.2">
      <c r="A11" s="53" t="s">
        <v>185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</row>
    <row r="12" spans="1:12" ht="15" customHeight="1" x14ac:dyDescent="0.2">
      <c r="A12" s="53" t="s">
        <v>186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</row>
    <row r="13" spans="1:12" ht="15" customHeight="1" x14ac:dyDescent="0.2">
      <c r="A13" s="53" t="s">
        <v>187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</row>
    <row r="14" spans="1:12" ht="15" customHeight="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15" customHeight="1" x14ac:dyDescent="0.2">
      <c r="A15" s="51" t="s">
        <v>8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</row>
    <row r="16" spans="1:12" ht="15" customHeight="1" x14ac:dyDescent="0.2">
      <c r="A16" s="6" t="s">
        <v>188</v>
      </c>
      <c r="B16" s="7">
        <v>1</v>
      </c>
      <c r="C16" s="6"/>
      <c r="D16" s="6" t="s">
        <v>105</v>
      </c>
      <c r="E16" s="17">
        <v>0.06</v>
      </c>
      <c r="F16" s="6"/>
      <c r="G16" s="6" t="s">
        <v>189</v>
      </c>
      <c r="H16" s="15">
        <f>1/(1+E16)</f>
        <v>0.94339622641509424</v>
      </c>
      <c r="I16" s="6"/>
      <c r="J16" s="6" t="s">
        <v>190</v>
      </c>
      <c r="K16" s="18">
        <f>-LN(H16)/B16</f>
        <v>5.8268908123975879E-2</v>
      </c>
      <c r="L16" s="6"/>
    </row>
    <row r="17" spans="1:12" ht="15" customHeight="1" x14ac:dyDescent="0.2">
      <c r="A17" s="6" t="s">
        <v>191</v>
      </c>
      <c r="B17" s="7">
        <v>2</v>
      </c>
      <c r="C17" s="6"/>
      <c r="D17" s="6" t="s">
        <v>192</v>
      </c>
      <c r="E17" s="26">
        <v>6.5000000000000002E-2</v>
      </c>
      <c r="F17" s="6"/>
      <c r="G17" s="6" t="s">
        <v>193</v>
      </c>
      <c r="H17" s="15">
        <f>(1-E17*H16)/(1+E17)</f>
        <v>0.88138896270706002</v>
      </c>
      <c r="I17" s="6"/>
      <c r="J17" s="6" t="s">
        <v>194</v>
      </c>
      <c r="K17" s="18">
        <f>-LN(H17)/B17</f>
        <v>6.3128124554454212E-2</v>
      </c>
      <c r="L17" s="6"/>
    </row>
    <row r="18" spans="1:12" ht="1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ht="15" customHeight="1" x14ac:dyDescent="0.2">
      <c r="A19" s="6" t="s">
        <v>195</v>
      </c>
      <c r="B19" s="7">
        <v>10000000</v>
      </c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ht="15" customHeight="1" x14ac:dyDescent="0.2">
      <c r="A20" s="6" t="s">
        <v>140</v>
      </c>
      <c r="B20" s="7">
        <v>2</v>
      </c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ht="15" customHeight="1" x14ac:dyDescent="0.2">
      <c r="A21" s="6" t="s">
        <v>196</v>
      </c>
      <c r="B21" s="17">
        <v>7.0000000000000007E-2</v>
      </c>
      <c r="C21" s="6"/>
      <c r="D21" s="6" t="s">
        <v>188</v>
      </c>
      <c r="E21" s="6" t="s">
        <v>191</v>
      </c>
      <c r="F21" s="6"/>
      <c r="G21" s="6"/>
      <c r="H21" s="6"/>
      <c r="I21" s="6"/>
      <c r="J21" s="6"/>
      <c r="K21" s="6"/>
      <c r="L21" s="6"/>
    </row>
    <row r="22" spans="1:12" ht="15" customHeight="1" x14ac:dyDescent="0.2">
      <c r="A22" s="6" t="s">
        <v>197</v>
      </c>
      <c r="B22" s="7">
        <f>B19-F28</f>
        <v>-91239.259456107393</v>
      </c>
      <c r="C22" s="6"/>
      <c r="D22" s="7">
        <v>1</v>
      </c>
      <c r="E22" s="7">
        <v>2</v>
      </c>
      <c r="F22" s="6"/>
      <c r="G22" s="6"/>
      <c r="H22" s="6" t="s">
        <v>198</v>
      </c>
      <c r="I22" s="18">
        <f>K16</f>
        <v>5.8268908123975879E-2</v>
      </c>
      <c r="J22" s="6"/>
      <c r="K22" s="6" t="s">
        <v>199</v>
      </c>
      <c r="L22" s="18">
        <f>EXP(I22*B16)-1</f>
        <v>6.0000000000000053E-2</v>
      </c>
    </row>
    <row r="23" spans="1:12" ht="15" customHeight="1" x14ac:dyDescent="0.2">
      <c r="A23" s="6"/>
      <c r="B23" s="7">
        <f>I27</f>
        <v>-91239.259456108543</v>
      </c>
      <c r="C23" s="6"/>
      <c r="D23" s="7" t="s">
        <v>200</v>
      </c>
      <c r="E23" s="7" t="s">
        <v>201</v>
      </c>
      <c r="F23" s="6"/>
      <c r="G23" s="6"/>
      <c r="H23" s="6" t="s">
        <v>202</v>
      </c>
      <c r="I23" s="18">
        <f>(K17*B17-K16*B16)/(B17-B16)</f>
        <v>6.7987340984932546E-2</v>
      </c>
      <c r="J23" s="6"/>
      <c r="K23" s="6" t="s">
        <v>203</v>
      </c>
      <c r="L23" s="18">
        <f>EXP(I23*(B17-B16))-1</f>
        <v>7.035175879396971E-2</v>
      </c>
    </row>
    <row r="24" spans="1:12" ht="15" customHeight="1" x14ac:dyDescent="0.2">
      <c r="A24" s="6"/>
      <c r="B24" s="6"/>
      <c r="C24" s="6"/>
      <c r="D24" s="7">
        <f>B21*B19</f>
        <v>700000.00000000012</v>
      </c>
      <c r="E24" s="7">
        <f>B19+B21*B19</f>
        <v>10700000</v>
      </c>
      <c r="F24" s="6"/>
      <c r="G24" s="6"/>
      <c r="H24" s="6"/>
      <c r="I24" s="6"/>
      <c r="J24" s="6"/>
      <c r="K24" s="6"/>
      <c r="L24" s="6"/>
    </row>
    <row r="25" spans="1:12" ht="15" customHeight="1" x14ac:dyDescent="0.2">
      <c r="A25" s="6"/>
      <c r="B25" s="6"/>
      <c r="C25" s="6"/>
      <c r="D25" s="6" t="s">
        <v>189</v>
      </c>
      <c r="E25" s="6" t="s">
        <v>193</v>
      </c>
      <c r="F25" s="6"/>
      <c r="G25" s="6"/>
      <c r="H25" s="6" t="s">
        <v>204</v>
      </c>
      <c r="I25" s="7">
        <f>(L22-B21)*(E22-D22)*H16*B19</f>
        <v>-94339.622641508977</v>
      </c>
      <c r="J25" s="6"/>
      <c r="K25" s="6"/>
      <c r="L25" s="6"/>
    </row>
    <row r="26" spans="1:12" ht="15" customHeight="1" x14ac:dyDescent="0.2">
      <c r="A26" s="6"/>
      <c r="B26" s="6"/>
      <c r="C26" s="6"/>
      <c r="D26" s="15">
        <f>H16</f>
        <v>0.94339622641509424</v>
      </c>
      <c r="E26" s="15">
        <f>H17</f>
        <v>0.88138896270706002</v>
      </c>
      <c r="F26" s="6"/>
      <c r="G26" s="6"/>
      <c r="H26" s="6" t="s">
        <v>205</v>
      </c>
      <c r="I26" s="7">
        <f>(L23-B21)*(E22-D22)*E26*B19</f>
        <v>3100.3631854004307</v>
      </c>
      <c r="J26" s="6"/>
      <c r="K26" s="6"/>
      <c r="L26" s="6"/>
    </row>
    <row r="27" spans="1:12" ht="15" customHeight="1" x14ac:dyDescent="0.2">
      <c r="A27" s="6"/>
      <c r="B27" s="6"/>
      <c r="C27" s="6"/>
      <c r="D27" s="6" t="s">
        <v>206</v>
      </c>
      <c r="E27" s="6" t="s">
        <v>207</v>
      </c>
      <c r="F27" s="6"/>
      <c r="G27" s="6"/>
      <c r="H27" s="6"/>
      <c r="I27" s="7">
        <f>SUM(I25:I26)</f>
        <v>-91239.259456108543</v>
      </c>
      <c r="J27" s="6"/>
      <c r="K27" s="6"/>
      <c r="L27" s="6"/>
    </row>
    <row r="28" spans="1:12" ht="15" customHeight="1" x14ac:dyDescent="0.2">
      <c r="A28" s="6"/>
      <c r="B28" s="6"/>
      <c r="C28" s="6"/>
      <c r="D28" s="7">
        <f>D24*D26</f>
        <v>660377.35849056602</v>
      </c>
      <c r="E28" s="7">
        <f>E24*E26</f>
        <v>9430861.9009655416</v>
      </c>
      <c r="F28" s="7">
        <f>SUM(D28:E28)</f>
        <v>10091239.259456107</v>
      </c>
      <c r="G28" s="6"/>
      <c r="H28" s="6"/>
      <c r="I28" s="6"/>
      <c r="J28" s="6"/>
      <c r="K28" s="6"/>
      <c r="L28" s="6"/>
    </row>
    <row r="29" spans="1:12" ht="15" customHeight="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ht="15" customHeight="1" x14ac:dyDescent="0.2">
      <c r="A30" s="6" t="s">
        <v>195</v>
      </c>
      <c r="B30" s="7">
        <v>1000000</v>
      </c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ht="15" customHeight="1" x14ac:dyDescent="0.2">
      <c r="A31" s="6" t="s">
        <v>196</v>
      </c>
      <c r="B31" s="17">
        <v>0.08</v>
      </c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ht="15" customHeight="1" x14ac:dyDescent="0.2">
      <c r="A32" s="6" t="s">
        <v>208</v>
      </c>
      <c r="B32" s="7">
        <f>(B31-L23)*(E22-D22)*H17*B30</f>
        <v>8503.8533085305517</v>
      </c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ht="15" customHeigh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ht="15" customHeight="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ht="15" customHeight="1" x14ac:dyDescent="0.2">
      <c r="A35" s="51" t="s">
        <v>209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</row>
    <row r="36" spans="1:12" ht="15" customHeight="1" x14ac:dyDescent="0.2">
      <c r="A36" s="53" t="s">
        <v>210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</row>
    <row r="37" spans="1:12" ht="15" customHeight="1" x14ac:dyDescent="0.2">
      <c r="A37" s="53" t="s">
        <v>211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</row>
    <row r="38" spans="1:12" ht="15" customHeight="1" x14ac:dyDescent="0.2">
      <c r="A38" s="53" t="s">
        <v>212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</row>
    <row r="39" spans="1:12" ht="15" customHeight="1" x14ac:dyDescent="0.2">
      <c r="A39" s="53" t="s">
        <v>213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</row>
    <row r="40" spans="1:12" ht="15" customHeight="1" x14ac:dyDescent="0.2">
      <c r="A40" s="53" t="s">
        <v>214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</row>
    <row r="41" spans="1:12" ht="15" customHeight="1" x14ac:dyDescent="0.2">
      <c r="A41" s="53" t="s">
        <v>215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</row>
    <row r="42" spans="1:12" ht="15" customHeight="1" x14ac:dyDescent="0.2">
      <c r="A42" s="53" t="s">
        <v>216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</row>
    <row r="43" spans="1:12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ht="15" customHeight="1" x14ac:dyDescent="0.2">
      <c r="A44" s="51" t="s">
        <v>8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</row>
    <row r="45" spans="1:12" ht="15" customHeight="1" x14ac:dyDescent="0.2">
      <c r="A45" s="6" t="s">
        <v>217</v>
      </c>
      <c r="B45" s="15">
        <f>-4/12</f>
        <v>-0.33333333333333331</v>
      </c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ht="15" customHeight="1" x14ac:dyDescent="0.2">
      <c r="A46" s="6" t="s">
        <v>188</v>
      </c>
      <c r="B46" s="15">
        <f>8/12</f>
        <v>0.66666666666666663</v>
      </c>
      <c r="C46" s="6"/>
      <c r="D46" s="6" t="s">
        <v>189</v>
      </c>
      <c r="E46" s="15">
        <f>EXP(-$B$50*B46)</f>
        <v>0.9672161004820059</v>
      </c>
      <c r="F46" s="6"/>
      <c r="G46" s="6" t="s">
        <v>190</v>
      </c>
      <c r="H46" s="15">
        <f>-LN(E46)/B46</f>
        <v>0.05</v>
      </c>
      <c r="I46" s="6"/>
      <c r="J46" s="6" t="s">
        <v>206</v>
      </c>
      <c r="K46" s="7">
        <f>($B$54*(B46-B45)-((1+$B$53)^(-B45)*EXP($B$50*B46)-1))*E46*$B$56</f>
        <v>1208966.2690749145</v>
      </c>
      <c r="L46" s="6"/>
    </row>
    <row r="47" spans="1:12" ht="15" customHeight="1" x14ac:dyDescent="0.2">
      <c r="A47" s="6" t="s">
        <v>191</v>
      </c>
      <c r="B47" s="15">
        <f>20/12</f>
        <v>1.6666666666666667</v>
      </c>
      <c r="C47" s="6"/>
      <c r="D47" s="6" t="s">
        <v>193</v>
      </c>
      <c r="E47" s="15">
        <f>EXP(-$B$50*B47)</f>
        <v>0.92004441462932329</v>
      </c>
      <c r="F47" s="6"/>
      <c r="G47" s="6" t="s">
        <v>194</v>
      </c>
      <c r="H47" s="15">
        <f>-LN(E47)/B47</f>
        <v>4.9999999999999968E-2</v>
      </c>
      <c r="I47" s="6"/>
      <c r="J47" s="6" t="s">
        <v>207</v>
      </c>
      <c r="K47" s="7">
        <f>(B54-B52)*(B47-B46)*E47*B56</f>
        <v>803097.90250766685</v>
      </c>
      <c r="L47" s="6"/>
    </row>
    <row r="48" spans="1:12" ht="15" customHeight="1" x14ac:dyDescent="0.2">
      <c r="A48" s="6" t="s">
        <v>218</v>
      </c>
      <c r="B48" s="15">
        <f>32/12</f>
        <v>2.6666666666666665</v>
      </c>
      <c r="C48" s="6"/>
      <c r="D48" s="6" t="s">
        <v>219</v>
      </c>
      <c r="E48" s="15">
        <f>EXP(-$B$50*B48)</f>
        <v>0.87517331904294748</v>
      </c>
      <c r="F48" s="6"/>
      <c r="G48" s="6" t="s">
        <v>220</v>
      </c>
      <c r="H48" s="15">
        <f>-LN(E48)/B48</f>
        <v>4.9999999999999989E-2</v>
      </c>
      <c r="I48" s="6"/>
      <c r="J48" s="6" t="s">
        <v>221</v>
      </c>
      <c r="K48" s="7">
        <f>(B54-B52)*(B48-B47)*E48*B56</f>
        <v>763930.3556200983</v>
      </c>
      <c r="L48" s="6"/>
    </row>
    <row r="49" spans="1:12" ht="15" customHeight="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7">
        <f>SUM(K46:K48)</f>
        <v>2775994.5272026798</v>
      </c>
      <c r="L49" s="6"/>
    </row>
    <row r="50" spans="1:12" ht="15" customHeight="1" x14ac:dyDescent="0.2">
      <c r="A50" s="6" t="s">
        <v>137</v>
      </c>
      <c r="B50" s="18">
        <v>0.05</v>
      </c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ht="15" customHeight="1" x14ac:dyDescent="0.2">
      <c r="A51" s="6" t="s">
        <v>222</v>
      </c>
      <c r="B51" s="18">
        <f>B50</f>
        <v>0.05</v>
      </c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ht="15" customHeight="1" x14ac:dyDescent="0.2">
      <c r="A52" s="6" t="s">
        <v>223</v>
      </c>
      <c r="B52" s="18">
        <f>EXP(B51)-1</f>
        <v>5.1271096376024117E-2</v>
      </c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15" customHeight="1" x14ac:dyDescent="0.2">
      <c r="A53" s="6" t="s">
        <v>224</v>
      </c>
      <c r="B53" s="17">
        <v>0.04</v>
      </c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ht="15" customHeight="1" x14ac:dyDescent="0.2">
      <c r="A54" s="6" t="s">
        <v>225</v>
      </c>
      <c r="B54" s="17">
        <v>0.06</v>
      </c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ht="1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ht="15" customHeight="1" x14ac:dyDescent="0.2">
      <c r="A56" s="6" t="s">
        <v>195</v>
      </c>
      <c r="B56" s="7">
        <v>100000000</v>
      </c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ht="1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ht="15" customHeight="1" x14ac:dyDescent="0.2">
      <c r="A58" s="6" t="s">
        <v>150</v>
      </c>
      <c r="B58" s="44">
        <f>K49</f>
        <v>2775994.5272026798</v>
      </c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ht="15" customHeight="1" x14ac:dyDescent="0.2">
      <c r="A59" s="6" t="s">
        <v>226</v>
      </c>
      <c r="B59" s="44">
        <f>MAX(B58,0)</f>
        <v>2775994.5272026798</v>
      </c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ht="1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ht="1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ht="15" customHeight="1" x14ac:dyDescent="0.2">
      <c r="A62" s="51" t="s">
        <v>227</v>
      </c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</row>
    <row r="63" spans="1:12" ht="15" customHeight="1" x14ac:dyDescent="0.2">
      <c r="A63" s="53" t="s">
        <v>228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</row>
    <row r="64" spans="1:12" ht="15" customHeight="1" x14ac:dyDescent="0.2">
      <c r="A64" s="53" t="s">
        <v>229</v>
      </c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</row>
    <row r="65" spans="1:12" ht="15" customHeight="1" x14ac:dyDescent="0.2">
      <c r="A65" s="53" t="s">
        <v>230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</row>
    <row r="66" spans="1:12" ht="15" customHeight="1" x14ac:dyDescent="0.2">
      <c r="A66" s="53" t="s">
        <v>231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</row>
    <row r="67" spans="1:12" ht="15" customHeight="1" x14ac:dyDescent="0.2">
      <c r="A67" s="53" t="s">
        <v>232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</row>
    <row r="68" spans="1:12" ht="15" customHeight="1" x14ac:dyDescent="0.2">
      <c r="A68" s="53" t="s">
        <v>233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</row>
    <row r="69" spans="1:12" ht="15" customHeight="1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 ht="15" customHeight="1" x14ac:dyDescent="0.2">
      <c r="A70" s="51" t="s">
        <v>8</v>
      </c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</row>
    <row r="71" spans="1:12" ht="15" customHeight="1" x14ac:dyDescent="0.2">
      <c r="A71" s="6" t="s">
        <v>195</v>
      </c>
      <c r="B71" s="7">
        <v>100000000</v>
      </c>
      <c r="C71" s="6"/>
      <c r="D71" s="6" t="s">
        <v>217</v>
      </c>
      <c r="E71" s="15">
        <f>-4/12</f>
        <v>-0.33333333333333331</v>
      </c>
      <c r="F71" s="6"/>
      <c r="G71" s="6"/>
      <c r="H71" s="6"/>
      <c r="I71" s="6"/>
      <c r="J71" s="6"/>
      <c r="K71" s="6"/>
      <c r="L71" s="6"/>
    </row>
    <row r="72" spans="1:12" ht="15" customHeight="1" x14ac:dyDescent="0.2">
      <c r="A72" s="6" t="s">
        <v>140</v>
      </c>
      <c r="B72" s="15">
        <f>14/12</f>
        <v>1.1666666666666667</v>
      </c>
      <c r="C72" s="6"/>
      <c r="D72" s="6" t="s">
        <v>188</v>
      </c>
      <c r="E72" s="15">
        <f>2/12</f>
        <v>0.16666666666666666</v>
      </c>
      <c r="F72" s="6"/>
      <c r="G72" s="6" t="s">
        <v>190</v>
      </c>
      <c r="H72" s="26">
        <v>4.4999999999999998E-2</v>
      </c>
      <c r="I72" s="6"/>
      <c r="J72" s="6"/>
      <c r="K72" s="6"/>
      <c r="L72" s="6"/>
    </row>
    <row r="73" spans="1:12" ht="15" customHeight="1" x14ac:dyDescent="0.2">
      <c r="A73" s="6" t="s">
        <v>225</v>
      </c>
      <c r="B73" s="17">
        <v>0.05</v>
      </c>
      <c r="C73" s="6"/>
      <c r="D73" s="6" t="s">
        <v>191</v>
      </c>
      <c r="E73" s="15">
        <f>8/12</f>
        <v>0.66666666666666663</v>
      </c>
      <c r="F73" s="6"/>
      <c r="G73" s="6" t="s">
        <v>194</v>
      </c>
      <c r="H73" s="17">
        <v>0.05</v>
      </c>
      <c r="I73" s="6"/>
      <c r="J73" s="6" t="s">
        <v>234</v>
      </c>
      <c r="K73" s="27">
        <f>(H73*E73-H72*E72)/(E73-E72)</f>
        <v>5.1666666666666666E-2</v>
      </c>
      <c r="L73" s="6"/>
    </row>
    <row r="74" spans="1:12" ht="15" customHeight="1" x14ac:dyDescent="0.2">
      <c r="A74" s="6" t="s">
        <v>224</v>
      </c>
      <c r="B74" s="26">
        <v>5.5E-2</v>
      </c>
      <c r="C74" s="6"/>
      <c r="D74" s="6" t="s">
        <v>218</v>
      </c>
      <c r="E74" s="15">
        <f>14/12</f>
        <v>1.1666666666666667</v>
      </c>
      <c r="F74" s="6"/>
      <c r="G74" s="6" t="s">
        <v>220</v>
      </c>
      <c r="H74" s="26">
        <v>5.3999999999999999E-2</v>
      </c>
      <c r="I74" s="6"/>
      <c r="J74" s="6" t="s">
        <v>235</v>
      </c>
      <c r="K74" s="27">
        <f>(H74*E74-H73*E73)/(E74-E73)</f>
        <v>5.9333333333333321E-2</v>
      </c>
      <c r="L74" s="6"/>
    </row>
    <row r="75" spans="1:12" ht="15" customHeight="1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2" ht="15" customHeight="1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1:12" ht="15" customHeight="1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1:12" ht="15" customHeight="1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ht="15" customHeight="1" x14ac:dyDescent="0.2">
      <c r="A79" s="6"/>
      <c r="B79" s="6"/>
      <c r="C79" s="6"/>
      <c r="D79" s="6"/>
      <c r="E79" s="6"/>
      <c r="F79" s="6"/>
      <c r="G79" s="6" t="s">
        <v>204</v>
      </c>
      <c r="H79" s="7">
        <f>(((1+B74/2)^(-2*E71)*EXP(H72*E72)-1)-B73*(E72-E71))*EXP(-H72*E72)*B71</f>
        <v>90906.019338470403</v>
      </c>
      <c r="I79" s="6"/>
      <c r="J79" s="6"/>
      <c r="K79" s="6"/>
      <c r="L79" s="6"/>
    </row>
    <row r="80" spans="1:12" ht="15" customHeight="1" x14ac:dyDescent="0.2">
      <c r="A80" s="6"/>
      <c r="B80" s="6"/>
      <c r="C80" s="6"/>
      <c r="D80" s="6" t="s">
        <v>199</v>
      </c>
      <c r="E80" s="27">
        <f>(EXP(K73/2)-1)*2</f>
        <v>5.2339811805280245E-2</v>
      </c>
      <c r="F80" s="6"/>
      <c r="G80" s="6" t="s">
        <v>205</v>
      </c>
      <c r="H80" s="7">
        <f>(E80-$B$73)*(E73-E72)*EXP(-H73*E73)*$B$71</f>
        <v>113155.18250824594</v>
      </c>
      <c r="I80" s="6"/>
      <c r="J80" s="6"/>
      <c r="K80" s="6"/>
      <c r="L80" s="6"/>
    </row>
    <row r="81" spans="1:12" ht="15" customHeight="1" x14ac:dyDescent="0.2">
      <c r="A81" s="6"/>
      <c r="B81" s="6"/>
      <c r="C81" s="6"/>
      <c r="D81" s="6" t="s">
        <v>203</v>
      </c>
      <c r="E81" s="27">
        <f>(EXP(K74/2)-1)*2</f>
        <v>6.0222212699958977E-2</v>
      </c>
      <c r="F81" s="6"/>
      <c r="G81" s="6" t="s">
        <v>236</v>
      </c>
      <c r="H81" s="7">
        <f>(E81-$B$73)*(E74-E73)*EXP(-H74*E74)*$B$71</f>
        <v>479903.99506443267</v>
      </c>
      <c r="I81" s="6"/>
      <c r="J81" s="6"/>
      <c r="K81" s="6"/>
      <c r="L81" s="6"/>
    </row>
    <row r="82" spans="1:12" ht="15" customHeight="1" x14ac:dyDescent="0.2">
      <c r="A82" s="6"/>
      <c r="B82" s="6"/>
      <c r="C82" s="6"/>
      <c r="D82" s="6"/>
      <c r="E82" s="6"/>
      <c r="F82" s="6"/>
      <c r="G82" s="6"/>
      <c r="H82" s="7">
        <f>SUM(H79:H81)</f>
        <v>683965.19691114896</v>
      </c>
      <c r="I82" s="6"/>
      <c r="J82" s="6"/>
      <c r="K82" s="6"/>
      <c r="L82" s="6"/>
    </row>
    <row r="83" spans="1:12" ht="15" customHeight="1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ht="15" customHeight="1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 ht="15" customHeight="1" x14ac:dyDescent="0.2">
      <c r="A85" s="51" t="s">
        <v>237</v>
      </c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</row>
    <row r="86" spans="1:12" ht="15" customHeight="1" x14ac:dyDescent="0.2">
      <c r="A86" s="53" t="s">
        <v>238</v>
      </c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</row>
    <row r="87" spans="1:12" ht="15" customHeight="1" x14ac:dyDescent="0.2">
      <c r="A87" s="53" t="s">
        <v>239</v>
      </c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</row>
    <row r="88" spans="1:12" ht="15" customHeight="1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2" ht="15" customHeight="1" x14ac:dyDescent="0.2">
      <c r="A89" s="51" t="s">
        <v>8</v>
      </c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</row>
    <row r="90" spans="1:12" ht="15" customHeight="1" x14ac:dyDescent="0.2">
      <c r="A90" s="53" t="s">
        <v>240</v>
      </c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</row>
    <row r="91" spans="1:12" ht="15" customHeight="1" x14ac:dyDescent="0.2">
      <c r="A91" s="53" t="s">
        <v>241</v>
      </c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</row>
    <row r="92" spans="1:12" ht="15" customHeight="1" x14ac:dyDescent="0.2">
      <c r="A92" s="53" t="s">
        <v>242</v>
      </c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</row>
    <row r="93" spans="1:12" ht="15" customHeight="1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12" ht="15" customHeight="1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ht="15" customHeight="1" x14ac:dyDescent="0.2">
      <c r="A95" s="51" t="s">
        <v>243</v>
      </c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</row>
    <row r="96" spans="1:12" ht="15" customHeight="1" x14ac:dyDescent="0.2">
      <c r="A96" s="53" t="s">
        <v>244</v>
      </c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</row>
    <row r="97" spans="1:12" ht="15" customHeight="1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 ht="15" customHeight="1" x14ac:dyDescent="0.2">
      <c r="A98" s="1" t="s">
        <v>119</v>
      </c>
      <c r="B98" s="1" t="s">
        <v>245</v>
      </c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ht="15" customHeight="1" x14ac:dyDescent="0.2">
      <c r="A99" s="19">
        <v>0.5</v>
      </c>
      <c r="B99" s="20">
        <v>0.02</v>
      </c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ht="15" customHeight="1" x14ac:dyDescent="0.2">
      <c r="A100" s="19">
        <v>1</v>
      </c>
      <c r="B100" s="20">
        <v>2.4E-2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 ht="15" customHeight="1" x14ac:dyDescent="0.2">
      <c r="A101" s="19">
        <v>1.5</v>
      </c>
      <c r="B101" s="20">
        <v>2.5999999999999999E-2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 ht="15" customHeight="1" x14ac:dyDescent="0.2">
      <c r="A102" s="19">
        <v>2</v>
      </c>
      <c r="B102" s="20" t="s">
        <v>246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ht="1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spans="1:12" ht="15" customHeight="1" x14ac:dyDescent="0.2">
      <c r="A104" s="53" t="s">
        <v>247</v>
      </c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</row>
    <row r="105" spans="1:12" ht="1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ht="15" customHeight="1" x14ac:dyDescent="0.2">
      <c r="A106" s="51" t="s">
        <v>8</v>
      </c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</row>
    <row r="107" spans="1:12" ht="15" customHeight="1" x14ac:dyDescent="0.2">
      <c r="A107" s="38" t="s">
        <v>140</v>
      </c>
      <c r="B107" s="38" t="s">
        <v>196</v>
      </c>
      <c r="C107" s="37" t="s">
        <v>248</v>
      </c>
      <c r="D107" s="6"/>
      <c r="E107" s="6"/>
      <c r="F107" s="6"/>
      <c r="G107" s="6"/>
      <c r="H107" s="6"/>
      <c r="I107" s="6"/>
      <c r="J107" s="6"/>
      <c r="K107" s="6"/>
      <c r="L107" s="6"/>
    </row>
    <row r="108" spans="1:12" ht="15" customHeight="1" x14ac:dyDescent="0.2">
      <c r="A108" s="19">
        <v>0.5</v>
      </c>
      <c r="B108" s="26">
        <v>0.02</v>
      </c>
      <c r="C108" s="24">
        <f>EXP(-B108*A108)</f>
        <v>0.99004983374916811</v>
      </c>
      <c r="D108" s="6"/>
      <c r="E108" s="6"/>
      <c r="F108" s="6"/>
      <c r="G108" s="6"/>
      <c r="H108" s="6"/>
      <c r="I108" s="6"/>
      <c r="J108" s="6"/>
      <c r="K108" s="6"/>
      <c r="L108" s="6"/>
    </row>
    <row r="109" spans="1:12" ht="15" customHeight="1" x14ac:dyDescent="0.2">
      <c r="A109" s="19">
        <v>1</v>
      </c>
      <c r="B109" s="26">
        <v>2.4E-2</v>
      </c>
      <c r="C109" s="24">
        <f>EXP(-B109*A109)</f>
        <v>0.97628570975790929</v>
      </c>
      <c r="D109" s="6"/>
      <c r="E109" s="6"/>
      <c r="F109" s="6"/>
      <c r="G109" s="6"/>
      <c r="H109" s="6"/>
      <c r="I109" s="6"/>
      <c r="J109" s="6"/>
      <c r="K109" s="6"/>
      <c r="L109" s="6"/>
    </row>
    <row r="110" spans="1:12" ht="15" customHeight="1" x14ac:dyDescent="0.2">
      <c r="A110" s="19">
        <v>1.5</v>
      </c>
      <c r="B110" s="26">
        <v>2.5999999999999999E-2</v>
      </c>
      <c r="C110" s="24">
        <f>EXP(-B110*A110)</f>
        <v>0.96175070914636673</v>
      </c>
      <c r="D110" s="6"/>
      <c r="E110" s="6"/>
      <c r="F110" s="6"/>
      <c r="G110" s="6"/>
      <c r="H110" s="6"/>
      <c r="I110" s="6"/>
      <c r="J110" s="6"/>
      <c r="K110" s="6"/>
      <c r="L110" s="6"/>
    </row>
    <row r="111" spans="1:12" ht="15" customHeight="1" x14ac:dyDescent="0.2">
      <c r="A111" s="19">
        <v>2</v>
      </c>
      <c r="B111" s="26">
        <f>-LN((1-B115/B114*SUM(C108:C110))/(1+B115/B114))/A111</f>
        <v>2.9901826570774965E-2</v>
      </c>
      <c r="C111" s="24">
        <f>EXP(-B111*A111)</f>
        <v>0.94194946424650083</v>
      </c>
      <c r="D111" s="24">
        <f>(1-(B115/B114)*SUM(C108:C110))/(1+B115/B114)</f>
        <v>0.94194946424650083</v>
      </c>
      <c r="E111" s="6"/>
      <c r="F111" s="6"/>
      <c r="G111" s="6"/>
      <c r="H111" s="6"/>
      <c r="I111" s="6"/>
      <c r="J111" s="6"/>
      <c r="K111" s="6"/>
      <c r="L111" s="6"/>
    </row>
    <row r="112" spans="1:12" ht="15" customHeight="1" x14ac:dyDescent="0.2">
      <c r="A112" s="6"/>
      <c r="B112" s="6"/>
      <c r="C112" s="24">
        <f>SUM(C108:C111)</f>
        <v>3.8700357168999453</v>
      </c>
      <c r="D112" s="6"/>
      <c r="E112" s="6"/>
      <c r="F112" s="6"/>
      <c r="G112" s="6"/>
      <c r="H112" s="6"/>
      <c r="I112" s="6"/>
      <c r="J112" s="6"/>
      <c r="K112" s="6"/>
      <c r="L112" s="6"/>
    </row>
    <row r="113" spans="1:12" ht="1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1:12" ht="15" customHeight="1" x14ac:dyDescent="0.2">
      <c r="A114" s="2" t="s">
        <v>106</v>
      </c>
      <c r="B114" s="7">
        <v>2</v>
      </c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1:12" ht="15" customHeight="1" x14ac:dyDescent="0.2">
      <c r="A115" s="2" t="s">
        <v>249</v>
      </c>
      <c r="B115" s="26">
        <v>0.03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spans="1:12" ht="1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spans="1:12" ht="15" customHeight="1" x14ac:dyDescent="0.2">
      <c r="A117" s="6" t="s">
        <v>250</v>
      </c>
      <c r="B117" s="26">
        <f>-LN(D111)/A111</f>
        <v>2.9901826570774965E-2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spans="1:12" ht="1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spans="1:12" ht="1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spans="1:12" ht="15" customHeight="1" x14ac:dyDescent="0.2">
      <c r="A120" s="51" t="s">
        <v>251</v>
      </c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</row>
    <row r="121" spans="1:12" ht="15" customHeight="1" x14ac:dyDescent="0.2">
      <c r="A121" s="53" t="s">
        <v>252</v>
      </c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</row>
    <row r="122" spans="1:12" ht="15" customHeight="1" x14ac:dyDescent="0.2">
      <c r="A122" s="53" t="s">
        <v>253</v>
      </c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</row>
    <row r="123" spans="1:12" ht="15" customHeight="1" x14ac:dyDescent="0.2">
      <c r="A123" s="53" t="s">
        <v>254</v>
      </c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</row>
    <row r="124" spans="1:12" ht="15" customHeight="1" x14ac:dyDescent="0.2">
      <c r="A124" s="53" t="s">
        <v>255</v>
      </c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</row>
    <row r="125" spans="1:12" ht="15" customHeight="1" x14ac:dyDescent="0.2">
      <c r="A125" s="53" t="s">
        <v>256</v>
      </c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</row>
    <row r="126" spans="1:12" ht="15" customHeight="1" x14ac:dyDescent="0.2">
      <c r="A126" s="53" t="s">
        <v>257</v>
      </c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</row>
    <row r="127" spans="1:12" ht="15" customHeight="1" x14ac:dyDescent="0.2">
      <c r="A127" s="53" t="s">
        <v>258</v>
      </c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</row>
    <row r="128" spans="1:12" ht="1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ht="15" customHeight="1" x14ac:dyDescent="0.2">
      <c r="A129" s="51" t="s">
        <v>8</v>
      </c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</row>
    <row r="130" spans="1:12" ht="15" customHeight="1" x14ac:dyDescent="0.2">
      <c r="A130" s="2" t="s">
        <v>259</v>
      </c>
      <c r="B130" s="20">
        <v>1.4999999999999999E-2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ht="15" customHeight="1" x14ac:dyDescent="0.2">
      <c r="A131" s="2" t="s">
        <v>260</v>
      </c>
      <c r="B131" s="20">
        <v>0.03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spans="1:12" ht="15" customHeight="1" x14ac:dyDescent="0.2">
      <c r="A132" s="2" t="s">
        <v>106</v>
      </c>
      <c r="B132" s="7">
        <v>1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spans="1:12" ht="15" customHeight="1" x14ac:dyDescent="0.2">
      <c r="A133" s="2" t="s">
        <v>140</v>
      </c>
      <c r="B133" s="7">
        <v>3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spans="1:12" ht="15" customHeight="1" x14ac:dyDescent="0.2">
      <c r="A134" s="2" t="s">
        <v>137</v>
      </c>
      <c r="B134" s="20">
        <v>0.02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spans="1:12" ht="15" customHeight="1" x14ac:dyDescent="0.2">
      <c r="A135" s="2" t="s">
        <v>149</v>
      </c>
      <c r="B135" s="20">
        <v>2.5000000000000001E-2</v>
      </c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spans="1:12" ht="15" customHeight="1" x14ac:dyDescent="0.2">
      <c r="A136" s="2" t="s">
        <v>261</v>
      </c>
      <c r="B136" s="8">
        <v>15</v>
      </c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spans="1:12" ht="15" customHeight="1" x14ac:dyDescent="0.2">
      <c r="A137" s="2" t="s">
        <v>262</v>
      </c>
      <c r="B137" s="48">
        <v>10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spans="1:12" ht="15" customHeight="1" x14ac:dyDescent="0.2">
      <c r="A138" s="2" t="s">
        <v>21</v>
      </c>
      <c r="B138" s="45">
        <v>1.5</v>
      </c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spans="1:12" ht="1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spans="1:12" ht="15" customHeight="1" x14ac:dyDescent="0.2">
      <c r="A140" s="38" t="s">
        <v>263</v>
      </c>
      <c r="B140" s="38" t="s">
        <v>264</v>
      </c>
      <c r="C140" s="38" t="s">
        <v>265</v>
      </c>
      <c r="D140" s="38" t="s">
        <v>266</v>
      </c>
      <c r="E140" s="38" t="s">
        <v>267</v>
      </c>
      <c r="F140" s="38" t="s">
        <v>268</v>
      </c>
      <c r="G140" s="38" t="s">
        <v>269</v>
      </c>
      <c r="H140" s="6"/>
      <c r="I140" s="6"/>
      <c r="J140" s="6"/>
      <c r="K140" s="6"/>
      <c r="L140" s="6"/>
    </row>
    <row r="141" spans="1:12" ht="15" customHeight="1" x14ac:dyDescent="0.2">
      <c r="A141" s="7">
        <v>1</v>
      </c>
      <c r="B141" s="45">
        <f>B130/B132*B136</f>
        <v>0.22499999999999998</v>
      </c>
      <c r="C141" s="49">
        <f>B131/B132*B137</f>
        <v>0.3</v>
      </c>
      <c r="D141" s="24">
        <f>EXP(-$B$134*A141)</f>
        <v>0.98019867330675525</v>
      </c>
      <c r="E141" s="24">
        <f>EXP(-$B$135*A141)</f>
        <v>0.97530991202833262</v>
      </c>
      <c r="F141" s="28">
        <f t="shared" ref="F141:G143" si="0">D141*B141</f>
        <v>0.22054470149401992</v>
      </c>
      <c r="G141" s="28">
        <f t="shared" si="0"/>
        <v>0.29259297360849978</v>
      </c>
      <c r="H141" s="6"/>
      <c r="I141" s="6"/>
      <c r="J141" s="6"/>
      <c r="K141" s="6"/>
      <c r="L141" s="6"/>
    </row>
    <row r="142" spans="1:12" ht="15" customHeight="1" x14ac:dyDescent="0.2">
      <c r="A142" s="7">
        <v>2</v>
      </c>
      <c r="B142" s="45">
        <f>B130/B132*B136</f>
        <v>0.22499999999999998</v>
      </c>
      <c r="C142" s="49">
        <f>B131/B132*B137</f>
        <v>0.3</v>
      </c>
      <c r="D142" s="24">
        <f>EXP(-$B$134*A142)</f>
        <v>0.96078943915232318</v>
      </c>
      <c r="E142" s="24">
        <f>EXP(-$B$135*A142)</f>
        <v>0.95122942450071402</v>
      </c>
      <c r="F142" s="28">
        <f t="shared" si="0"/>
        <v>0.21617762380927269</v>
      </c>
      <c r="G142" s="28">
        <f t="shared" si="0"/>
        <v>0.28536882735021418</v>
      </c>
      <c r="H142" s="6"/>
      <c r="I142" s="6"/>
      <c r="J142" s="6"/>
      <c r="K142" s="6"/>
      <c r="L142" s="6"/>
    </row>
    <row r="143" spans="1:12" ht="15" customHeight="1" x14ac:dyDescent="0.2">
      <c r="A143" s="7">
        <v>3</v>
      </c>
      <c r="B143" s="45">
        <f>B136+B130/B132*B136</f>
        <v>15.225</v>
      </c>
      <c r="C143" s="49">
        <f>B137+B131/B132*B137</f>
        <v>10.3</v>
      </c>
      <c r="D143" s="24">
        <f>EXP(-$B$134*A143)</f>
        <v>0.94176453358424872</v>
      </c>
      <c r="E143" s="24">
        <f>EXP(-$B$135*A143)</f>
        <v>0.92774348632855286</v>
      </c>
      <c r="F143" s="28">
        <f t="shared" si="0"/>
        <v>14.338365023820186</v>
      </c>
      <c r="G143" s="28">
        <f t="shared" si="0"/>
        <v>9.555757909184095</v>
      </c>
      <c r="H143" s="6"/>
      <c r="I143" s="6"/>
      <c r="J143" s="6"/>
      <c r="K143" s="6"/>
      <c r="L143" s="6"/>
    </row>
    <row r="144" spans="1:12" ht="15" customHeight="1" x14ac:dyDescent="0.2">
      <c r="A144" s="6"/>
      <c r="B144" s="6"/>
      <c r="C144" s="6"/>
      <c r="D144" s="6"/>
      <c r="E144" s="6"/>
      <c r="F144" s="28">
        <f>SUM(F141:F143)</f>
        <v>14.77508734912348</v>
      </c>
      <c r="G144" s="28">
        <f>SUM(G141:G143)</f>
        <v>10.13371971014281</v>
      </c>
      <c r="H144" s="6"/>
      <c r="I144" s="6"/>
      <c r="J144" s="6"/>
      <c r="K144" s="6"/>
      <c r="L144" s="6"/>
    </row>
    <row r="145" spans="1:12" ht="1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spans="1:12" ht="15" customHeight="1" x14ac:dyDescent="0.2">
      <c r="A146" s="2" t="s">
        <v>268</v>
      </c>
      <c r="B146" s="28">
        <f>F144</f>
        <v>14.77508734912348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spans="1:12" ht="15" customHeight="1" x14ac:dyDescent="0.2">
      <c r="A147" s="2" t="s">
        <v>269</v>
      </c>
      <c r="B147" s="28">
        <f>G144</f>
        <v>10.13371971014281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spans="1:12" ht="15" customHeight="1" x14ac:dyDescent="0.2">
      <c r="A148" s="2" t="s">
        <v>197</v>
      </c>
      <c r="B148" s="28">
        <f>B147*B138-B146</f>
        <v>0.42549221609073484</v>
      </c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spans="1:12" ht="1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1:12" ht="15" customHeight="1" x14ac:dyDescent="0.2">
      <c r="A150" s="53" t="s">
        <v>270</v>
      </c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</row>
    <row r="151" spans="1:12" ht="1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1:12" ht="1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spans="1:12" ht="1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</sheetData>
  <mergeCells count="51">
    <mergeCell ref="A150:L150"/>
    <mergeCell ref="A124:L124"/>
    <mergeCell ref="A125:L125"/>
    <mergeCell ref="A126:L126"/>
    <mergeCell ref="A127:L127"/>
    <mergeCell ref="A129:L129"/>
    <mergeCell ref="A106:L106"/>
    <mergeCell ref="A120:L120"/>
    <mergeCell ref="A121:L121"/>
    <mergeCell ref="A122:L122"/>
    <mergeCell ref="A123:L123"/>
    <mergeCell ref="A91:L91"/>
    <mergeCell ref="A92:L92"/>
    <mergeCell ref="A95:L95"/>
    <mergeCell ref="A96:L96"/>
    <mergeCell ref="A104:L104"/>
    <mergeCell ref="A85:L85"/>
    <mergeCell ref="A86:L86"/>
    <mergeCell ref="A87:L87"/>
    <mergeCell ref="A89:L89"/>
    <mergeCell ref="A90:L90"/>
    <mergeCell ref="A65:L65"/>
    <mergeCell ref="A66:L66"/>
    <mergeCell ref="A67:L67"/>
    <mergeCell ref="A68:L68"/>
    <mergeCell ref="A70:L70"/>
    <mergeCell ref="A42:L42"/>
    <mergeCell ref="A44:L44"/>
    <mergeCell ref="A62:L62"/>
    <mergeCell ref="A63:L63"/>
    <mergeCell ref="A64:L64"/>
    <mergeCell ref="A37:L37"/>
    <mergeCell ref="A38:L38"/>
    <mergeCell ref="A39:L39"/>
    <mergeCell ref="A40:L40"/>
    <mergeCell ref="A41:L41"/>
    <mergeCell ref="A12:L12"/>
    <mergeCell ref="A13:L13"/>
    <mergeCell ref="A15:L15"/>
    <mergeCell ref="A35:L35"/>
    <mergeCell ref="A36:L36"/>
    <mergeCell ref="A7:L7"/>
    <mergeCell ref="A8:L8"/>
    <mergeCell ref="A9:L9"/>
    <mergeCell ref="A10:L10"/>
    <mergeCell ref="A11:L11"/>
    <mergeCell ref="A1:L1"/>
    <mergeCell ref="A3:L3"/>
    <mergeCell ref="A4:L4"/>
    <mergeCell ref="A5:L5"/>
    <mergeCell ref="A6:L6"/>
  </mergeCells>
  <pageMargins left="0.35" right="0.35" top="0.45" bottom="0.45" header="0.2" footer="0.2"/>
  <pageSetup paperSize="9" fitToHeight="0" orientation="landscape"/>
  <headerFooter>
    <oddFooter>&amp;L&amp;"Times New Roman,Regular"&amp;8John C. Hull – 12a edizione&amp;C&amp;"Times New Roman,Regular"&amp;8Ulteriori Domande&amp;R&amp;"Times New Roman,Regular"&amp;8&amp;A |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36878"/>
    <pageSetUpPr fitToPage="1"/>
  </sheetPr>
  <dimension ref="A1:H54"/>
  <sheetViews>
    <sheetView showGridLines="0" zoomScaleNormal="100" workbookViewId="0">
      <pane ySplit="2" topLeftCell="A3" activePane="bottomLeft" state="frozen"/>
      <selection sqref="A1:H1"/>
      <selection pane="bottomLeft" sqref="A1:H1"/>
    </sheetView>
  </sheetViews>
  <sheetFormatPr defaultRowHeight="15" customHeight="1" x14ac:dyDescent="0.2"/>
  <cols>
    <col min="1" max="1" width="28.85546875" style="39" customWidth="1"/>
    <col min="2" max="7" width="13.85546875" style="39" customWidth="1"/>
    <col min="8" max="8" width="10.140625" style="39" customWidth="1"/>
    <col min="9" max="16384" width="9.140625" style="39"/>
  </cols>
  <sheetData>
    <row r="1" spans="1:8" ht="15" customHeight="1" x14ac:dyDescent="0.2">
      <c r="A1" s="50" t="s">
        <v>271</v>
      </c>
      <c r="B1" s="51"/>
      <c r="C1" s="51"/>
      <c r="D1" s="51"/>
      <c r="E1" s="51"/>
      <c r="F1" s="51"/>
      <c r="G1" s="51"/>
      <c r="H1" s="51"/>
    </row>
    <row r="2" spans="1:8" ht="15" customHeight="1" x14ac:dyDescent="0.2">
      <c r="A2" s="6"/>
      <c r="B2" s="6"/>
      <c r="C2" s="6"/>
      <c r="D2" s="6"/>
      <c r="E2" s="6"/>
      <c r="F2" s="6"/>
      <c r="G2" s="6"/>
      <c r="H2" s="6"/>
    </row>
    <row r="3" spans="1:8" ht="15" customHeight="1" x14ac:dyDescent="0.2">
      <c r="A3" s="51" t="s">
        <v>272</v>
      </c>
      <c r="B3" s="51"/>
      <c r="C3" s="51"/>
      <c r="D3" s="51"/>
      <c r="E3" s="51"/>
      <c r="F3" s="51"/>
      <c r="G3" s="51"/>
      <c r="H3" s="51"/>
    </row>
    <row r="4" spans="1:8" ht="15" customHeight="1" x14ac:dyDescent="0.2">
      <c r="A4" s="53" t="s">
        <v>273</v>
      </c>
      <c r="B4" s="53"/>
      <c r="C4" s="53"/>
      <c r="D4" s="53"/>
      <c r="E4" s="53"/>
      <c r="F4" s="53"/>
      <c r="G4" s="53"/>
      <c r="H4" s="53"/>
    </row>
    <row r="5" spans="1:8" ht="15" customHeight="1" x14ac:dyDescent="0.2">
      <c r="A5" s="53" t="s">
        <v>274</v>
      </c>
      <c r="B5" s="53"/>
      <c r="C5" s="53"/>
      <c r="D5" s="53"/>
      <c r="E5" s="53"/>
      <c r="F5" s="53"/>
      <c r="G5" s="53"/>
      <c r="H5" s="53"/>
    </row>
    <row r="6" spans="1:8" ht="15" customHeight="1" x14ac:dyDescent="0.2">
      <c r="A6" s="53" t="s">
        <v>275</v>
      </c>
      <c r="B6" s="53"/>
      <c r="C6" s="53"/>
      <c r="D6" s="53"/>
      <c r="E6" s="53"/>
      <c r="F6" s="53"/>
      <c r="G6" s="53"/>
      <c r="H6" s="53"/>
    </row>
    <row r="7" spans="1:8" ht="15" customHeight="1" x14ac:dyDescent="0.2">
      <c r="A7" s="53" t="s">
        <v>276</v>
      </c>
      <c r="B7" s="53"/>
      <c r="C7" s="53"/>
      <c r="D7" s="53"/>
      <c r="E7" s="53"/>
      <c r="F7" s="53"/>
      <c r="G7" s="53"/>
      <c r="H7" s="53"/>
    </row>
    <row r="8" spans="1:8" ht="15" customHeight="1" x14ac:dyDescent="0.2">
      <c r="A8" s="53" t="s">
        <v>277</v>
      </c>
      <c r="B8" s="53"/>
      <c r="C8" s="53"/>
      <c r="D8" s="53"/>
      <c r="E8" s="53"/>
      <c r="F8" s="53"/>
      <c r="G8" s="53"/>
      <c r="H8" s="53"/>
    </row>
    <row r="9" spans="1:8" ht="15" customHeight="1" x14ac:dyDescent="0.2">
      <c r="A9" s="53" t="s">
        <v>278</v>
      </c>
      <c r="B9" s="53"/>
      <c r="C9" s="53"/>
      <c r="D9" s="53"/>
      <c r="E9" s="53"/>
      <c r="F9" s="53"/>
      <c r="G9" s="53"/>
      <c r="H9" s="53"/>
    </row>
    <row r="10" spans="1:8" ht="15" customHeight="1" x14ac:dyDescent="0.2">
      <c r="A10" s="53" t="s">
        <v>279</v>
      </c>
      <c r="B10" s="53"/>
      <c r="C10" s="53"/>
      <c r="D10" s="53"/>
      <c r="E10" s="53"/>
      <c r="F10" s="53"/>
      <c r="G10" s="53"/>
      <c r="H10" s="53"/>
    </row>
    <row r="11" spans="1:8" ht="15" customHeight="1" x14ac:dyDescent="0.2">
      <c r="A11" s="53" t="s">
        <v>280</v>
      </c>
      <c r="B11" s="53"/>
      <c r="C11" s="53"/>
      <c r="D11" s="53"/>
      <c r="E11" s="53"/>
      <c r="F11" s="53"/>
      <c r="G11" s="53"/>
      <c r="H11" s="53"/>
    </row>
    <row r="12" spans="1:8" ht="15" customHeight="1" x14ac:dyDescent="0.2">
      <c r="A12" s="6"/>
      <c r="B12" s="6"/>
      <c r="C12" s="6"/>
      <c r="D12" s="6"/>
      <c r="E12" s="6"/>
      <c r="F12" s="6"/>
      <c r="G12" s="6"/>
      <c r="H12" s="6"/>
    </row>
    <row r="13" spans="1:8" ht="15" customHeight="1" x14ac:dyDescent="0.2">
      <c r="A13" s="6"/>
      <c r="B13" s="6"/>
      <c r="C13" s="6"/>
      <c r="D13" s="6"/>
      <c r="E13" s="6"/>
      <c r="F13" s="6"/>
      <c r="G13" s="6"/>
      <c r="H13" s="6"/>
    </row>
    <row r="14" spans="1:8" ht="15" customHeight="1" x14ac:dyDescent="0.2">
      <c r="A14" s="6"/>
      <c r="B14" s="6"/>
      <c r="C14" s="6"/>
      <c r="D14" s="6"/>
      <c r="E14" s="6"/>
      <c r="F14" s="6"/>
      <c r="G14" s="6"/>
      <c r="H14" s="6"/>
    </row>
    <row r="15" spans="1:8" ht="15" customHeight="1" x14ac:dyDescent="0.2">
      <c r="A15" s="6"/>
      <c r="B15" s="6"/>
      <c r="C15" s="6"/>
      <c r="D15" s="6"/>
      <c r="E15" s="6"/>
      <c r="F15" s="6"/>
      <c r="G15" s="6"/>
      <c r="H15" s="6"/>
    </row>
    <row r="16" spans="1:8" ht="15" customHeight="1" x14ac:dyDescent="0.2">
      <c r="A16" s="6"/>
      <c r="B16" s="6"/>
      <c r="C16" s="6"/>
      <c r="D16" s="6"/>
      <c r="E16" s="6"/>
      <c r="F16" s="6"/>
      <c r="G16" s="6"/>
      <c r="H16" s="6"/>
    </row>
    <row r="17" spans="1:8" ht="15" customHeight="1" x14ac:dyDescent="0.2">
      <c r="A17" s="6"/>
      <c r="B17" s="6"/>
      <c r="C17" s="6"/>
      <c r="D17" s="6"/>
      <c r="E17" s="6"/>
      <c r="F17" s="6"/>
      <c r="G17" s="6"/>
      <c r="H17" s="6"/>
    </row>
    <row r="18" spans="1:8" ht="15" customHeight="1" x14ac:dyDescent="0.2">
      <c r="A18" s="6"/>
      <c r="B18" s="6"/>
      <c r="C18" s="6"/>
      <c r="D18" s="6"/>
      <c r="E18" s="6"/>
      <c r="F18" s="6"/>
      <c r="G18" s="6"/>
      <c r="H18" s="6"/>
    </row>
    <row r="19" spans="1:8" ht="15" customHeight="1" x14ac:dyDescent="0.2">
      <c r="A19" s="6"/>
      <c r="B19" s="6"/>
      <c r="C19" s="6"/>
      <c r="D19" s="6"/>
      <c r="E19" s="6"/>
      <c r="F19" s="6"/>
      <c r="G19" s="6"/>
      <c r="H19" s="6"/>
    </row>
    <row r="20" spans="1:8" ht="15" customHeight="1" x14ac:dyDescent="0.2">
      <c r="A20" s="6"/>
      <c r="B20" s="6"/>
      <c r="C20" s="6"/>
      <c r="D20" s="6"/>
      <c r="E20" s="6"/>
      <c r="F20" s="6"/>
      <c r="G20" s="6"/>
      <c r="H20" s="6"/>
    </row>
    <row r="21" spans="1:8" ht="15" customHeight="1" x14ac:dyDescent="0.2">
      <c r="A21" s="6"/>
      <c r="B21" s="6"/>
      <c r="C21" s="6"/>
      <c r="D21" s="6"/>
      <c r="E21" s="6"/>
      <c r="F21" s="6"/>
      <c r="G21" s="6"/>
      <c r="H21" s="6"/>
    </row>
    <row r="22" spans="1:8" ht="15" customHeight="1" x14ac:dyDescent="0.2">
      <c r="A22" s="6"/>
      <c r="B22" s="6"/>
      <c r="C22" s="6"/>
      <c r="D22" s="6"/>
      <c r="E22" s="6"/>
      <c r="F22" s="6"/>
      <c r="G22" s="6"/>
      <c r="H22" s="6"/>
    </row>
    <row r="23" spans="1:8" ht="15" customHeight="1" x14ac:dyDescent="0.2">
      <c r="A23" s="6"/>
      <c r="B23" s="6"/>
      <c r="C23" s="6"/>
      <c r="D23" s="6"/>
      <c r="E23" s="6"/>
      <c r="F23" s="6"/>
      <c r="G23" s="6"/>
      <c r="H23" s="6"/>
    </row>
    <row r="24" spans="1:8" ht="15" customHeight="1" x14ac:dyDescent="0.2">
      <c r="A24" s="6"/>
      <c r="B24" s="6"/>
      <c r="C24" s="6"/>
      <c r="D24" s="6"/>
      <c r="E24" s="6"/>
      <c r="F24" s="6"/>
      <c r="G24" s="6"/>
      <c r="H24" s="6"/>
    </row>
    <row r="25" spans="1:8" ht="15" customHeight="1" x14ac:dyDescent="0.2">
      <c r="A25" s="6"/>
      <c r="B25" s="6"/>
      <c r="C25" s="6"/>
      <c r="D25" s="6"/>
      <c r="E25" s="6"/>
      <c r="F25" s="6"/>
      <c r="G25" s="6"/>
      <c r="H25" s="6"/>
    </row>
    <row r="26" spans="1:8" ht="15" customHeight="1" x14ac:dyDescent="0.2">
      <c r="A26" s="6"/>
      <c r="B26" s="6"/>
      <c r="C26" s="6"/>
      <c r="D26" s="6"/>
      <c r="E26" s="6"/>
      <c r="F26" s="6"/>
      <c r="G26" s="6"/>
      <c r="H26" s="6"/>
    </row>
    <row r="27" spans="1:8" ht="15" customHeight="1" x14ac:dyDescent="0.2">
      <c r="A27" s="6"/>
      <c r="B27" s="6"/>
      <c r="C27" s="6"/>
      <c r="D27" s="6"/>
      <c r="E27" s="6"/>
      <c r="F27" s="6"/>
      <c r="G27" s="6"/>
      <c r="H27" s="6"/>
    </row>
    <row r="28" spans="1:8" ht="15" customHeight="1" x14ac:dyDescent="0.2">
      <c r="A28" s="6"/>
      <c r="B28" s="6"/>
      <c r="C28" s="6"/>
      <c r="D28" s="6"/>
      <c r="E28" s="6"/>
      <c r="F28" s="6"/>
      <c r="G28" s="6"/>
      <c r="H28" s="6"/>
    </row>
    <row r="29" spans="1:8" ht="15" customHeight="1" x14ac:dyDescent="0.2">
      <c r="A29" s="6"/>
      <c r="B29" s="6"/>
      <c r="C29" s="6"/>
      <c r="D29" s="6"/>
      <c r="E29" s="6"/>
      <c r="F29" s="6"/>
      <c r="G29" s="6"/>
      <c r="H29" s="6"/>
    </row>
    <row r="30" spans="1:8" ht="15" customHeight="1" x14ac:dyDescent="0.2">
      <c r="A30" s="6"/>
      <c r="B30" s="6"/>
      <c r="C30" s="6"/>
      <c r="D30" s="6"/>
      <c r="E30" s="6"/>
      <c r="F30" s="6"/>
      <c r="G30" s="6"/>
      <c r="H30" s="6"/>
    </row>
    <row r="31" spans="1:8" ht="15" customHeight="1" x14ac:dyDescent="0.2">
      <c r="A31" s="6"/>
      <c r="B31" s="6"/>
      <c r="C31" s="6"/>
      <c r="D31" s="6"/>
      <c r="E31" s="6"/>
      <c r="F31" s="6"/>
      <c r="G31" s="6"/>
      <c r="H31" s="6"/>
    </row>
    <row r="32" spans="1:8" ht="15" customHeight="1" x14ac:dyDescent="0.2">
      <c r="A32" s="51" t="s">
        <v>8</v>
      </c>
      <c r="B32" s="51"/>
      <c r="C32" s="51"/>
      <c r="D32" s="51"/>
      <c r="E32" s="51"/>
      <c r="F32" s="51"/>
      <c r="G32" s="51"/>
      <c r="H32" s="51"/>
    </row>
    <row r="33" spans="1:8" ht="15" customHeight="1" x14ac:dyDescent="0.2">
      <c r="A33" s="2" t="s">
        <v>281</v>
      </c>
      <c r="B33" s="17">
        <v>0.7</v>
      </c>
      <c r="C33" s="6"/>
      <c r="D33" s="6"/>
      <c r="E33" s="6"/>
      <c r="F33" s="6"/>
      <c r="G33" s="6"/>
      <c r="H33" s="6"/>
    </row>
    <row r="34" spans="1:8" ht="15" customHeight="1" x14ac:dyDescent="0.2">
      <c r="A34" s="2" t="s">
        <v>282</v>
      </c>
      <c r="B34" s="17">
        <v>0.25</v>
      </c>
      <c r="C34" s="6"/>
      <c r="D34" s="6"/>
      <c r="E34" s="6"/>
      <c r="F34" s="6"/>
      <c r="G34" s="6"/>
      <c r="H34" s="6"/>
    </row>
    <row r="35" spans="1:8" ht="15" customHeight="1" x14ac:dyDescent="0.2">
      <c r="A35" s="2" t="s">
        <v>283</v>
      </c>
      <c r="B35" s="17">
        <v>0.05</v>
      </c>
      <c r="C35" s="6"/>
      <c r="D35" s="6"/>
      <c r="E35" s="6"/>
      <c r="F35" s="6"/>
      <c r="G35" s="6"/>
      <c r="H35" s="6"/>
    </row>
    <row r="36" spans="1:8" ht="15" customHeight="1" x14ac:dyDescent="0.2">
      <c r="A36" s="2" t="s">
        <v>284</v>
      </c>
      <c r="B36" s="17">
        <v>0.7</v>
      </c>
      <c r="C36" s="6"/>
      <c r="D36" s="6"/>
      <c r="E36" s="6"/>
      <c r="F36" s="6"/>
      <c r="G36" s="6"/>
      <c r="H36" s="6"/>
    </row>
    <row r="37" spans="1:8" ht="15" customHeight="1" x14ac:dyDescent="0.2">
      <c r="A37" s="2" t="s">
        <v>285</v>
      </c>
      <c r="B37" s="17">
        <v>0.25</v>
      </c>
      <c r="C37" s="6"/>
      <c r="D37" s="6"/>
      <c r="E37" s="6"/>
      <c r="F37" s="6"/>
      <c r="G37" s="6"/>
      <c r="H37" s="6"/>
    </row>
    <row r="38" spans="1:8" ht="15" customHeight="1" x14ac:dyDescent="0.2">
      <c r="A38" s="2" t="s">
        <v>286</v>
      </c>
      <c r="B38" s="17">
        <v>0.05</v>
      </c>
      <c r="C38" s="6"/>
      <c r="D38" s="6"/>
      <c r="E38" s="6"/>
      <c r="F38" s="6"/>
      <c r="G38" s="6"/>
      <c r="H38" s="6"/>
    </row>
    <row r="39" spans="1:8" ht="15" customHeight="1" x14ac:dyDescent="0.2">
      <c r="A39" s="6"/>
      <c r="B39" s="6"/>
      <c r="C39" s="6"/>
      <c r="D39" s="6"/>
      <c r="E39" s="6"/>
      <c r="F39" s="6"/>
      <c r="G39" s="6"/>
      <c r="H39" s="6"/>
    </row>
    <row r="40" spans="1:8" ht="15" customHeight="1" x14ac:dyDescent="0.2">
      <c r="A40" s="51" t="s">
        <v>287</v>
      </c>
      <c r="B40" s="51"/>
      <c r="C40" s="51"/>
      <c r="D40" s="51"/>
      <c r="E40" s="51"/>
      <c r="F40" s="51"/>
      <c r="G40" s="51"/>
      <c r="H40" s="6"/>
    </row>
    <row r="41" spans="1:8" ht="15" customHeight="1" x14ac:dyDescent="0.2">
      <c r="A41" s="38" t="s">
        <v>288</v>
      </c>
      <c r="B41" s="52" t="s">
        <v>289</v>
      </c>
      <c r="C41" s="52"/>
      <c r="D41" s="52"/>
      <c r="E41" s="52" t="s">
        <v>290</v>
      </c>
      <c r="F41" s="52"/>
      <c r="G41" s="52"/>
      <c r="H41" s="6"/>
    </row>
    <row r="42" spans="1:8" ht="15" customHeight="1" x14ac:dyDescent="0.2">
      <c r="A42" s="38" t="s">
        <v>291</v>
      </c>
      <c r="B42" s="6"/>
      <c r="C42" s="6"/>
      <c r="D42" s="6"/>
      <c r="E42" s="6"/>
      <c r="F42" s="6"/>
      <c r="G42" s="6"/>
      <c r="H42" s="6"/>
    </row>
    <row r="43" spans="1:8" ht="15" customHeight="1" x14ac:dyDescent="0.2">
      <c r="A43" s="6"/>
      <c r="B43" s="38" t="s">
        <v>292</v>
      </c>
      <c r="C43" s="38" t="s">
        <v>293</v>
      </c>
      <c r="D43" s="38" t="s">
        <v>294</v>
      </c>
      <c r="E43" s="38" t="s">
        <v>292</v>
      </c>
      <c r="F43" s="38" t="s">
        <v>293</v>
      </c>
      <c r="G43" s="38" t="s">
        <v>294</v>
      </c>
      <c r="H43" s="6"/>
    </row>
    <row r="44" spans="1:8" ht="15" customHeight="1" x14ac:dyDescent="0.2">
      <c r="A44" s="6"/>
      <c r="B44" s="38" t="s">
        <v>295</v>
      </c>
      <c r="C44" s="38" t="s">
        <v>295</v>
      </c>
      <c r="D44" s="38" t="s">
        <v>295</v>
      </c>
      <c r="E44" s="38" t="s">
        <v>295</v>
      </c>
      <c r="F44" s="38" t="s">
        <v>295</v>
      </c>
      <c r="G44" s="38" t="s">
        <v>295</v>
      </c>
      <c r="H44" s="6"/>
    </row>
    <row r="45" spans="1:8" ht="15" customHeight="1" x14ac:dyDescent="0.2">
      <c r="A45" s="47">
        <v>0.3</v>
      </c>
      <c r="B45" s="47">
        <f t="shared" ref="B45:B50" si="0">MAX(MIN(A45,$B$35),0)/$B$35</f>
        <v>1</v>
      </c>
      <c r="C45" s="47">
        <f t="shared" ref="C45:C50" si="1">MAX(MIN(A45-$B$35,$B$34),0)/$B$34</f>
        <v>1</v>
      </c>
      <c r="D45" s="47">
        <f t="shared" ref="D45:D50" si="2">MAX(MIN(A45-$B$35-$B$34,$B$33),0)/$B$33</f>
        <v>0</v>
      </c>
      <c r="E45" s="47">
        <f t="shared" ref="E45:E50" si="3">MAX(MIN(C45,$B$38),0)/$B$38</f>
        <v>1</v>
      </c>
      <c r="F45" s="47">
        <f t="shared" ref="F45:F50" si="4">MAX(MIN(C45-$B$38,$B$37),0)/$B$37</f>
        <v>1</v>
      </c>
      <c r="G45" s="47">
        <f t="shared" ref="G45:G50" si="5">MAX(MIN(C45-$B$38-$B$37,$B$36),0)/$B$36</f>
        <v>1</v>
      </c>
      <c r="H45" s="6"/>
    </row>
    <row r="46" spans="1:8" ht="15" customHeight="1" x14ac:dyDescent="0.2">
      <c r="A46" s="47">
        <v>0.65</v>
      </c>
      <c r="B46" s="47">
        <f t="shared" si="0"/>
        <v>1</v>
      </c>
      <c r="C46" s="47">
        <f t="shared" si="1"/>
        <v>1</v>
      </c>
      <c r="D46" s="47">
        <f t="shared" si="2"/>
        <v>0.5</v>
      </c>
      <c r="E46" s="47">
        <f t="shared" si="3"/>
        <v>1</v>
      </c>
      <c r="F46" s="47">
        <f t="shared" si="4"/>
        <v>1</v>
      </c>
      <c r="G46" s="47">
        <f t="shared" si="5"/>
        <v>1</v>
      </c>
      <c r="H46" s="6"/>
    </row>
    <row r="47" spans="1:8" ht="15" customHeight="1" x14ac:dyDescent="0.2">
      <c r="A47" s="47">
        <v>6.25E-2</v>
      </c>
      <c r="B47" s="47">
        <f t="shared" si="0"/>
        <v>1</v>
      </c>
      <c r="C47" s="47">
        <f t="shared" si="1"/>
        <v>4.9999999999999989E-2</v>
      </c>
      <c r="D47" s="47">
        <f t="shared" si="2"/>
        <v>0</v>
      </c>
      <c r="E47" s="47">
        <f t="shared" si="3"/>
        <v>0.99999999999999978</v>
      </c>
      <c r="F47" s="47">
        <f t="shared" si="4"/>
        <v>0</v>
      </c>
      <c r="G47" s="47">
        <f t="shared" si="5"/>
        <v>0</v>
      </c>
      <c r="H47" s="6"/>
    </row>
    <row r="48" spans="1:8" ht="15" customHeight="1" x14ac:dyDescent="0.2">
      <c r="A48" s="47">
        <v>0.125</v>
      </c>
      <c r="B48" s="47">
        <f t="shared" si="0"/>
        <v>1</v>
      </c>
      <c r="C48" s="47">
        <f t="shared" si="1"/>
        <v>0.3</v>
      </c>
      <c r="D48" s="47">
        <f t="shared" si="2"/>
        <v>0</v>
      </c>
      <c r="E48" s="47">
        <f t="shared" si="3"/>
        <v>1</v>
      </c>
      <c r="F48" s="47">
        <f t="shared" si="4"/>
        <v>1</v>
      </c>
      <c r="G48" s="47">
        <f t="shared" si="5"/>
        <v>0</v>
      </c>
      <c r="H48" s="6"/>
    </row>
    <row r="49" spans="1:8" ht="15" customHeight="1" x14ac:dyDescent="0.2">
      <c r="A49" s="47">
        <v>0.21249999999999999</v>
      </c>
      <c r="B49" s="47">
        <f t="shared" si="0"/>
        <v>1</v>
      </c>
      <c r="C49" s="47">
        <f t="shared" si="1"/>
        <v>0.64999999999999991</v>
      </c>
      <c r="D49" s="47">
        <f t="shared" si="2"/>
        <v>0</v>
      </c>
      <c r="E49" s="47">
        <f t="shared" si="3"/>
        <v>1</v>
      </c>
      <c r="F49" s="47">
        <f t="shared" si="4"/>
        <v>1</v>
      </c>
      <c r="G49" s="47">
        <f t="shared" si="5"/>
        <v>0.49999999999999983</v>
      </c>
      <c r="H49" s="6"/>
    </row>
    <row r="50" spans="1:8" ht="15" customHeight="1" x14ac:dyDescent="0.2">
      <c r="A50" s="47">
        <v>0.3</v>
      </c>
      <c r="B50" s="47">
        <f t="shared" si="0"/>
        <v>1</v>
      </c>
      <c r="C50" s="47">
        <f t="shared" si="1"/>
        <v>1</v>
      </c>
      <c r="D50" s="47">
        <f t="shared" si="2"/>
        <v>0</v>
      </c>
      <c r="E50" s="47">
        <f t="shared" si="3"/>
        <v>1</v>
      </c>
      <c r="F50" s="47">
        <f t="shared" si="4"/>
        <v>1</v>
      </c>
      <c r="G50" s="47">
        <f t="shared" si="5"/>
        <v>1</v>
      </c>
      <c r="H50" s="6"/>
    </row>
    <row r="51" spans="1:8" ht="15" customHeight="1" x14ac:dyDescent="0.2">
      <c r="A51" s="6"/>
      <c r="B51" s="6"/>
      <c r="C51" s="6"/>
      <c r="D51" s="6"/>
      <c r="E51" s="6"/>
      <c r="F51" s="6"/>
      <c r="G51" s="6"/>
      <c r="H51" s="6"/>
    </row>
    <row r="52" spans="1:8" ht="15" customHeight="1" x14ac:dyDescent="0.2">
      <c r="A52" s="6"/>
      <c r="B52" s="6"/>
      <c r="C52" s="6"/>
      <c r="D52" s="6"/>
      <c r="E52" s="6"/>
      <c r="F52" s="6"/>
      <c r="G52" s="6"/>
      <c r="H52" s="6"/>
    </row>
    <row r="53" spans="1:8" ht="15" customHeight="1" x14ac:dyDescent="0.2">
      <c r="A53" s="6"/>
      <c r="B53" s="6"/>
      <c r="C53" s="6"/>
      <c r="D53" s="6"/>
      <c r="E53" s="6"/>
      <c r="F53" s="6"/>
      <c r="G53" s="6"/>
      <c r="H53" s="6"/>
    </row>
    <row r="54" spans="1:8" ht="15" customHeight="1" x14ac:dyDescent="0.2">
      <c r="A54" s="6"/>
      <c r="B54" s="6"/>
      <c r="C54" s="6"/>
      <c r="D54" s="6"/>
      <c r="E54" s="6"/>
      <c r="F54" s="6"/>
      <c r="G54" s="6"/>
      <c r="H54" s="6"/>
    </row>
  </sheetData>
  <mergeCells count="14">
    <mergeCell ref="A32:H32"/>
    <mergeCell ref="A40:G40"/>
    <mergeCell ref="B41:D41"/>
    <mergeCell ref="E41:G41"/>
    <mergeCell ref="A7:H7"/>
    <mergeCell ref="A8:H8"/>
    <mergeCell ref="A9:H9"/>
    <mergeCell ref="A10:H10"/>
    <mergeCell ref="A11:H11"/>
    <mergeCell ref="A1:H1"/>
    <mergeCell ref="A3:H3"/>
    <mergeCell ref="A4:H4"/>
    <mergeCell ref="A5:H5"/>
    <mergeCell ref="A6:H6"/>
  </mergeCells>
  <pageMargins left="0.35" right="0.35" top="0.45" bottom="0.45" header="0.2" footer="0.2"/>
  <pageSetup paperSize="9" fitToHeight="0" orientation="landscape"/>
  <headerFooter>
    <oddFooter>&amp;L&amp;"Times New Roman,Regular"&amp;8John C. Hull – 12a edizione&amp;C&amp;"Times New Roman,Regular"&amp;8Ulteriori Domande&amp;R&amp;"Times New Roman,Regular"&amp;8&amp;A |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36878"/>
    <pageSetUpPr fitToPage="1"/>
  </sheetPr>
  <dimension ref="A1:H20"/>
  <sheetViews>
    <sheetView showGridLines="0" zoomScaleNormal="100" workbookViewId="0">
      <pane ySplit="2" topLeftCell="A3" activePane="bottomLeft" state="frozen"/>
      <selection sqref="A1:H1"/>
      <selection pane="bottomLeft" sqref="A1:H1"/>
    </sheetView>
  </sheetViews>
  <sheetFormatPr defaultRowHeight="15" customHeight="1" x14ac:dyDescent="0.2"/>
  <cols>
    <col min="1" max="1" width="26.28515625" style="39" customWidth="1"/>
    <col min="2" max="2" width="13.85546875" style="39" customWidth="1"/>
    <col min="3" max="3" width="12.5703125" style="39" customWidth="1"/>
    <col min="4" max="4" width="15.140625" style="39" customWidth="1"/>
    <col min="5" max="5" width="13.85546875" style="39" customWidth="1"/>
    <col min="6" max="6" width="12.5703125" style="39" customWidth="1"/>
    <col min="7" max="7" width="15.140625" style="39" customWidth="1"/>
    <col min="8" max="8" width="13.85546875" style="39" customWidth="1"/>
    <col min="9" max="16384" width="9.140625" style="39"/>
  </cols>
  <sheetData>
    <row r="1" spans="1:8" ht="15" customHeight="1" x14ac:dyDescent="0.2">
      <c r="A1" s="50" t="s">
        <v>296</v>
      </c>
      <c r="B1" s="51"/>
      <c r="C1" s="51"/>
      <c r="D1" s="51"/>
      <c r="E1" s="51"/>
      <c r="F1" s="51"/>
      <c r="G1" s="51"/>
      <c r="H1" s="51"/>
    </row>
    <row r="2" spans="1:8" ht="15" customHeight="1" x14ac:dyDescent="0.2">
      <c r="A2" s="6"/>
      <c r="B2" s="6"/>
      <c r="C2" s="6"/>
      <c r="D2" s="6"/>
      <c r="E2" s="6"/>
      <c r="F2" s="6"/>
      <c r="G2" s="6"/>
      <c r="H2" s="6"/>
    </row>
    <row r="3" spans="1:8" ht="15" customHeight="1" x14ac:dyDescent="0.2">
      <c r="A3" s="51" t="s">
        <v>297</v>
      </c>
      <c r="B3" s="51"/>
      <c r="C3" s="51"/>
      <c r="D3" s="51"/>
      <c r="E3" s="51"/>
      <c r="F3" s="51"/>
      <c r="G3" s="51"/>
      <c r="H3" s="51"/>
    </row>
    <row r="4" spans="1:8" ht="15" customHeight="1" x14ac:dyDescent="0.2">
      <c r="A4" s="53" t="s">
        <v>298</v>
      </c>
      <c r="B4" s="53"/>
      <c r="C4" s="53"/>
      <c r="D4" s="53"/>
      <c r="E4" s="53"/>
      <c r="F4" s="53"/>
      <c r="G4" s="53"/>
      <c r="H4" s="53"/>
    </row>
    <row r="5" spans="1:8" ht="15" customHeight="1" x14ac:dyDescent="0.2">
      <c r="A5" s="53" t="s">
        <v>299</v>
      </c>
      <c r="B5" s="53"/>
      <c r="C5" s="53"/>
      <c r="D5" s="53"/>
      <c r="E5" s="53"/>
      <c r="F5" s="53"/>
      <c r="G5" s="53"/>
      <c r="H5" s="53"/>
    </row>
    <row r="6" spans="1:8" ht="15" customHeight="1" x14ac:dyDescent="0.2">
      <c r="A6" s="53" t="s">
        <v>300</v>
      </c>
      <c r="B6" s="53"/>
      <c r="C6" s="53"/>
      <c r="D6" s="53"/>
      <c r="E6" s="53"/>
      <c r="F6" s="53"/>
      <c r="G6" s="53"/>
      <c r="H6" s="53"/>
    </row>
    <row r="7" spans="1:8" ht="15" customHeight="1" x14ac:dyDescent="0.2">
      <c r="A7" s="53" t="s">
        <v>301</v>
      </c>
      <c r="B7" s="53"/>
      <c r="C7" s="53"/>
      <c r="D7" s="53"/>
      <c r="E7" s="53"/>
      <c r="F7" s="53"/>
      <c r="G7" s="53"/>
      <c r="H7" s="53"/>
    </row>
    <row r="8" spans="1:8" ht="15" customHeight="1" x14ac:dyDescent="0.2">
      <c r="A8" s="6"/>
      <c r="B8" s="6"/>
      <c r="C8" s="6"/>
      <c r="D8" s="6"/>
      <c r="E8" s="6"/>
      <c r="F8" s="6"/>
      <c r="G8" s="6"/>
      <c r="H8" s="6"/>
    </row>
    <row r="9" spans="1:8" ht="15" customHeight="1" x14ac:dyDescent="0.2">
      <c r="A9" s="51" t="s">
        <v>8</v>
      </c>
      <c r="B9" s="51"/>
      <c r="C9" s="51"/>
      <c r="D9" s="51"/>
      <c r="E9" s="51"/>
      <c r="F9" s="51"/>
      <c r="G9" s="51"/>
      <c r="H9" s="51"/>
    </row>
    <row r="10" spans="1:8" ht="15" customHeight="1" x14ac:dyDescent="0.2">
      <c r="A10" s="2" t="s">
        <v>50</v>
      </c>
      <c r="B10" s="7">
        <v>6</v>
      </c>
      <c r="C10" s="6"/>
      <c r="D10" s="6"/>
      <c r="E10" s="6"/>
      <c r="F10" s="6"/>
      <c r="G10" s="6"/>
      <c r="H10" s="6"/>
    </row>
    <row r="11" spans="1:8" ht="15" customHeight="1" x14ac:dyDescent="0.2">
      <c r="A11" s="2" t="s">
        <v>106</v>
      </c>
      <c r="B11" s="7">
        <v>5</v>
      </c>
      <c r="C11" s="6"/>
      <c r="D11" s="6"/>
      <c r="E11" s="6"/>
      <c r="F11" s="6"/>
      <c r="G11" s="6"/>
      <c r="H11" s="6"/>
    </row>
    <row r="12" spans="1:8" ht="15" customHeight="1" x14ac:dyDescent="0.2">
      <c r="A12" s="2" t="s">
        <v>11</v>
      </c>
      <c r="B12" s="8">
        <v>60</v>
      </c>
      <c r="C12" s="6"/>
      <c r="D12" s="6"/>
      <c r="E12" s="6"/>
      <c r="F12" s="6"/>
      <c r="G12" s="6"/>
      <c r="H12" s="6"/>
    </row>
    <row r="13" spans="1:8" ht="15" customHeight="1" x14ac:dyDescent="0.2">
      <c r="A13" s="2" t="s">
        <v>49</v>
      </c>
      <c r="B13" s="7">
        <v>500</v>
      </c>
      <c r="C13" s="6"/>
      <c r="D13" s="6"/>
      <c r="E13" s="6"/>
      <c r="F13" s="6"/>
      <c r="G13" s="6"/>
      <c r="H13" s="6"/>
    </row>
    <row r="14" spans="1:8" ht="15" customHeight="1" x14ac:dyDescent="0.2">
      <c r="A14" s="6"/>
      <c r="B14" s="6"/>
      <c r="C14" s="6"/>
      <c r="D14" s="6"/>
      <c r="E14" s="6"/>
      <c r="F14" s="6"/>
      <c r="G14" s="6"/>
      <c r="H14" s="6"/>
    </row>
    <row r="15" spans="1:8" ht="15" customHeight="1" x14ac:dyDescent="0.2">
      <c r="A15" s="2" t="s">
        <v>302</v>
      </c>
      <c r="B15" s="8">
        <f>B12*B11/B10</f>
        <v>50</v>
      </c>
      <c r="C15" s="6"/>
      <c r="D15" s="6"/>
      <c r="E15" s="6"/>
      <c r="F15" s="6"/>
      <c r="G15" s="6"/>
      <c r="H15" s="6"/>
    </row>
    <row r="16" spans="1:8" ht="15" customHeight="1" x14ac:dyDescent="0.2">
      <c r="A16" s="2" t="s">
        <v>95</v>
      </c>
      <c r="B16" s="7">
        <f>B13*B10/B11</f>
        <v>600</v>
      </c>
      <c r="C16" s="6"/>
      <c r="D16" s="6"/>
      <c r="E16" s="6"/>
      <c r="F16" s="6"/>
      <c r="G16" s="6"/>
      <c r="H16" s="6"/>
    </row>
    <row r="17" spans="1:8" ht="15" customHeight="1" x14ac:dyDescent="0.2">
      <c r="A17" s="6"/>
      <c r="B17" s="6"/>
      <c r="C17" s="6"/>
      <c r="D17" s="6"/>
      <c r="E17" s="6"/>
      <c r="F17" s="6"/>
      <c r="G17" s="6"/>
      <c r="H17" s="6"/>
    </row>
    <row r="18" spans="1:8" ht="15" customHeight="1" x14ac:dyDescent="0.2">
      <c r="A18" s="6"/>
      <c r="B18" s="6"/>
      <c r="C18" s="6"/>
      <c r="D18" s="6"/>
      <c r="E18" s="6"/>
      <c r="F18" s="6"/>
      <c r="G18" s="6"/>
      <c r="H18" s="6"/>
    </row>
    <row r="19" spans="1:8" ht="15" customHeight="1" x14ac:dyDescent="0.2">
      <c r="A19" s="6"/>
      <c r="B19" s="6"/>
      <c r="C19" s="6"/>
      <c r="D19" s="6"/>
      <c r="E19" s="6"/>
      <c r="F19" s="6"/>
      <c r="G19" s="6"/>
      <c r="H19" s="6"/>
    </row>
    <row r="20" spans="1:8" ht="15" customHeight="1" x14ac:dyDescent="0.2">
      <c r="A20" s="6"/>
      <c r="B20" s="6"/>
      <c r="C20" s="6"/>
      <c r="D20" s="6"/>
      <c r="E20" s="6"/>
      <c r="F20" s="6"/>
      <c r="G20" s="6"/>
      <c r="H20" s="6"/>
    </row>
  </sheetData>
  <mergeCells count="7">
    <mergeCell ref="A7:H7"/>
    <mergeCell ref="A9:H9"/>
    <mergeCell ref="A1:H1"/>
    <mergeCell ref="A3:H3"/>
    <mergeCell ref="A4:H4"/>
    <mergeCell ref="A5:H5"/>
    <mergeCell ref="A6:H6"/>
  </mergeCells>
  <pageMargins left="0.35" right="0.35" top="0.45" bottom="0.45" header="0.2" footer="0.2"/>
  <pageSetup paperSize="9" fitToHeight="0" orientation="landscape"/>
  <headerFooter>
    <oddFooter>&amp;L&amp;"Times New Roman,Regular"&amp;8John C. Hull – 12a edizione&amp;C&amp;"Times New Roman,Regular"&amp;8Ulteriori Domande&amp;R&amp;"Times New Roman,Regular"&amp;8&amp;A |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36878"/>
    <pageSetUpPr fitToPage="1"/>
  </sheetPr>
  <dimension ref="A1:H18"/>
  <sheetViews>
    <sheetView showGridLines="0" zoomScaleNormal="100" workbookViewId="0">
      <pane ySplit="2" topLeftCell="A3" activePane="bottomLeft" state="frozen"/>
      <selection sqref="A1:H1"/>
      <selection pane="bottomLeft" sqref="A1:H1"/>
    </sheetView>
  </sheetViews>
  <sheetFormatPr defaultRowHeight="15" customHeight="1" x14ac:dyDescent="0.2"/>
  <cols>
    <col min="1" max="1" width="26.28515625" style="39" customWidth="1"/>
    <col min="2" max="2" width="13.85546875" style="39" customWidth="1"/>
    <col min="3" max="3" width="12.5703125" style="39" customWidth="1"/>
    <col min="4" max="4" width="15.140625" style="39" customWidth="1"/>
    <col min="5" max="5" width="13.85546875" style="39" customWidth="1"/>
    <col min="6" max="6" width="12.5703125" style="39" customWidth="1"/>
    <col min="7" max="7" width="15.140625" style="39" customWidth="1"/>
    <col min="8" max="8" width="13.85546875" style="39" customWidth="1"/>
    <col min="9" max="16384" width="9.140625" style="39"/>
  </cols>
  <sheetData>
    <row r="1" spans="1:8" ht="15" customHeight="1" x14ac:dyDescent="0.2">
      <c r="A1" s="50" t="s">
        <v>303</v>
      </c>
      <c r="B1" s="51"/>
      <c r="C1" s="51"/>
      <c r="D1" s="51"/>
      <c r="E1" s="51"/>
      <c r="F1" s="51"/>
      <c r="G1" s="51"/>
      <c r="H1" s="51"/>
    </row>
    <row r="2" spans="1:8" ht="15" customHeight="1" x14ac:dyDescent="0.2">
      <c r="A2" s="6"/>
      <c r="B2" s="6"/>
      <c r="C2" s="6"/>
      <c r="D2" s="6"/>
      <c r="E2" s="6"/>
      <c r="F2" s="6"/>
      <c r="G2" s="6"/>
      <c r="H2" s="6"/>
    </row>
    <row r="3" spans="1:8" ht="15" customHeight="1" x14ac:dyDescent="0.2">
      <c r="A3" s="51" t="s">
        <v>304</v>
      </c>
      <c r="B3" s="51"/>
      <c r="C3" s="51"/>
      <c r="D3" s="51"/>
      <c r="E3" s="51"/>
      <c r="F3" s="51"/>
      <c r="G3" s="51"/>
      <c r="H3" s="51"/>
    </row>
    <row r="4" spans="1:8" ht="15" customHeight="1" x14ac:dyDescent="0.2">
      <c r="A4" s="53" t="s">
        <v>305</v>
      </c>
      <c r="B4" s="53"/>
      <c r="C4" s="53"/>
      <c r="D4" s="53"/>
      <c r="E4" s="53"/>
      <c r="F4" s="53"/>
      <c r="G4" s="53"/>
      <c r="H4" s="53"/>
    </row>
    <row r="5" spans="1:8" ht="15" customHeight="1" x14ac:dyDescent="0.2">
      <c r="A5" s="53" t="s">
        <v>306</v>
      </c>
      <c r="B5" s="53"/>
      <c r="C5" s="53"/>
      <c r="D5" s="53"/>
      <c r="E5" s="53"/>
      <c r="F5" s="53"/>
      <c r="G5" s="53"/>
      <c r="H5" s="53"/>
    </row>
    <row r="6" spans="1:8" ht="15" customHeight="1" x14ac:dyDescent="0.2">
      <c r="A6" s="6"/>
      <c r="B6" s="6"/>
      <c r="C6" s="6"/>
      <c r="D6" s="6"/>
      <c r="E6" s="6"/>
      <c r="F6" s="6"/>
      <c r="G6" s="6"/>
      <c r="H6" s="6"/>
    </row>
    <row r="7" spans="1:8" ht="15" customHeight="1" x14ac:dyDescent="0.2">
      <c r="A7" s="51" t="s">
        <v>8</v>
      </c>
      <c r="B7" s="51"/>
      <c r="C7" s="51"/>
      <c r="D7" s="51"/>
      <c r="E7" s="51"/>
      <c r="F7" s="51"/>
      <c r="G7" s="51"/>
      <c r="H7" s="51"/>
    </row>
    <row r="8" spans="1:8" ht="15" customHeight="1" x14ac:dyDescent="0.2">
      <c r="A8" s="6" t="s">
        <v>21</v>
      </c>
      <c r="B8" s="8">
        <v>40</v>
      </c>
      <c r="C8" s="6"/>
      <c r="D8" s="6"/>
      <c r="E8" s="6"/>
      <c r="F8" s="6"/>
      <c r="G8" s="6"/>
      <c r="H8" s="6"/>
    </row>
    <row r="9" spans="1:8" ht="15" customHeight="1" x14ac:dyDescent="0.2">
      <c r="A9" s="2" t="s">
        <v>11</v>
      </c>
      <c r="B9" s="8">
        <v>45</v>
      </c>
      <c r="C9" s="6"/>
      <c r="D9" s="6"/>
      <c r="E9" s="6"/>
      <c r="F9" s="6"/>
      <c r="G9" s="6"/>
      <c r="H9" s="6"/>
    </row>
    <row r="10" spans="1:8" ht="15" customHeight="1" x14ac:dyDescent="0.2">
      <c r="A10" s="2" t="s">
        <v>140</v>
      </c>
      <c r="B10" s="15">
        <f>6/12</f>
        <v>0.5</v>
      </c>
      <c r="C10" s="6"/>
      <c r="D10" s="6"/>
      <c r="E10" s="6"/>
      <c r="F10" s="6"/>
      <c r="G10" s="6"/>
      <c r="H10" s="6"/>
    </row>
    <row r="11" spans="1:8" ht="15" customHeight="1" x14ac:dyDescent="0.2">
      <c r="A11" s="2" t="s">
        <v>10</v>
      </c>
      <c r="B11" s="8">
        <v>2</v>
      </c>
      <c r="C11" s="6"/>
      <c r="D11" s="6"/>
      <c r="E11" s="6"/>
      <c r="F11" s="6"/>
      <c r="G11" s="6"/>
      <c r="H11" s="6"/>
    </row>
    <row r="12" spans="1:8" ht="15" customHeight="1" x14ac:dyDescent="0.2">
      <c r="A12" s="2" t="s">
        <v>22</v>
      </c>
      <c r="B12" s="8">
        <v>5</v>
      </c>
      <c r="C12" s="6"/>
      <c r="D12" s="6"/>
      <c r="E12" s="6"/>
      <c r="F12" s="6"/>
      <c r="G12" s="6"/>
      <c r="H12" s="6"/>
    </row>
    <row r="13" spans="1:8" ht="15" customHeight="1" x14ac:dyDescent="0.2">
      <c r="A13" s="6"/>
      <c r="B13" s="6"/>
      <c r="C13" s="6"/>
      <c r="D13" s="6"/>
      <c r="E13" s="6"/>
      <c r="F13" s="6"/>
      <c r="G13" s="6"/>
      <c r="H13" s="6"/>
    </row>
    <row r="14" spans="1:8" ht="15" customHeight="1" x14ac:dyDescent="0.2">
      <c r="A14" s="2" t="s">
        <v>137</v>
      </c>
      <c r="B14" s="18">
        <f>-LN((B8+B12-B11)/B9)/B10</f>
        <v>9.0924748153514576E-2</v>
      </c>
      <c r="C14" s="6"/>
      <c r="D14" s="6"/>
      <c r="E14" s="6"/>
      <c r="F14" s="6"/>
      <c r="G14" s="6"/>
      <c r="H14" s="6"/>
    </row>
    <row r="15" spans="1:8" ht="15" customHeight="1" x14ac:dyDescent="0.2">
      <c r="A15" s="6"/>
      <c r="B15" s="6"/>
      <c r="C15" s="6"/>
      <c r="D15" s="6"/>
      <c r="E15" s="6"/>
      <c r="F15" s="6"/>
      <c r="G15" s="6"/>
      <c r="H15" s="6"/>
    </row>
    <row r="16" spans="1:8" ht="15" customHeight="1" x14ac:dyDescent="0.2">
      <c r="A16" s="6"/>
      <c r="B16" s="6"/>
      <c r="C16" s="6"/>
      <c r="D16" s="6"/>
      <c r="E16" s="6"/>
      <c r="F16" s="6"/>
      <c r="G16" s="6"/>
      <c r="H16" s="6"/>
    </row>
    <row r="17" spans="1:8" ht="15" customHeight="1" x14ac:dyDescent="0.2">
      <c r="A17" s="6"/>
      <c r="B17" s="6"/>
      <c r="C17" s="6"/>
      <c r="D17" s="6"/>
      <c r="E17" s="6"/>
      <c r="F17" s="6"/>
      <c r="G17" s="6"/>
      <c r="H17" s="6"/>
    </row>
    <row r="18" spans="1:8" ht="15" customHeight="1" x14ac:dyDescent="0.2">
      <c r="A18" s="6"/>
      <c r="B18" s="6"/>
      <c r="C18" s="6"/>
      <c r="D18" s="6"/>
      <c r="E18" s="6"/>
      <c r="F18" s="6"/>
      <c r="G18" s="6"/>
      <c r="H18" s="6"/>
    </row>
  </sheetData>
  <mergeCells count="5">
    <mergeCell ref="A1:H1"/>
    <mergeCell ref="A3:H3"/>
    <mergeCell ref="A4:H4"/>
    <mergeCell ref="A5:H5"/>
    <mergeCell ref="A7:H7"/>
  </mergeCells>
  <pageMargins left="0.35" right="0.35" top="0.45" bottom="0.45" header="0.2" footer="0.2"/>
  <pageSetup paperSize="9" fitToHeight="0" orientation="landscape"/>
  <headerFooter>
    <oddFooter>&amp;L&amp;"Times New Roman,Regular"&amp;8John C. Hull – 12a edizione&amp;C&amp;"Times New Roman,Regular"&amp;8Ulteriori Domande&amp;R&amp;"Times New Roman,Regular"&amp;8&amp;A |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36878"/>
    <pageSetUpPr fitToPage="1"/>
  </sheetPr>
  <dimension ref="A1:H44"/>
  <sheetViews>
    <sheetView showGridLines="0" zoomScaleNormal="100" workbookViewId="0">
      <pane ySplit="2" topLeftCell="A3" activePane="bottomLeft" state="frozen"/>
      <selection sqref="A1:H1"/>
      <selection pane="bottomLeft" sqref="A1:H1"/>
    </sheetView>
  </sheetViews>
  <sheetFormatPr defaultRowHeight="15" customHeight="1" x14ac:dyDescent="0.2"/>
  <cols>
    <col min="1" max="1" width="26.28515625" style="39" customWidth="1"/>
    <col min="2" max="2" width="13.85546875" style="39" customWidth="1"/>
    <col min="3" max="3" width="12.5703125" style="39" customWidth="1"/>
    <col min="4" max="4" width="15.140625" style="39" customWidth="1"/>
    <col min="5" max="5" width="13.85546875" style="39" customWidth="1"/>
    <col min="6" max="6" width="12.5703125" style="39" customWidth="1"/>
    <col min="7" max="7" width="15.140625" style="39" customWidth="1"/>
    <col min="8" max="8" width="13.85546875" style="39" customWidth="1"/>
    <col min="9" max="16384" width="9.140625" style="39"/>
  </cols>
  <sheetData>
    <row r="1" spans="1:8" ht="15" customHeight="1" x14ac:dyDescent="0.2">
      <c r="A1" s="50" t="s">
        <v>307</v>
      </c>
      <c r="B1" s="51"/>
      <c r="C1" s="51"/>
      <c r="D1" s="51"/>
      <c r="E1" s="51"/>
      <c r="F1" s="51"/>
      <c r="G1" s="51"/>
      <c r="H1" s="51"/>
    </row>
    <row r="2" spans="1:8" ht="15" customHeight="1" x14ac:dyDescent="0.2">
      <c r="A2" s="6"/>
      <c r="B2" s="6"/>
      <c r="C2" s="6"/>
      <c r="D2" s="6"/>
      <c r="E2" s="6"/>
      <c r="F2" s="6"/>
      <c r="G2" s="6"/>
      <c r="H2" s="6"/>
    </row>
    <row r="3" spans="1:8" ht="15" customHeight="1" x14ac:dyDescent="0.2">
      <c r="A3" s="51" t="s">
        <v>308</v>
      </c>
      <c r="B3" s="51"/>
      <c r="C3" s="51"/>
      <c r="D3" s="51"/>
      <c r="E3" s="51"/>
      <c r="F3" s="51"/>
      <c r="G3" s="51"/>
      <c r="H3" s="51"/>
    </row>
    <row r="4" spans="1:8" ht="15" customHeight="1" x14ac:dyDescent="0.2">
      <c r="A4" s="53" t="s">
        <v>309</v>
      </c>
      <c r="B4" s="53"/>
      <c r="C4" s="53"/>
      <c r="D4" s="53"/>
      <c r="E4" s="53"/>
      <c r="F4" s="53"/>
      <c r="G4" s="53"/>
      <c r="H4" s="53"/>
    </row>
    <row r="5" spans="1:8" ht="15" customHeight="1" x14ac:dyDescent="0.2">
      <c r="A5" s="53" t="s">
        <v>310</v>
      </c>
      <c r="B5" s="53"/>
      <c r="C5" s="53"/>
      <c r="D5" s="53"/>
      <c r="E5" s="53"/>
      <c r="F5" s="53"/>
      <c r="G5" s="53"/>
      <c r="H5" s="53"/>
    </row>
    <row r="6" spans="1:8" ht="15" customHeight="1" x14ac:dyDescent="0.2">
      <c r="A6" s="53" t="s">
        <v>311</v>
      </c>
      <c r="B6" s="53"/>
      <c r="C6" s="53"/>
      <c r="D6" s="53"/>
      <c r="E6" s="53"/>
      <c r="F6" s="53"/>
      <c r="G6" s="53"/>
      <c r="H6" s="53"/>
    </row>
    <row r="7" spans="1:8" ht="15" customHeight="1" x14ac:dyDescent="0.2">
      <c r="A7" s="53" t="s">
        <v>312</v>
      </c>
      <c r="B7" s="53"/>
      <c r="C7" s="53"/>
      <c r="D7" s="53"/>
      <c r="E7" s="53"/>
      <c r="F7" s="53"/>
      <c r="G7" s="53"/>
      <c r="H7" s="53"/>
    </row>
    <row r="8" spans="1:8" ht="15" customHeight="1" x14ac:dyDescent="0.2">
      <c r="A8" s="53" t="s">
        <v>313</v>
      </c>
      <c r="B8" s="53"/>
      <c r="C8" s="53"/>
      <c r="D8" s="53"/>
      <c r="E8" s="53"/>
      <c r="F8" s="53"/>
      <c r="G8" s="53"/>
      <c r="H8" s="53"/>
    </row>
    <row r="9" spans="1:8" ht="15" customHeight="1" x14ac:dyDescent="0.2">
      <c r="A9" s="53" t="s">
        <v>314</v>
      </c>
      <c r="B9" s="53"/>
      <c r="C9" s="53"/>
      <c r="D9" s="53"/>
      <c r="E9" s="53"/>
      <c r="F9" s="53"/>
      <c r="G9" s="53"/>
      <c r="H9" s="53"/>
    </row>
    <row r="10" spans="1:8" ht="15" customHeight="1" x14ac:dyDescent="0.2">
      <c r="A10" s="6"/>
      <c r="B10" s="6"/>
      <c r="C10" s="6"/>
      <c r="D10" s="6"/>
      <c r="E10" s="6"/>
      <c r="F10" s="6"/>
      <c r="G10" s="6"/>
      <c r="H10" s="6"/>
    </row>
    <row r="11" spans="1:8" ht="15" customHeight="1" x14ac:dyDescent="0.2">
      <c r="A11" s="51" t="s">
        <v>8</v>
      </c>
      <c r="B11" s="51"/>
      <c r="C11" s="51"/>
      <c r="D11" s="51"/>
      <c r="E11" s="51"/>
      <c r="F11" s="51"/>
      <c r="G11" s="51"/>
      <c r="H11" s="51"/>
    </row>
    <row r="12" spans="1:8" ht="15" customHeight="1" x14ac:dyDescent="0.2">
      <c r="A12" s="53" t="s">
        <v>315</v>
      </c>
      <c r="B12" s="53"/>
      <c r="C12" s="53"/>
      <c r="D12" s="53"/>
      <c r="E12" s="53"/>
      <c r="F12" s="53"/>
      <c r="G12" s="53"/>
      <c r="H12" s="53"/>
    </row>
    <row r="13" spans="1:8" ht="15" customHeight="1" x14ac:dyDescent="0.2">
      <c r="A13" s="53" t="s">
        <v>316</v>
      </c>
      <c r="B13" s="53"/>
      <c r="C13" s="53"/>
      <c r="D13" s="53"/>
      <c r="E13" s="53"/>
      <c r="F13" s="53"/>
      <c r="G13" s="53"/>
      <c r="H13" s="53"/>
    </row>
    <row r="14" spans="1:8" ht="15" customHeight="1" x14ac:dyDescent="0.2">
      <c r="A14" s="53" t="s">
        <v>317</v>
      </c>
      <c r="B14" s="53"/>
      <c r="C14" s="53"/>
      <c r="D14" s="53"/>
      <c r="E14" s="53"/>
      <c r="F14" s="53"/>
      <c r="G14" s="53"/>
      <c r="H14" s="53"/>
    </row>
    <row r="15" spans="1:8" ht="15" customHeight="1" x14ac:dyDescent="0.2">
      <c r="A15" s="6"/>
      <c r="B15" s="6"/>
      <c r="C15" s="6"/>
      <c r="D15" s="6"/>
      <c r="E15" s="6"/>
      <c r="F15" s="6"/>
      <c r="G15" s="6"/>
      <c r="H15" s="6"/>
    </row>
    <row r="16" spans="1:8" ht="15" customHeight="1" x14ac:dyDescent="0.2">
      <c r="A16" s="6"/>
      <c r="B16" s="6"/>
      <c r="C16" s="6"/>
      <c r="D16" s="6"/>
      <c r="E16" s="6"/>
      <c r="F16" s="6"/>
      <c r="G16" s="6"/>
      <c r="H16" s="6"/>
    </row>
    <row r="17" spans="1:8" ht="15" customHeight="1" x14ac:dyDescent="0.2">
      <c r="A17" s="51" t="s">
        <v>318</v>
      </c>
      <c r="B17" s="51"/>
      <c r="C17" s="51"/>
      <c r="D17" s="51"/>
      <c r="E17" s="51"/>
      <c r="F17" s="51"/>
      <c r="G17" s="51"/>
      <c r="H17" s="51"/>
    </row>
    <row r="18" spans="1:8" ht="15" customHeight="1" x14ac:dyDescent="0.2">
      <c r="A18" s="53" t="s">
        <v>319</v>
      </c>
      <c r="B18" s="53"/>
      <c r="C18" s="53"/>
      <c r="D18" s="53"/>
      <c r="E18" s="53"/>
      <c r="F18" s="53"/>
      <c r="G18" s="53"/>
      <c r="H18" s="53"/>
    </row>
    <row r="19" spans="1:8" ht="15" customHeight="1" x14ac:dyDescent="0.2">
      <c r="A19" s="53" t="s">
        <v>320</v>
      </c>
      <c r="B19" s="53"/>
      <c r="C19" s="53"/>
      <c r="D19" s="53"/>
      <c r="E19" s="53"/>
      <c r="F19" s="53"/>
      <c r="G19" s="53"/>
      <c r="H19" s="53"/>
    </row>
    <row r="20" spans="1:8" ht="15" customHeight="1" x14ac:dyDescent="0.2">
      <c r="A20" s="53" t="s">
        <v>321</v>
      </c>
      <c r="B20" s="53"/>
      <c r="C20" s="53"/>
      <c r="D20" s="53"/>
      <c r="E20" s="53"/>
      <c r="F20" s="53"/>
      <c r="G20" s="53"/>
      <c r="H20" s="53"/>
    </row>
    <row r="21" spans="1:8" ht="15" customHeight="1" x14ac:dyDescent="0.2">
      <c r="A21" s="53" t="s">
        <v>322</v>
      </c>
      <c r="B21" s="53"/>
      <c r="C21" s="53"/>
      <c r="D21" s="53"/>
      <c r="E21" s="53"/>
      <c r="F21" s="53"/>
      <c r="G21" s="53"/>
      <c r="H21" s="53"/>
    </row>
    <row r="22" spans="1:8" ht="15" customHeight="1" x14ac:dyDescent="0.2">
      <c r="A22" s="53" t="s">
        <v>323</v>
      </c>
      <c r="B22" s="53"/>
      <c r="C22" s="53"/>
      <c r="D22" s="53"/>
      <c r="E22" s="53"/>
      <c r="F22" s="53"/>
      <c r="G22" s="53"/>
      <c r="H22" s="53"/>
    </row>
    <row r="23" spans="1:8" ht="15" customHeight="1" x14ac:dyDescent="0.2">
      <c r="A23" s="53" t="s">
        <v>324</v>
      </c>
      <c r="B23" s="53"/>
      <c r="C23" s="53"/>
      <c r="D23" s="53"/>
      <c r="E23" s="53"/>
      <c r="F23" s="53"/>
      <c r="G23" s="53"/>
      <c r="H23" s="53"/>
    </row>
    <row r="24" spans="1:8" ht="15" customHeight="1" x14ac:dyDescent="0.2">
      <c r="A24" s="53" t="s">
        <v>325</v>
      </c>
      <c r="B24" s="53"/>
      <c r="C24" s="53"/>
      <c r="D24" s="53"/>
      <c r="E24" s="53"/>
      <c r="F24" s="53"/>
      <c r="G24" s="53"/>
      <c r="H24" s="53"/>
    </row>
    <row r="25" spans="1:8" ht="15" customHeight="1" x14ac:dyDescent="0.2">
      <c r="A25" s="53" t="s">
        <v>326</v>
      </c>
      <c r="B25" s="53"/>
      <c r="C25" s="53"/>
      <c r="D25" s="53"/>
      <c r="E25" s="53"/>
      <c r="F25" s="53"/>
      <c r="G25" s="53"/>
      <c r="H25" s="53"/>
    </row>
    <row r="26" spans="1:8" ht="15" customHeight="1" x14ac:dyDescent="0.2">
      <c r="A26" s="6"/>
      <c r="B26" s="6"/>
      <c r="C26" s="6"/>
      <c r="D26" s="6"/>
      <c r="E26" s="6"/>
      <c r="F26" s="6"/>
      <c r="G26" s="6"/>
      <c r="H26" s="6"/>
    </row>
    <row r="27" spans="1:8" ht="15" customHeight="1" x14ac:dyDescent="0.2">
      <c r="A27" s="51" t="s">
        <v>8</v>
      </c>
      <c r="B27" s="51"/>
      <c r="C27" s="51"/>
      <c r="D27" s="51"/>
      <c r="E27" s="51"/>
      <c r="F27" s="51"/>
      <c r="G27" s="51"/>
      <c r="H27" s="51"/>
    </row>
    <row r="28" spans="1:8" ht="15" customHeight="1" x14ac:dyDescent="0.2">
      <c r="A28" s="37" t="s">
        <v>327</v>
      </c>
      <c r="B28" s="37" t="s">
        <v>328</v>
      </c>
      <c r="C28" s="37" t="s">
        <v>329</v>
      </c>
      <c r="D28" s="6"/>
      <c r="E28" s="6"/>
      <c r="F28" s="6"/>
      <c r="G28" s="6"/>
      <c r="H28" s="6"/>
    </row>
    <row r="29" spans="1:8" ht="15" customHeight="1" x14ac:dyDescent="0.2">
      <c r="A29" s="8">
        <v>115</v>
      </c>
      <c r="B29" s="8">
        <v>125</v>
      </c>
      <c r="C29" s="8">
        <v>135</v>
      </c>
      <c r="D29" s="6"/>
      <c r="E29" s="6"/>
      <c r="F29" s="6"/>
      <c r="G29" s="6"/>
      <c r="H29" s="6"/>
    </row>
    <row r="30" spans="1:8" ht="15" customHeight="1" x14ac:dyDescent="0.2">
      <c r="A30" s="6"/>
      <c r="B30" s="6"/>
      <c r="C30" s="6"/>
      <c r="D30" s="6"/>
      <c r="E30" s="6"/>
      <c r="F30" s="6"/>
      <c r="G30" s="6"/>
      <c r="H30" s="6"/>
    </row>
    <row r="31" spans="1:8" ht="15" customHeight="1" x14ac:dyDescent="0.2">
      <c r="A31" s="37" t="s">
        <v>330</v>
      </c>
      <c r="B31" s="37" t="s">
        <v>331</v>
      </c>
      <c r="C31" s="37" t="s">
        <v>332</v>
      </c>
      <c r="D31" s="6"/>
      <c r="E31" s="6"/>
      <c r="F31" s="6"/>
      <c r="G31" s="6"/>
      <c r="H31" s="6"/>
    </row>
    <row r="32" spans="1:8" ht="15" customHeight="1" x14ac:dyDescent="0.2">
      <c r="A32" s="12">
        <v>20.5</v>
      </c>
      <c r="B32" s="12">
        <v>14.5</v>
      </c>
      <c r="C32" s="12">
        <v>9.5</v>
      </c>
      <c r="D32" s="6"/>
      <c r="E32" s="6"/>
      <c r="F32" s="6"/>
      <c r="G32" s="6"/>
      <c r="H32" s="6"/>
    </row>
    <row r="33" spans="1:8" ht="15" customHeight="1" x14ac:dyDescent="0.2">
      <c r="A33" s="6"/>
      <c r="B33" s="6"/>
      <c r="C33" s="6"/>
      <c r="D33" s="6"/>
      <c r="E33" s="6"/>
      <c r="F33" s="6"/>
      <c r="G33" s="6"/>
      <c r="H33" s="6"/>
    </row>
    <row r="34" spans="1:8" ht="15" customHeight="1" x14ac:dyDescent="0.2">
      <c r="A34" s="37" t="s">
        <v>333</v>
      </c>
      <c r="B34" s="37" t="s">
        <v>334</v>
      </c>
      <c r="C34" s="37" t="s">
        <v>335</v>
      </c>
      <c r="D34" s="6"/>
      <c r="E34" s="6"/>
      <c r="F34" s="6"/>
      <c r="G34" s="6"/>
      <c r="H34" s="6"/>
    </row>
    <row r="35" spans="1:8" ht="15" customHeight="1" x14ac:dyDescent="0.2">
      <c r="A35" s="7">
        <v>1</v>
      </c>
      <c r="B35" s="7">
        <v>-2</v>
      </c>
      <c r="C35" s="7">
        <v>1</v>
      </c>
      <c r="D35" s="6"/>
      <c r="E35" s="6"/>
      <c r="F35" s="6"/>
      <c r="G35" s="6"/>
      <c r="H35" s="6"/>
    </row>
    <row r="36" spans="1:8" ht="15" customHeight="1" x14ac:dyDescent="0.2">
      <c r="A36" s="6"/>
      <c r="B36" s="6"/>
      <c r="C36" s="6"/>
      <c r="D36" s="6"/>
      <c r="E36" s="6"/>
      <c r="F36" s="6"/>
      <c r="G36" s="6"/>
      <c r="H36" s="6"/>
    </row>
    <row r="37" spans="1:8" ht="15" customHeight="1" x14ac:dyDescent="0.2">
      <c r="A37" s="6" t="s">
        <v>13</v>
      </c>
      <c r="B37" s="12">
        <f>A35*A32+B35*B32+C35*C32</f>
        <v>1</v>
      </c>
      <c r="C37" s="6"/>
      <c r="D37" s="6"/>
      <c r="E37" s="6"/>
      <c r="F37" s="6"/>
      <c r="G37" s="6"/>
      <c r="H37" s="6"/>
    </row>
    <row r="38" spans="1:8" ht="15" customHeight="1" x14ac:dyDescent="0.2">
      <c r="A38" s="6"/>
      <c r="B38" s="52" t="s">
        <v>12</v>
      </c>
      <c r="C38" s="52"/>
      <c r="D38" s="52"/>
      <c r="E38" s="52"/>
      <c r="F38" s="52"/>
      <c r="G38" s="6"/>
      <c r="H38" s="6"/>
    </row>
    <row r="39" spans="1:8" ht="15" customHeight="1" x14ac:dyDescent="0.2">
      <c r="A39" s="6"/>
      <c r="B39" s="8">
        <v>110</v>
      </c>
      <c r="C39" s="8">
        <v>120</v>
      </c>
      <c r="D39" s="8">
        <v>125</v>
      </c>
      <c r="E39" s="8">
        <v>128</v>
      </c>
      <c r="F39" s="8">
        <v>140</v>
      </c>
      <c r="G39" s="6"/>
      <c r="H39" s="6"/>
    </row>
    <row r="40" spans="1:8" ht="15" customHeight="1" x14ac:dyDescent="0.2">
      <c r="A40" s="6" t="s">
        <v>336</v>
      </c>
      <c r="B40" s="8">
        <f>MAX(B39-$A$29,0)-2*MAX(B39-$B$29,0)+MAX(B39-$C$29,0)</f>
        <v>0</v>
      </c>
      <c r="C40" s="8">
        <f>MAX(C39-$A$29,0)-2*MAX(C39-$B$29,0)+MAX(C39-$C$29,0)</f>
        <v>5</v>
      </c>
      <c r="D40" s="8">
        <f>MAX(D39-$A$29,0)-2*MAX(D39-$B$29,0)+MAX(D39-$C$29,0)</f>
        <v>10</v>
      </c>
      <c r="E40" s="8">
        <f>MAX(E39-$A$29,0)-2*MAX(E39-$B$29,0)+MAX(E39-$C$29,0)</f>
        <v>7</v>
      </c>
      <c r="F40" s="8">
        <f>MAX(F39-$A$29,0)-2*MAX(F39-$B$29,0)+MAX(F39-$C$29,0)</f>
        <v>0</v>
      </c>
      <c r="G40" s="6"/>
      <c r="H40" s="6"/>
    </row>
    <row r="41" spans="1:8" ht="15" customHeight="1" x14ac:dyDescent="0.2">
      <c r="A41" s="6"/>
      <c r="B41" s="6"/>
      <c r="C41" s="6"/>
      <c r="D41" s="6"/>
      <c r="E41" s="6"/>
      <c r="F41" s="6"/>
      <c r="G41" s="6"/>
      <c r="H41" s="6"/>
    </row>
    <row r="42" spans="1:8" ht="15" customHeight="1" x14ac:dyDescent="0.2">
      <c r="A42" s="6"/>
      <c r="B42" s="6"/>
      <c r="C42" s="6"/>
      <c r="D42" s="6"/>
      <c r="E42" s="6"/>
      <c r="F42" s="6"/>
      <c r="G42" s="6"/>
      <c r="H42" s="6"/>
    </row>
    <row r="43" spans="1:8" ht="15" customHeight="1" x14ac:dyDescent="0.2">
      <c r="A43" s="6"/>
      <c r="B43" s="6"/>
      <c r="C43" s="6"/>
      <c r="D43" s="6"/>
      <c r="E43" s="6"/>
      <c r="F43" s="6"/>
      <c r="G43" s="6"/>
      <c r="H43" s="6"/>
    </row>
    <row r="44" spans="1:8" ht="15" customHeight="1" x14ac:dyDescent="0.2">
      <c r="A44" s="6"/>
      <c r="B44" s="6"/>
      <c r="C44" s="6"/>
      <c r="D44" s="6"/>
      <c r="E44" s="6"/>
      <c r="F44" s="6"/>
      <c r="G44" s="6"/>
      <c r="H44" s="6"/>
    </row>
  </sheetData>
  <mergeCells count="23">
    <mergeCell ref="A25:H25"/>
    <mergeCell ref="A27:H27"/>
    <mergeCell ref="B38:F38"/>
    <mergeCell ref="A20:H20"/>
    <mergeCell ref="A21:H21"/>
    <mergeCell ref="A22:H22"/>
    <mergeCell ref="A23:H23"/>
    <mergeCell ref="A24:H24"/>
    <mergeCell ref="A13:H13"/>
    <mergeCell ref="A14:H14"/>
    <mergeCell ref="A17:H17"/>
    <mergeCell ref="A18:H18"/>
    <mergeCell ref="A19:H19"/>
    <mergeCell ref="A7:H7"/>
    <mergeCell ref="A8:H8"/>
    <mergeCell ref="A9:H9"/>
    <mergeCell ref="A11:H11"/>
    <mergeCell ref="A12:H12"/>
    <mergeCell ref="A1:H1"/>
    <mergeCell ref="A3:H3"/>
    <mergeCell ref="A4:H4"/>
    <mergeCell ref="A5:H5"/>
    <mergeCell ref="A6:H6"/>
  </mergeCells>
  <pageMargins left="0.35" right="0.35" top="0.45" bottom="0.45" header="0.2" footer="0.2"/>
  <pageSetup paperSize="9" fitToHeight="0" orientation="landscape"/>
  <headerFooter>
    <oddFooter>&amp;L&amp;"Times New Roman,Regular"&amp;8John C. Hull – 12a edizione&amp;C&amp;"Times New Roman,Regular"&amp;8Ulteriori Domande&amp;R&amp;"Times New Roman,Regular"&amp;8&amp;A |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36878"/>
    <pageSetUpPr fitToPage="1"/>
  </sheetPr>
  <dimension ref="A1:H40"/>
  <sheetViews>
    <sheetView showGridLines="0" zoomScaleNormal="100" workbookViewId="0">
      <pane ySplit="2" topLeftCell="A3" activePane="bottomLeft" state="frozen"/>
      <selection sqref="A1:H1"/>
      <selection pane="bottomLeft" sqref="A1:H1"/>
    </sheetView>
  </sheetViews>
  <sheetFormatPr defaultRowHeight="15" customHeight="1" x14ac:dyDescent="0.2"/>
  <cols>
    <col min="1" max="1" width="26.28515625" style="39" customWidth="1"/>
    <col min="2" max="2" width="13.85546875" style="39" customWidth="1"/>
    <col min="3" max="3" width="12.5703125" style="39" customWidth="1"/>
    <col min="4" max="4" width="15.140625" style="39" customWidth="1"/>
    <col min="5" max="5" width="13.85546875" style="39" customWidth="1"/>
    <col min="6" max="6" width="12.5703125" style="39" customWidth="1"/>
    <col min="7" max="7" width="15.140625" style="39" customWidth="1"/>
    <col min="8" max="8" width="13.85546875" style="39" customWidth="1"/>
    <col min="9" max="16384" width="9.140625" style="39"/>
  </cols>
  <sheetData>
    <row r="1" spans="1:8" ht="15" customHeight="1" x14ac:dyDescent="0.2">
      <c r="A1" s="50" t="s">
        <v>666</v>
      </c>
      <c r="B1" s="51"/>
      <c r="C1" s="51"/>
      <c r="D1" s="51"/>
      <c r="E1" s="51"/>
      <c r="F1" s="51"/>
      <c r="G1" s="51"/>
      <c r="H1" s="51"/>
    </row>
    <row r="2" spans="1:8" ht="15" customHeight="1" x14ac:dyDescent="0.2">
      <c r="A2" s="6"/>
      <c r="B2" s="6"/>
      <c r="C2" s="6"/>
      <c r="D2" s="6"/>
      <c r="E2" s="6"/>
      <c r="F2" s="6"/>
      <c r="G2" s="6"/>
      <c r="H2" s="6"/>
    </row>
    <row r="3" spans="1:8" ht="15" customHeight="1" x14ac:dyDescent="0.2">
      <c r="A3" s="51" t="s">
        <v>337</v>
      </c>
      <c r="B3" s="51"/>
      <c r="C3" s="51"/>
      <c r="D3" s="51"/>
      <c r="E3" s="51"/>
      <c r="F3" s="51"/>
      <c r="G3" s="51"/>
      <c r="H3" s="51"/>
    </row>
    <row r="4" spans="1:8" ht="15" customHeight="1" x14ac:dyDescent="0.2">
      <c r="A4" s="53" t="s">
        <v>338</v>
      </c>
      <c r="B4" s="53"/>
      <c r="C4" s="53"/>
      <c r="D4" s="53"/>
      <c r="E4" s="53"/>
      <c r="F4" s="53"/>
      <c r="G4" s="53"/>
      <c r="H4" s="53"/>
    </row>
    <row r="5" spans="1:8" ht="15" customHeight="1" x14ac:dyDescent="0.2">
      <c r="A5" s="53" t="s">
        <v>339</v>
      </c>
      <c r="B5" s="53"/>
      <c r="C5" s="53"/>
      <c r="D5" s="53"/>
      <c r="E5" s="53"/>
      <c r="F5" s="53"/>
      <c r="G5" s="53"/>
      <c r="H5" s="53"/>
    </row>
    <row r="6" spans="1:8" ht="15" customHeight="1" x14ac:dyDescent="0.2">
      <c r="A6" s="53" t="s">
        <v>340</v>
      </c>
      <c r="B6" s="53"/>
      <c r="C6" s="53"/>
      <c r="D6" s="53"/>
      <c r="E6" s="53"/>
      <c r="F6" s="53"/>
      <c r="G6" s="53"/>
      <c r="H6" s="53"/>
    </row>
    <row r="7" spans="1:8" ht="15" customHeight="1" x14ac:dyDescent="0.2">
      <c r="A7" s="6"/>
      <c r="B7" s="6"/>
      <c r="C7" s="6"/>
      <c r="D7" s="6"/>
      <c r="E7" s="6"/>
      <c r="F7" s="6"/>
      <c r="G7" s="6"/>
      <c r="H7" s="6"/>
    </row>
    <row r="8" spans="1:8" ht="15" customHeight="1" x14ac:dyDescent="0.2">
      <c r="A8" s="51" t="s">
        <v>8</v>
      </c>
      <c r="B8" s="51"/>
      <c r="C8" s="51"/>
      <c r="D8" s="51"/>
      <c r="E8" s="51"/>
      <c r="F8" s="51"/>
      <c r="G8" s="51"/>
      <c r="H8" s="51"/>
    </row>
    <row r="9" spans="1:8" ht="15" customHeight="1" x14ac:dyDescent="0.2">
      <c r="A9" s="6" t="s">
        <v>21</v>
      </c>
      <c r="B9" s="29">
        <v>1.21</v>
      </c>
      <c r="C9" s="6"/>
      <c r="D9" s="6" t="s">
        <v>341</v>
      </c>
      <c r="E9" s="32">
        <f>B11/B15</f>
        <v>0.33333333333333331</v>
      </c>
      <c r="F9" s="6"/>
      <c r="G9" s="6"/>
      <c r="H9" s="6"/>
    </row>
    <row r="10" spans="1:8" ht="15" customHeight="1" x14ac:dyDescent="0.2">
      <c r="A10" s="6" t="s">
        <v>11</v>
      </c>
      <c r="B10" s="29">
        <v>1.2</v>
      </c>
      <c r="C10" s="6"/>
      <c r="D10" s="6" t="s">
        <v>342</v>
      </c>
      <c r="E10" s="32">
        <f>EXP(B14*SQRT(E9))</f>
        <v>1.0594342369612506</v>
      </c>
      <c r="F10" s="6"/>
      <c r="G10" s="6"/>
      <c r="H10" s="6"/>
    </row>
    <row r="11" spans="1:8" ht="15" customHeight="1" x14ac:dyDescent="0.2">
      <c r="A11" s="6" t="s">
        <v>343</v>
      </c>
      <c r="B11" s="15">
        <v>1</v>
      </c>
      <c r="C11" s="6"/>
      <c r="D11" s="6" t="s">
        <v>344</v>
      </c>
      <c r="E11" s="32">
        <f>1/E10</f>
        <v>0.94390002240089543</v>
      </c>
      <c r="F11" s="6"/>
      <c r="G11" s="6"/>
      <c r="H11" s="6"/>
    </row>
    <row r="12" spans="1:8" ht="15" customHeight="1" x14ac:dyDescent="0.2">
      <c r="A12" s="6" t="s">
        <v>137</v>
      </c>
      <c r="B12" s="20">
        <v>0.04</v>
      </c>
      <c r="C12" s="6"/>
      <c r="D12" s="6" t="s">
        <v>22</v>
      </c>
      <c r="E12" s="32">
        <f>(EXP((B12-B13)*E9)-E11)/(E10-E11)</f>
        <v>0.58714178751018142</v>
      </c>
      <c r="F12" s="6"/>
      <c r="G12" s="6"/>
      <c r="H12" s="6"/>
    </row>
    <row r="13" spans="1:8" ht="15" customHeight="1" x14ac:dyDescent="0.2">
      <c r="A13" s="6" t="s">
        <v>149</v>
      </c>
      <c r="B13" s="20">
        <v>5.0000000000000001E-3</v>
      </c>
      <c r="C13" s="6"/>
      <c r="D13" s="6" t="s">
        <v>345</v>
      </c>
      <c r="E13" s="32">
        <f>EXP(-B12*E9)</f>
        <v>0.98675516180719569</v>
      </c>
      <c r="F13" s="6"/>
      <c r="G13" s="6"/>
      <c r="H13" s="6"/>
    </row>
    <row r="14" spans="1:8" ht="15" customHeight="1" x14ac:dyDescent="0.2">
      <c r="A14" s="6" t="s">
        <v>346</v>
      </c>
      <c r="B14" s="26">
        <v>0.1</v>
      </c>
      <c r="C14" s="6"/>
      <c r="D14" s="6"/>
      <c r="E14" s="6"/>
      <c r="F14" s="6"/>
      <c r="G14" s="6"/>
      <c r="H14" s="6"/>
    </row>
    <row r="15" spans="1:8" ht="15" customHeight="1" x14ac:dyDescent="0.2">
      <c r="A15" s="6" t="s">
        <v>347</v>
      </c>
      <c r="B15" s="7">
        <v>3</v>
      </c>
      <c r="C15" s="6"/>
      <c r="D15" s="6"/>
      <c r="E15" s="6"/>
      <c r="F15" s="6"/>
      <c r="G15" s="6"/>
      <c r="H15" s="6"/>
    </row>
    <row r="16" spans="1:8" ht="15" customHeight="1" x14ac:dyDescent="0.2">
      <c r="A16" s="6"/>
      <c r="B16" s="6"/>
      <c r="C16" s="6"/>
      <c r="D16" s="6"/>
      <c r="E16" s="6"/>
      <c r="F16" s="6"/>
      <c r="G16" s="6"/>
      <c r="H16" s="6"/>
    </row>
    <row r="17" spans="1:8" ht="15" customHeight="1" x14ac:dyDescent="0.2">
      <c r="A17" s="6"/>
      <c r="B17" s="6" t="s">
        <v>348</v>
      </c>
      <c r="C17" s="6"/>
      <c r="D17" s="6" t="s">
        <v>349</v>
      </c>
      <c r="E17" s="6"/>
      <c r="F17" s="6" t="s">
        <v>350</v>
      </c>
      <c r="G17" s="6"/>
      <c r="H17" s="6" t="s">
        <v>351</v>
      </c>
    </row>
    <row r="18" spans="1:8" ht="15" customHeight="1" x14ac:dyDescent="0.2">
      <c r="A18" s="6"/>
      <c r="B18" s="6"/>
      <c r="C18" s="6"/>
      <c r="D18" s="6"/>
      <c r="E18" s="6"/>
      <c r="F18" s="6"/>
      <c r="G18" s="6"/>
      <c r="H18" s="32">
        <f>$B$9*$E$10^3*$E$11^0</f>
        <v>1.4388230318130451</v>
      </c>
    </row>
    <row r="19" spans="1:8" ht="15" customHeight="1" x14ac:dyDescent="0.2">
      <c r="A19" s="6"/>
      <c r="B19" s="6"/>
      <c r="C19" s="6"/>
      <c r="D19" s="6"/>
      <c r="E19" s="6"/>
      <c r="F19" s="6"/>
      <c r="G19" s="6"/>
      <c r="H19" s="33">
        <f>MAX($B$10-H18,0)</f>
        <v>0</v>
      </c>
    </row>
    <row r="20" spans="1:8" ht="15" customHeight="1" x14ac:dyDescent="0.2">
      <c r="A20" s="6"/>
      <c r="B20" s="6"/>
      <c r="C20" s="6"/>
      <c r="D20" s="6"/>
      <c r="E20" s="6"/>
      <c r="F20" s="32">
        <f>$B$9*$E$10^2*$E$11^0</f>
        <v>1.3581050919592574</v>
      </c>
      <c r="G20" s="6"/>
      <c r="H20" s="6"/>
    </row>
    <row r="21" spans="1:8" ht="15" customHeight="1" x14ac:dyDescent="0.2">
      <c r="A21" s="6"/>
      <c r="B21" s="6"/>
      <c r="C21" s="6"/>
      <c r="D21" s="6"/>
      <c r="E21" s="6"/>
      <c r="F21" s="33">
        <f>MAX($B$10-F20,$E$13*($E$12*H19+(1-$E$12)*H23))</f>
        <v>0</v>
      </c>
      <c r="G21" s="6"/>
      <c r="H21" s="6"/>
    </row>
    <row r="22" spans="1:8" ht="15" customHeight="1" x14ac:dyDescent="0.2">
      <c r="A22" s="6"/>
      <c r="B22" s="6"/>
      <c r="C22" s="6"/>
      <c r="D22" s="32">
        <f>$B$9*$E$10^1*$E$11^0</f>
        <v>1.2819154267231132</v>
      </c>
      <c r="E22" s="6"/>
      <c r="F22" s="6"/>
      <c r="G22" s="6"/>
      <c r="H22" s="32">
        <f>$B$9*$E$10^2*$E$11^1</f>
        <v>1.2819154267231132</v>
      </c>
    </row>
    <row r="23" spans="1:8" ht="15" customHeight="1" x14ac:dyDescent="0.2">
      <c r="A23" s="6"/>
      <c r="B23" s="6"/>
      <c r="C23" s="6"/>
      <c r="D23" s="33">
        <f>MAX($B$10-D22,$E$13*($E$12*F21+(1-$E$12)*F25))</f>
        <v>9.6063076686116657E-3</v>
      </c>
      <c r="E23" s="6"/>
      <c r="F23" s="6"/>
      <c r="G23" s="6"/>
      <c r="H23" s="33">
        <f>MAX($B$10-H22,0)</f>
        <v>0</v>
      </c>
    </row>
    <row r="24" spans="1:8" ht="15" customHeight="1" x14ac:dyDescent="0.2">
      <c r="A24" s="6"/>
      <c r="B24" s="32">
        <f>$B$9*$E$10^0*$E$11^0</f>
        <v>1.21</v>
      </c>
      <c r="C24" s="6"/>
      <c r="D24" s="6"/>
      <c r="E24" s="6"/>
      <c r="F24" s="32">
        <f>$B$9*$E$10^1*$E$11^1</f>
        <v>1.21</v>
      </c>
      <c r="G24" s="6"/>
      <c r="H24" s="6"/>
    </row>
    <row r="25" spans="1:8" ht="15" customHeight="1" x14ac:dyDescent="0.2">
      <c r="A25" s="6"/>
      <c r="B25" s="33">
        <f>MAX($B$10-B24,$E$13*($E$12*D23+(1-$E$12)*D27))</f>
        <v>3.1371380894099875E-2</v>
      </c>
      <c r="C25" s="6"/>
      <c r="D25" s="6"/>
      <c r="E25" s="6"/>
      <c r="F25" s="33">
        <f>MAX($B$10-F24,$E$13*($E$12*H23+(1-$E$12)*H27))</f>
        <v>2.358012794255241E-2</v>
      </c>
      <c r="G25" s="6"/>
      <c r="H25" s="6"/>
    </row>
    <row r="26" spans="1:8" ht="15" customHeight="1" x14ac:dyDescent="0.2">
      <c r="A26" s="6"/>
      <c r="B26" s="6"/>
      <c r="C26" s="6"/>
      <c r="D26" s="32">
        <f>$B$9*$E$10^0*$E$11^1</f>
        <v>1.1421190271050834</v>
      </c>
      <c r="E26" s="6"/>
      <c r="F26" s="6"/>
      <c r="G26" s="6"/>
      <c r="H26" s="32">
        <f>$B$9*$E$10^1*$E$11^2</f>
        <v>1.1421190271050834</v>
      </c>
    </row>
    <row r="27" spans="1:8" ht="15" customHeight="1" x14ac:dyDescent="0.2">
      <c r="A27" s="6"/>
      <c r="B27" s="6"/>
      <c r="C27" s="6"/>
      <c r="D27" s="33">
        <f>MAX($B$10-D26,$E$13*($E$12*F25+(1-$E$12)*F29))</f>
        <v>6.3344270570023981E-2</v>
      </c>
      <c r="E27" s="6"/>
      <c r="F27" s="6"/>
      <c r="G27" s="6"/>
      <c r="H27" s="33">
        <f>MAX($B$10-H26,0)</f>
        <v>5.788097289491656E-2</v>
      </c>
    </row>
    <row r="28" spans="1:8" ht="15" customHeight="1" x14ac:dyDescent="0.2">
      <c r="A28" s="6"/>
      <c r="B28" s="6"/>
      <c r="C28" s="6"/>
      <c r="D28" s="6"/>
      <c r="E28" s="6"/>
      <c r="F28" s="32">
        <f>$B$9*$E$10^0*$E$11^2</f>
        <v>1.0780461752689772</v>
      </c>
      <c r="G28" s="6"/>
      <c r="H28" s="6"/>
    </row>
    <row r="29" spans="1:8" ht="15" customHeight="1" x14ac:dyDescent="0.2">
      <c r="A29" s="6"/>
      <c r="B29" s="6"/>
      <c r="C29" s="6"/>
      <c r="D29" s="6"/>
      <c r="E29" s="6"/>
      <c r="F29" s="33">
        <f>MAX($B$10-F28,$E$13*($E$12*H27+(1-$E$12)*H31))</f>
        <v>0.12195382473102279</v>
      </c>
      <c r="G29" s="6"/>
      <c r="H29" s="6"/>
    </row>
    <row r="30" spans="1:8" ht="15" customHeight="1" x14ac:dyDescent="0.2">
      <c r="A30" s="6"/>
      <c r="B30" s="6"/>
      <c r="C30" s="6"/>
      <c r="D30" s="6"/>
      <c r="E30" s="6"/>
      <c r="F30" s="6"/>
      <c r="G30" s="6"/>
      <c r="H30" s="32">
        <f>$B$9*$E$10^0*$E$11^3</f>
        <v>1.0175678089855873</v>
      </c>
    </row>
    <row r="31" spans="1:8" ht="15" customHeight="1" x14ac:dyDescent="0.2">
      <c r="A31" s="6"/>
      <c r="B31" s="6"/>
      <c r="C31" s="6"/>
      <c r="D31" s="6"/>
      <c r="E31" s="6"/>
      <c r="F31" s="6"/>
      <c r="G31" s="6"/>
      <c r="H31" s="33">
        <f>MAX($B$10-H30,0)</f>
        <v>0.18243219101441266</v>
      </c>
    </row>
    <row r="32" spans="1:8" ht="15" customHeight="1" x14ac:dyDescent="0.2">
      <c r="A32" s="6"/>
      <c r="B32" s="6"/>
      <c r="C32" s="6"/>
      <c r="D32" s="6"/>
      <c r="E32" s="6"/>
      <c r="F32" s="6"/>
      <c r="G32" s="6"/>
      <c r="H32" s="6"/>
    </row>
    <row r="33" spans="1:8" ht="15" customHeight="1" x14ac:dyDescent="0.2">
      <c r="A33" s="6"/>
      <c r="B33" s="6"/>
      <c r="C33" s="6"/>
      <c r="D33" s="6"/>
      <c r="E33" s="6"/>
      <c r="F33" s="6"/>
      <c r="G33" s="6"/>
      <c r="H33" s="6"/>
    </row>
    <row r="34" spans="1:8" ht="15" customHeight="1" x14ac:dyDescent="0.2">
      <c r="A34" s="6" t="s">
        <v>352</v>
      </c>
      <c r="B34" s="34">
        <f>B25</f>
        <v>3.1371380894099875E-2</v>
      </c>
      <c r="C34" s="6"/>
      <c r="D34" s="6"/>
      <c r="E34" s="6"/>
      <c r="F34" s="6"/>
      <c r="G34" s="6"/>
      <c r="H34" s="6"/>
    </row>
    <row r="35" spans="1:8" ht="15" customHeight="1" x14ac:dyDescent="0.2">
      <c r="A35" s="6"/>
      <c r="B35" s="6"/>
      <c r="C35" s="6"/>
      <c r="D35" s="6"/>
      <c r="E35" s="6"/>
      <c r="F35" s="6"/>
      <c r="G35" s="6"/>
      <c r="H35" s="6"/>
    </row>
    <row r="36" spans="1:8" ht="15" customHeight="1" x14ac:dyDescent="0.2">
      <c r="A36" s="53" t="s">
        <v>353</v>
      </c>
      <c r="B36" s="53"/>
      <c r="C36" s="53"/>
      <c r="D36" s="53"/>
      <c r="E36" s="53"/>
      <c r="F36" s="53"/>
      <c r="G36" s="53"/>
      <c r="H36" s="53"/>
    </row>
    <row r="37" spans="1:8" ht="15" customHeight="1" x14ac:dyDescent="0.2">
      <c r="A37" s="6"/>
      <c r="B37" s="6"/>
      <c r="C37" s="6"/>
      <c r="D37" s="6"/>
      <c r="E37" s="6"/>
      <c r="F37" s="6"/>
      <c r="G37" s="6"/>
      <c r="H37" s="6"/>
    </row>
    <row r="38" spans="1:8" ht="15" customHeight="1" x14ac:dyDescent="0.2">
      <c r="A38" s="6"/>
      <c r="B38" s="6"/>
      <c r="C38" s="6"/>
      <c r="D38" s="6"/>
      <c r="E38" s="6"/>
      <c r="F38" s="6"/>
      <c r="G38" s="6"/>
      <c r="H38" s="6"/>
    </row>
    <row r="39" spans="1:8" ht="15" customHeight="1" x14ac:dyDescent="0.2">
      <c r="A39" s="6"/>
      <c r="B39" s="6"/>
      <c r="C39" s="6"/>
      <c r="D39" s="6"/>
      <c r="E39" s="6"/>
      <c r="F39" s="6"/>
      <c r="G39" s="6"/>
      <c r="H39" s="6"/>
    </row>
    <row r="40" spans="1:8" ht="15" customHeight="1" x14ac:dyDescent="0.2">
      <c r="A40" s="6"/>
      <c r="B40" s="6"/>
      <c r="C40" s="6"/>
      <c r="D40" s="6"/>
      <c r="E40" s="6"/>
      <c r="F40" s="6"/>
      <c r="G40" s="6"/>
      <c r="H40" s="6"/>
    </row>
  </sheetData>
  <mergeCells count="7">
    <mergeCell ref="A1:H1"/>
    <mergeCell ref="A3:H3"/>
    <mergeCell ref="A8:H8"/>
    <mergeCell ref="A36:H36"/>
    <mergeCell ref="A4:H4"/>
    <mergeCell ref="A5:H5"/>
    <mergeCell ref="A6:H6"/>
  </mergeCells>
  <pageMargins left="0.35" right="0.35" top="0.45" bottom="0.45" header="0.2" footer="0.2"/>
  <pageSetup paperSize="9" fitToHeight="0" orientation="landscape"/>
  <headerFooter>
    <oddFooter>&amp;L&amp;"Times New Roman,Regular"&amp;8John C. Hull – 12a edizione&amp;C&amp;"Times New Roman,Regular"&amp;8Ulteriori Domande&amp;R&amp;"Times New Roman,Regular"&amp;8&amp;A |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36878"/>
    <pageSetUpPr fitToPage="1"/>
  </sheetPr>
  <dimension ref="A1:H40"/>
  <sheetViews>
    <sheetView showGridLines="0" zoomScaleNormal="100" workbookViewId="0">
      <pane ySplit="2" topLeftCell="A3" activePane="bottomLeft" state="frozen"/>
      <selection sqref="A1:H1"/>
      <selection pane="bottomLeft" sqref="A1:H1"/>
    </sheetView>
  </sheetViews>
  <sheetFormatPr defaultRowHeight="15" customHeight="1" x14ac:dyDescent="0.2"/>
  <cols>
    <col min="1" max="1" width="26.28515625" style="39" customWidth="1"/>
    <col min="2" max="2" width="13.85546875" style="39" customWidth="1"/>
    <col min="3" max="3" width="12.5703125" style="39" customWidth="1"/>
    <col min="4" max="4" width="15.140625" style="39" customWidth="1"/>
    <col min="5" max="5" width="13.85546875" style="39" customWidth="1"/>
    <col min="6" max="6" width="12.5703125" style="39" customWidth="1"/>
    <col min="7" max="7" width="15.140625" style="39" customWidth="1"/>
    <col min="8" max="8" width="13.85546875" style="39" customWidth="1"/>
    <col min="9" max="16384" width="9.140625" style="39"/>
  </cols>
  <sheetData>
    <row r="1" spans="1:8" ht="15" customHeight="1" x14ac:dyDescent="0.2">
      <c r="A1" s="50" t="s">
        <v>354</v>
      </c>
      <c r="B1" s="51"/>
      <c r="C1" s="51"/>
      <c r="D1" s="51"/>
      <c r="E1" s="51"/>
      <c r="F1" s="51"/>
      <c r="G1" s="51"/>
      <c r="H1" s="51"/>
    </row>
    <row r="2" spans="1:8" ht="15" customHeight="1" x14ac:dyDescent="0.2">
      <c r="A2" s="6"/>
      <c r="B2" s="6"/>
      <c r="C2" s="6"/>
      <c r="D2" s="6"/>
      <c r="E2" s="6"/>
      <c r="F2" s="6"/>
      <c r="G2" s="6"/>
      <c r="H2" s="6"/>
    </row>
    <row r="3" spans="1:8" ht="15" customHeight="1" x14ac:dyDescent="0.2">
      <c r="A3" s="51" t="s">
        <v>355</v>
      </c>
      <c r="B3" s="51"/>
      <c r="C3" s="51"/>
      <c r="D3" s="51"/>
      <c r="E3" s="51"/>
      <c r="F3" s="51"/>
      <c r="G3" s="51"/>
      <c r="H3" s="51"/>
    </row>
    <row r="4" spans="1:8" ht="15" customHeight="1" x14ac:dyDescent="0.2">
      <c r="A4" s="53" t="s">
        <v>356</v>
      </c>
      <c r="B4" s="53"/>
      <c r="C4" s="53"/>
      <c r="D4" s="53"/>
      <c r="E4" s="53"/>
      <c r="F4" s="53"/>
      <c r="G4" s="53"/>
      <c r="H4" s="53"/>
    </row>
    <row r="5" spans="1:8" ht="15" customHeight="1" x14ac:dyDescent="0.2">
      <c r="A5" s="53" t="s">
        <v>357</v>
      </c>
      <c r="B5" s="53"/>
      <c r="C5" s="53"/>
      <c r="D5" s="53"/>
      <c r="E5" s="53"/>
      <c r="F5" s="53"/>
      <c r="G5" s="53"/>
      <c r="H5" s="53"/>
    </row>
    <row r="6" spans="1:8" ht="15" customHeight="1" x14ac:dyDescent="0.2">
      <c r="A6" s="53" t="s">
        <v>358</v>
      </c>
      <c r="B6" s="53"/>
      <c r="C6" s="53"/>
      <c r="D6" s="53"/>
      <c r="E6" s="53"/>
      <c r="F6" s="53"/>
      <c r="G6" s="53"/>
      <c r="H6" s="53"/>
    </row>
    <row r="7" spans="1:8" ht="15" customHeight="1" x14ac:dyDescent="0.2">
      <c r="A7" s="53" t="s">
        <v>359</v>
      </c>
      <c r="B7" s="53"/>
      <c r="C7" s="53"/>
      <c r="D7" s="53"/>
      <c r="E7" s="53"/>
      <c r="F7" s="53"/>
      <c r="G7" s="53"/>
      <c r="H7" s="53"/>
    </row>
    <row r="8" spans="1:8" ht="15" customHeight="1" x14ac:dyDescent="0.2">
      <c r="A8" s="53" t="s">
        <v>360</v>
      </c>
      <c r="B8" s="53"/>
      <c r="C8" s="53"/>
      <c r="D8" s="53"/>
      <c r="E8" s="53"/>
      <c r="F8" s="53"/>
      <c r="G8" s="53"/>
      <c r="H8" s="53"/>
    </row>
    <row r="9" spans="1:8" ht="15" customHeight="1" x14ac:dyDescent="0.2">
      <c r="A9" s="53" t="s">
        <v>361</v>
      </c>
      <c r="B9" s="53"/>
      <c r="C9" s="53"/>
      <c r="D9" s="53"/>
      <c r="E9" s="53"/>
      <c r="F9" s="53"/>
      <c r="G9" s="53"/>
      <c r="H9" s="53"/>
    </row>
    <row r="10" spans="1:8" ht="15" customHeight="1" x14ac:dyDescent="0.2">
      <c r="A10" s="53" t="s">
        <v>362</v>
      </c>
      <c r="B10" s="53"/>
      <c r="C10" s="53"/>
      <c r="D10" s="53"/>
      <c r="E10" s="53"/>
      <c r="F10" s="53"/>
      <c r="G10" s="53"/>
      <c r="H10" s="53"/>
    </row>
    <row r="11" spans="1:8" ht="15" customHeight="1" x14ac:dyDescent="0.2">
      <c r="A11" s="53" t="s">
        <v>363</v>
      </c>
      <c r="B11" s="53"/>
      <c r="C11" s="53"/>
      <c r="D11" s="53"/>
      <c r="E11" s="53"/>
      <c r="F11" s="53"/>
      <c r="G11" s="53"/>
      <c r="H11" s="53"/>
    </row>
    <row r="12" spans="1:8" ht="15" customHeight="1" x14ac:dyDescent="0.2">
      <c r="A12" s="53" t="s">
        <v>364</v>
      </c>
      <c r="B12" s="53"/>
      <c r="C12" s="53"/>
      <c r="D12" s="53"/>
      <c r="E12" s="53"/>
      <c r="F12" s="53"/>
      <c r="G12" s="53"/>
      <c r="H12" s="53"/>
    </row>
    <row r="13" spans="1:8" ht="15" customHeight="1" x14ac:dyDescent="0.2">
      <c r="A13" s="53" t="s">
        <v>365</v>
      </c>
      <c r="B13" s="53"/>
      <c r="C13" s="53"/>
      <c r="D13" s="53"/>
      <c r="E13" s="53"/>
      <c r="F13" s="53"/>
      <c r="G13" s="53"/>
      <c r="H13" s="53"/>
    </row>
    <row r="14" spans="1:8" ht="15" customHeight="1" x14ac:dyDescent="0.2">
      <c r="A14" s="53" t="s">
        <v>366</v>
      </c>
      <c r="B14" s="53"/>
      <c r="C14" s="53"/>
      <c r="D14" s="53"/>
      <c r="E14" s="53"/>
      <c r="F14" s="53"/>
      <c r="G14" s="53"/>
      <c r="H14" s="53"/>
    </row>
    <row r="15" spans="1:8" ht="15" customHeight="1" x14ac:dyDescent="0.2">
      <c r="A15" s="53" t="s">
        <v>367</v>
      </c>
      <c r="B15" s="53"/>
      <c r="C15" s="53"/>
      <c r="D15" s="53"/>
      <c r="E15" s="53"/>
      <c r="F15" s="53"/>
      <c r="G15" s="53"/>
      <c r="H15" s="53"/>
    </row>
    <row r="16" spans="1:8" ht="15" customHeight="1" x14ac:dyDescent="0.2">
      <c r="A16" s="6"/>
      <c r="B16" s="6"/>
      <c r="C16" s="6"/>
      <c r="D16" s="6"/>
      <c r="E16" s="6"/>
      <c r="F16" s="6"/>
      <c r="G16" s="6"/>
      <c r="H16" s="6"/>
    </row>
    <row r="17" spans="1:8" ht="15" customHeight="1" x14ac:dyDescent="0.2">
      <c r="A17" s="51" t="s">
        <v>8</v>
      </c>
      <c r="B17" s="51"/>
      <c r="C17" s="51"/>
      <c r="D17" s="51"/>
      <c r="E17" s="51"/>
      <c r="F17" s="51"/>
      <c r="G17" s="51"/>
      <c r="H17" s="51"/>
    </row>
    <row r="18" spans="1:8" ht="15" customHeight="1" x14ac:dyDescent="0.2">
      <c r="A18" s="6" t="s">
        <v>21</v>
      </c>
      <c r="B18" s="8">
        <v>85</v>
      </c>
      <c r="C18" s="6"/>
      <c r="D18" s="6"/>
      <c r="E18" s="6"/>
      <c r="F18" s="6"/>
      <c r="G18" s="6"/>
      <c r="H18" s="6"/>
    </row>
    <row r="19" spans="1:8" ht="15" customHeight="1" x14ac:dyDescent="0.2">
      <c r="A19" s="2" t="s">
        <v>11</v>
      </c>
      <c r="B19" s="8">
        <v>90</v>
      </c>
      <c r="C19" s="6"/>
      <c r="D19" s="6"/>
      <c r="E19" s="6"/>
      <c r="F19" s="6"/>
      <c r="G19" s="6"/>
      <c r="H19" s="6"/>
    </row>
    <row r="20" spans="1:8" ht="15" customHeight="1" x14ac:dyDescent="0.2">
      <c r="A20" s="2" t="s">
        <v>140</v>
      </c>
      <c r="B20" s="7">
        <v>1</v>
      </c>
      <c r="C20" s="6"/>
      <c r="D20" s="6"/>
      <c r="E20" s="6"/>
      <c r="F20" s="6"/>
      <c r="G20" s="6"/>
      <c r="H20" s="6"/>
    </row>
    <row r="21" spans="1:8" ht="15" customHeight="1" x14ac:dyDescent="0.2">
      <c r="A21" s="2" t="s">
        <v>137</v>
      </c>
      <c r="B21" s="17">
        <v>0.06</v>
      </c>
      <c r="C21" s="6"/>
      <c r="D21" s="6"/>
      <c r="E21" s="6"/>
      <c r="F21" s="6"/>
      <c r="G21" s="6"/>
      <c r="H21" s="6"/>
    </row>
    <row r="22" spans="1:8" ht="15" customHeight="1" x14ac:dyDescent="0.2">
      <c r="A22" s="2" t="s">
        <v>139</v>
      </c>
      <c r="B22" s="17">
        <v>0</v>
      </c>
      <c r="C22" s="6"/>
      <c r="D22" s="6"/>
      <c r="E22" s="6"/>
      <c r="F22" s="6"/>
      <c r="G22" s="6"/>
      <c r="H22" s="6"/>
    </row>
    <row r="23" spans="1:8" ht="15" customHeight="1" x14ac:dyDescent="0.2">
      <c r="A23" s="2" t="s">
        <v>346</v>
      </c>
      <c r="B23" s="17">
        <v>0.18</v>
      </c>
      <c r="C23" s="6"/>
      <c r="D23" s="6"/>
      <c r="E23" s="6"/>
      <c r="F23" s="6"/>
      <c r="G23" s="6"/>
      <c r="H23" s="6"/>
    </row>
    <row r="24" spans="1:8" ht="15" customHeight="1" x14ac:dyDescent="0.2">
      <c r="A24" s="6"/>
      <c r="B24" s="6"/>
      <c r="C24" s="6"/>
      <c r="D24" s="6"/>
      <c r="E24" s="6"/>
      <c r="F24" s="6"/>
      <c r="G24" s="6"/>
      <c r="H24" s="6"/>
    </row>
    <row r="25" spans="1:8" ht="15" customHeight="1" x14ac:dyDescent="0.2">
      <c r="A25" s="2" t="s">
        <v>368</v>
      </c>
      <c r="B25" s="24">
        <f>(LN(B18/B19)+(B21-B22+B23^2/2)*B20)/(B23*SQRT(B20))</f>
        <v>0.10578658977806307</v>
      </c>
      <c r="C25" s="6"/>
      <c r="D25" s="6" t="s">
        <v>369</v>
      </c>
      <c r="E25" s="24">
        <f>NORMSDIST(B25)</f>
        <v>0.54212416155511045</v>
      </c>
      <c r="F25" s="6"/>
      <c r="G25" s="6" t="s">
        <v>370</v>
      </c>
      <c r="H25" s="24">
        <f>NORMSDIST(-B25)</f>
        <v>0.45787583844488949</v>
      </c>
    </row>
    <row r="26" spans="1:8" ht="15" customHeight="1" x14ac:dyDescent="0.2">
      <c r="A26" s="2" t="s">
        <v>371</v>
      </c>
      <c r="B26" s="24">
        <f>B25-B23*SQRT(B20)</f>
        <v>-7.4213410221936921E-2</v>
      </c>
      <c r="C26" s="6"/>
      <c r="D26" s="6" t="s">
        <v>372</v>
      </c>
      <c r="E26" s="24">
        <f>NORMSDIST(B26)</f>
        <v>0.47042028773156341</v>
      </c>
      <c r="F26" s="6"/>
      <c r="G26" s="6" t="s">
        <v>373</v>
      </c>
      <c r="H26" s="24">
        <f>NORMSDIST(-B26)</f>
        <v>0.52957971226843659</v>
      </c>
    </row>
    <row r="27" spans="1:8" ht="15" customHeight="1" x14ac:dyDescent="0.2">
      <c r="A27" s="2" t="s">
        <v>10</v>
      </c>
      <c r="B27" s="28">
        <f>B18*EXP(-B22*B20)*E25-B19*EXP(-B21*B20)*E26</f>
        <v>6.2082908744168392</v>
      </c>
      <c r="C27" s="6"/>
      <c r="D27" s="6"/>
      <c r="E27" s="6"/>
      <c r="F27" s="6"/>
      <c r="G27" s="6"/>
      <c r="H27" s="6"/>
    </row>
    <row r="28" spans="1:8" ht="15" customHeight="1" x14ac:dyDescent="0.2">
      <c r="A28" s="2" t="s">
        <v>22</v>
      </c>
      <c r="B28" s="28">
        <f>-B18*EXP(-B22*B20)*H25+B19*EXP(-B21*B20)*H26</f>
        <v>5.9670988969992251</v>
      </c>
      <c r="C28" s="6"/>
      <c r="D28" s="6"/>
      <c r="E28" s="6"/>
      <c r="F28" s="6"/>
      <c r="G28" s="6"/>
      <c r="H28" s="6"/>
    </row>
    <row r="29" spans="1:8" ht="15" customHeight="1" x14ac:dyDescent="0.2">
      <c r="A29" s="6"/>
      <c r="B29" s="6"/>
      <c r="C29" s="6"/>
      <c r="D29" s="6"/>
      <c r="E29" s="6"/>
      <c r="F29" s="6"/>
      <c r="G29" s="6"/>
      <c r="H29" s="6"/>
    </row>
    <row r="30" spans="1:8" ht="15" customHeight="1" x14ac:dyDescent="0.2">
      <c r="A30" s="2" t="s">
        <v>374</v>
      </c>
      <c r="B30" s="45">
        <v>1.5</v>
      </c>
      <c r="C30" s="6"/>
      <c r="D30" s="6" t="s">
        <v>375</v>
      </c>
      <c r="E30" s="15">
        <f>3/12</f>
        <v>0.25</v>
      </c>
      <c r="F30" s="6"/>
      <c r="G30" s="6" t="s">
        <v>376</v>
      </c>
      <c r="H30" s="46">
        <f>B30*EXP(-$B$21*E30)</f>
        <v>1.4776679094045939</v>
      </c>
    </row>
    <row r="31" spans="1:8" ht="15" customHeight="1" x14ac:dyDescent="0.2">
      <c r="A31" s="2" t="s">
        <v>377</v>
      </c>
      <c r="B31" s="45">
        <v>1.5</v>
      </c>
      <c r="C31" s="6"/>
      <c r="D31" s="6" t="s">
        <v>378</v>
      </c>
      <c r="E31" s="15">
        <f>9/12</f>
        <v>0.75</v>
      </c>
      <c r="F31" s="6"/>
      <c r="G31" s="6" t="s">
        <v>379</v>
      </c>
      <c r="H31" s="46">
        <f>B31*EXP(-$B$21*E31)</f>
        <v>1.4339962227496499</v>
      </c>
    </row>
    <row r="32" spans="1:8" ht="15" customHeight="1" x14ac:dyDescent="0.2">
      <c r="A32" s="6"/>
      <c r="B32" s="6"/>
      <c r="C32" s="6"/>
      <c r="D32" s="6"/>
      <c r="E32" s="6"/>
      <c r="F32" s="6"/>
      <c r="G32" s="6"/>
      <c r="H32" s="6"/>
    </row>
    <row r="33" spans="1:8" ht="15" customHeight="1" x14ac:dyDescent="0.2">
      <c r="A33" s="2" t="s">
        <v>380</v>
      </c>
      <c r="B33" s="28">
        <f>H30+H31</f>
        <v>2.911664132154244</v>
      </c>
      <c r="C33" s="6"/>
      <c r="D33" s="6"/>
      <c r="E33" s="6"/>
      <c r="F33" s="6"/>
      <c r="G33" s="6"/>
      <c r="H33" s="6"/>
    </row>
    <row r="34" spans="1:8" ht="15" customHeight="1" x14ac:dyDescent="0.2">
      <c r="A34" s="2" t="s">
        <v>368</v>
      </c>
      <c r="B34" s="24">
        <f>(LN((B18-B33)/B19)+(B21-B22+B23^2/2)*B20)/(B23*SQRT(B20))</f>
        <v>-8.785409011294236E-2</v>
      </c>
      <c r="C34" s="6"/>
      <c r="D34" s="6" t="s">
        <v>369</v>
      </c>
      <c r="E34" s="24">
        <f>NORMSDIST(B34)</f>
        <v>0.46499632311506467</v>
      </c>
      <c r="F34" s="6"/>
      <c r="G34" s="6"/>
      <c r="H34" s="6"/>
    </row>
    <row r="35" spans="1:8" ht="15" customHeight="1" x14ac:dyDescent="0.2">
      <c r="A35" s="2" t="s">
        <v>371</v>
      </c>
      <c r="B35" s="24">
        <f>B34-B23*SQRT(B20)</f>
        <v>-0.26785409011294237</v>
      </c>
      <c r="C35" s="6"/>
      <c r="D35" s="6" t="s">
        <v>372</v>
      </c>
      <c r="E35" s="24">
        <f>NORMSDIST(B35)</f>
        <v>0.39440581675390041</v>
      </c>
      <c r="F35" s="6"/>
      <c r="G35" s="6"/>
      <c r="H35" s="6"/>
    </row>
    <row r="36" spans="1:8" ht="15" customHeight="1" x14ac:dyDescent="0.2">
      <c r="A36" s="2" t="s">
        <v>10</v>
      </c>
      <c r="B36" s="28">
        <f>(B18-B33)*E34-B19*EXP(-B21*B20)*E35</f>
        <v>4.7414074439491074</v>
      </c>
      <c r="C36" s="6"/>
      <c r="D36" s="6"/>
      <c r="E36" s="6"/>
      <c r="F36" s="6"/>
      <c r="G36" s="6"/>
      <c r="H36" s="6"/>
    </row>
    <row r="37" spans="1:8" ht="15" customHeight="1" x14ac:dyDescent="0.2">
      <c r="A37" s="6"/>
      <c r="B37" s="6"/>
      <c r="C37" s="6"/>
      <c r="D37" s="6"/>
      <c r="E37" s="6"/>
      <c r="F37" s="6"/>
      <c r="G37" s="6"/>
      <c r="H37" s="6"/>
    </row>
    <row r="38" spans="1:8" ht="15" customHeight="1" x14ac:dyDescent="0.2">
      <c r="A38" s="6"/>
      <c r="B38" s="6"/>
      <c r="C38" s="6"/>
      <c r="D38" s="6"/>
      <c r="E38" s="6"/>
      <c r="F38" s="6"/>
      <c r="G38" s="6"/>
      <c r="H38" s="6"/>
    </row>
    <row r="39" spans="1:8" ht="15" customHeight="1" x14ac:dyDescent="0.2">
      <c r="A39" s="6"/>
      <c r="B39" s="6"/>
      <c r="C39" s="6"/>
      <c r="D39" s="6"/>
      <c r="E39" s="6"/>
      <c r="F39" s="6"/>
      <c r="G39" s="6"/>
      <c r="H39" s="6"/>
    </row>
    <row r="40" spans="1:8" ht="15" customHeight="1" x14ac:dyDescent="0.2">
      <c r="A40" s="6"/>
      <c r="B40" s="6"/>
      <c r="C40" s="6"/>
      <c r="D40" s="6"/>
      <c r="E40" s="6"/>
      <c r="F40" s="6"/>
      <c r="G40" s="6"/>
      <c r="H40" s="6"/>
    </row>
  </sheetData>
  <mergeCells count="15">
    <mergeCell ref="A12:H12"/>
    <mergeCell ref="A13:H13"/>
    <mergeCell ref="A14:H14"/>
    <mergeCell ref="A15:H15"/>
    <mergeCell ref="A17:H17"/>
    <mergeCell ref="A7:H7"/>
    <mergeCell ref="A8:H8"/>
    <mergeCell ref="A9:H9"/>
    <mergeCell ref="A10:H10"/>
    <mergeCell ref="A11:H11"/>
    <mergeCell ref="A1:H1"/>
    <mergeCell ref="A3:H3"/>
    <mergeCell ref="A4:H4"/>
    <mergeCell ref="A5:H5"/>
    <mergeCell ref="A6:H6"/>
  </mergeCells>
  <pageMargins left="0.35" right="0.35" top="0.45" bottom="0.45" header="0.2" footer="0.2"/>
  <pageSetup paperSize="9" fitToHeight="0" orientation="landscape"/>
  <headerFooter>
    <oddFooter>&amp;L&amp;"Times New Roman,Regular"&amp;8John C. Hull – 12a edizione&amp;C&amp;"Times New Roman,Regular"&amp;8Ulteriori Domande&amp;R&amp;"Times New Roman,Regular"&amp;8&amp;A |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36878"/>
    <pageSetUpPr fitToPage="1"/>
  </sheetPr>
  <dimension ref="A1:H22"/>
  <sheetViews>
    <sheetView showGridLines="0" zoomScaleNormal="100" workbookViewId="0">
      <pane ySplit="2" topLeftCell="A3" activePane="bottomLeft" state="frozen"/>
      <selection sqref="A1:H1"/>
      <selection pane="bottomLeft" sqref="A1:H1"/>
    </sheetView>
  </sheetViews>
  <sheetFormatPr defaultRowHeight="15" customHeight="1" x14ac:dyDescent="0.2"/>
  <cols>
    <col min="1" max="1" width="26.28515625" style="39" customWidth="1"/>
    <col min="2" max="2" width="13.85546875" style="39" customWidth="1"/>
    <col min="3" max="3" width="12.5703125" style="39" customWidth="1"/>
    <col min="4" max="4" width="15.140625" style="39" customWidth="1"/>
    <col min="5" max="5" width="13.85546875" style="39" customWidth="1"/>
    <col min="6" max="6" width="12.5703125" style="39" customWidth="1"/>
    <col min="7" max="7" width="15.140625" style="39" customWidth="1"/>
    <col min="8" max="8" width="13.85546875" style="39" customWidth="1"/>
    <col min="9" max="16384" width="9.140625" style="39"/>
  </cols>
  <sheetData>
    <row r="1" spans="1:8" ht="15" customHeight="1" x14ac:dyDescent="0.2">
      <c r="A1" s="50" t="s">
        <v>381</v>
      </c>
      <c r="B1" s="51"/>
      <c r="C1" s="51"/>
      <c r="D1" s="51"/>
      <c r="E1" s="51"/>
      <c r="F1" s="51"/>
      <c r="G1" s="51"/>
      <c r="H1" s="51"/>
    </row>
    <row r="2" spans="1:8" ht="15" customHeight="1" x14ac:dyDescent="0.2">
      <c r="A2" s="6"/>
      <c r="B2" s="6"/>
      <c r="C2" s="6"/>
      <c r="D2" s="6"/>
      <c r="E2" s="6"/>
      <c r="F2" s="6"/>
      <c r="G2" s="6"/>
      <c r="H2" s="6"/>
    </row>
    <row r="3" spans="1:8" ht="15" customHeight="1" x14ac:dyDescent="0.2">
      <c r="A3" s="51" t="s">
        <v>382</v>
      </c>
      <c r="B3" s="51"/>
      <c r="C3" s="51"/>
      <c r="D3" s="51"/>
      <c r="E3" s="51"/>
      <c r="F3" s="51"/>
      <c r="G3" s="51"/>
      <c r="H3" s="51"/>
    </row>
    <row r="4" spans="1:8" ht="15" customHeight="1" x14ac:dyDescent="0.2">
      <c r="A4" s="53" t="s">
        <v>383</v>
      </c>
      <c r="B4" s="53"/>
      <c r="C4" s="53"/>
      <c r="D4" s="53"/>
      <c r="E4" s="53"/>
      <c r="F4" s="53"/>
      <c r="G4" s="53"/>
      <c r="H4" s="53"/>
    </row>
    <row r="5" spans="1:8" ht="15" customHeight="1" x14ac:dyDescent="0.2">
      <c r="A5" s="53" t="s">
        <v>384</v>
      </c>
      <c r="B5" s="53"/>
      <c r="C5" s="53"/>
      <c r="D5" s="53"/>
      <c r="E5" s="53"/>
      <c r="F5" s="53"/>
      <c r="G5" s="53"/>
      <c r="H5" s="53"/>
    </row>
    <row r="6" spans="1:8" ht="15" customHeight="1" x14ac:dyDescent="0.2">
      <c r="A6" s="6"/>
      <c r="B6" s="6"/>
      <c r="C6" s="6"/>
      <c r="D6" s="6"/>
      <c r="E6" s="6"/>
      <c r="F6" s="6"/>
      <c r="G6" s="6"/>
      <c r="H6" s="6"/>
    </row>
    <row r="7" spans="1:8" ht="15" customHeight="1" x14ac:dyDescent="0.2">
      <c r="A7" s="51" t="s">
        <v>8</v>
      </c>
      <c r="B7" s="51"/>
      <c r="C7" s="51"/>
      <c r="D7" s="51"/>
      <c r="E7" s="51"/>
      <c r="F7" s="51"/>
      <c r="G7" s="51"/>
      <c r="H7" s="51"/>
    </row>
    <row r="8" spans="1:8" ht="15" customHeight="1" x14ac:dyDescent="0.2">
      <c r="A8" s="53" t="s">
        <v>385</v>
      </c>
      <c r="B8" s="53"/>
      <c r="C8" s="53"/>
      <c r="D8" s="53"/>
      <c r="E8" s="53"/>
      <c r="F8" s="53"/>
      <c r="G8" s="53"/>
      <c r="H8" s="53"/>
    </row>
    <row r="9" spans="1:8" ht="15" customHeight="1" x14ac:dyDescent="0.2">
      <c r="A9" s="53" t="s">
        <v>386</v>
      </c>
      <c r="B9" s="53"/>
      <c r="C9" s="53"/>
      <c r="D9" s="53"/>
      <c r="E9" s="53"/>
      <c r="F9" s="53"/>
      <c r="G9" s="53"/>
      <c r="H9" s="53"/>
    </row>
    <row r="10" spans="1:8" ht="15" customHeight="1" x14ac:dyDescent="0.2">
      <c r="A10" s="53" t="s">
        <v>387</v>
      </c>
      <c r="B10" s="53"/>
      <c r="C10" s="53"/>
      <c r="D10" s="53"/>
      <c r="E10" s="53"/>
      <c r="F10" s="53"/>
      <c r="G10" s="53"/>
      <c r="H10" s="53"/>
    </row>
    <row r="11" spans="1:8" ht="15" customHeight="1" x14ac:dyDescent="0.2">
      <c r="A11" s="53" t="s">
        <v>388</v>
      </c>
      <c r="B11" s="53"/>
      <c r="C11" s="53"/>
      <c r="D11" s="53"/>
      <c r="E11" s="53"/>
      <c r="F11" s="53"/>
      <c r="G11" s="53"/>
      <c r="H11" s="53"/>
    </row>
    <row r="12" spans="1:8" ht="15" customHeight="1" x14ac:dyDescent="0.2">
      <c r="A12" s="53" t="s">
        <v>389</v>
      </c>
      <c r="B12" s="53"/>
      <c r="C12" s="53"/>
      <c r="D12" s="53"/>
      <c r="E12" s="53"/>
      <c r="F12" s="53"/>
      <c r="G12" s="53"/>
      <c r="H12" s="53"/>
    </row>
    <row r="13" spans="1:8" ht="15" customHeight="1" x14ac:dyDescent="0.2">
      <c r="A13" s="53" t="s">
        <v>390</v>
      </c>
      <c r="B13" s="53"/>
      <c r="C13" s="53"/>
      <c r="D13" s="53"/>
      <c r="E13" s="53"/>
      <c r="F13" s="53"/>
      <c r="G13" s="53"/>
      <c r="H13" s="53"/>
    </row>
    <row r="14" spans="1:8" ht="15" customHeight="1" x14ac:dyDescent="0.2">
      <c r="A14" s="53" t="s">
        <v>391</v>
      </c>
      <c r="B14" s="53"/>
      <c r="C14" s="53"/>
      <c r="D14" s="53"/>
      <c r="E14" s="53"/>
      <c r="F14" s="53"/>
      <c r="G14" s="53"/>
      <c r="H14" s="53"/>
    </row>
    <row r="15" spans="1:8" ht="15" customHeight="1" x14ac:dyDescent="0.2">
      <c r="A15" s="53" t="s">
        <v>392</v>
      </c>
      <c r="B15" s="53"/>
      <c r="C15" s="53"/>
      <c r="D15" s="53"/>
      <c r="E15" s="53"/>
      <c r="F15" s="53"/>
      <c r="G15" s="53"/>
      <c r="H15" s="53"/>
    </row>
    <row r="16" spans="1:8" ht="15" customHeight="1" x14ac:dyDescent="0.2">
      <c r="A16" s="53" t="s">
        <v>393</v>
      </c>
      <c r="B16" s="53"/>
      <c r="C16" s="53"/>
      <c r="D16" s="53"/>
      <c r="E16" s="53"/>
      <c r="F16" s="53"/>
      <c r="G16" s="53"/>
      <c r="H16" s="53"/>
    </row>
    <row r="17" spans="1:8" ht="15" customHeight="1" x14ac:dyDescent="0.2">
      <c r="A17" s="53" t="s">
        <v>394</v>
      </c>
      <c r="B17" s="53"/>
      <c r="C17" s="53"/>
      <c r="D17" s="53"/>
      <c r="E17" s="53"/>
      <c r="F17" s="53"/>
      <c r="G17" s="53"/>
      <c r="H17" s="53"/>
    </row>
    <row r="18" spans="1:8" ht="15" customHeight="1" x14ac:dyDescent="0.2">
      <c r="A18" s="53" t="s">
        <v>395</v>
      </c>
      <c r="B18" s="53"/>
      <c r="C18" s="53"/>
      <c r="D18" s="53"/>
      <c r="E18" s="53"/>
      <c r="F18" s="53"/>
      <c r="G18" s="53"/>
      <c r="H18" s="53"/>
    </row>
    <row r="19" spans="1:8" ht="15" customHeight="1" x14ac:dyDescent="0.2">
      <c r="A19" s="6"/>
      <c r="B19" s="6"/>
      <c r="C19" s="6"/>
      <c r="D19" s="6"/>
      <c r="E19" s="6"/>
      <c r="F19" s="6"/>
      <c r="G19" s="6"/>
      <c r="H19" s="6"/>
    </row>
    <row r="20" spans="1:8" ht="15" customHeight="1" x14ac:dyDescent="0.2">
      <c r="A20" s="6"/>
      <c r="B20" s="6"/>
      <c r="C20" s="6"/>
      <c r="D20" s="6"/>
      <c r="E20" s="6"/>
      <c r="F20" s="6"/>
      <c r="G20" s="6"/>
      <c r="H20" s="6"/>
    </row>
    <row r="21" spans="1:8" ht="15" customHeight="1" x14ac:dyDescent="0.2">
      <c r="A21" s="6"/>
      <c r="B21" s="6"/>
      <c r="C21" s="6"/>
      <c r="D21" s="6"/>
      <c r="E21" s="6"/>
      <c r="F21" s="6"/>
      <c r="G21" s="6"/>
      <c r="H21" s="6"/>
    </row>
    <row r="22" spans="1:8" ht="15" customHeight="1" x14ac:dyDescent="0.2">
      <c r="A22" s="6"/>
      <c r="B22" s="6"/>
      <c r="C22" s="6"/>
      <c r="D22" s="6"/>
      <c r="E22" s="6"/>
      <c r="F22" s="6"/>
      <c r="G22" s="6"/>
      <c r="H22" s="6"/>
    </row>
  </sheetData>
  <mergeCells count="16">
    <mergeCell ref="A18:H18"/>
    <mergeCell ref="A13:H13"/>
    <mergeCell ref="A14:H14"/>
    <mergeCell ref="A15:H15"/>
    <mergeCell ref="A16:H16"/>
    <mergeCell ref="A17:H17"/>
    <mergeCell ref="A8:H8"/>
    <mergeCell ref="A9:H9"/>
    <mergeCell ref="A10:H10"/>
    <mergeCell ref="A11:H11"/>
    <mergeCell ref="A12:H12"/>
    <mergeCell ref="A1:H1"/>
    <mergeCell ref="A3:H3"/>
    <mergeCell ref="A4:H4"/>
    <mergeCell ref="A5:H5"/>
    <mergeCell ref="A7:H7"/>
  </mergeCells>
  <pageMargins left="0.35" right="0.35" top="0.45" bottom="0.45" header="0.2" footer="0.2"/>
  <pageSetup paperSize="9" fitToHeight="0" orientation="landscape"/>
  <headerFooter>
    <oddFooter>&amp;L&amp;"Times New Roman,Regular"&amp;8John C. Hull – 12a edizione&amp;C&amp;"Times New Roman,Regular"&amp;8Ulteriori Domande&amp;R&amp;"Times New Roman,Regular"&amp;8&amp;A |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36878"/>
    <pageSetUpPr fitToPage="1"/>
  </sheetPr>
  <dimension ref="A1:H140"/>
  <sheetViews>
    <sheetView showGridLines="0" zoomScaleNormal="100" workbookViewId="0">
      <pane ySplit="2" topLeftCell="A3" activePane="bottomLeft" state="frozen"/>
      <selection sqref="A1:H1"/>
      <selection pane="bottomLeft" sqref="A1:H1"/>
    </sheetView>
  </sheetViews>
  <sheetFormatPr defaultRowHeight="15" customHeight="1" x14ac:dyDescent="0.2"/>
  <cols>
    <col min="1" max="1" width="20.140625" style="39" customWidth="1"/>
    <col min="2" max="2" width="15.7109375" style="39" customWidth="1"/>
    <col min="3" max="3" width="7.5703125" style="39" customWidth="1"/>
    <col min="4" max="4" width="21.28515625" style="39" customWidth="1"/>
    <col min="5" max="5" width="15.7109375" style="39" customWidth="1"/>
    <col min="6" max="6" width="7.5703125" style="39" customWidth="1"/>
    <col min="7" max="7" width="20.140625" style="39" customWidth="1"/>
    <col min="8" max="8" width="15.7109375" style="39" customWidth="1"/>
    <col min="9" max="16384" width="9.140625" style="39"/>
  </cols>
  <sheetData>
    <row r="1" spans="1:8" ht="15" customHeight="1" x14ac:dyDescent="0.2">
      <c r="A1" s="50" t="s">
        <v>396</v>
      </c>
      <c r="B1" s="51"/>
      <c r="C1" s="51"/>
      <c r="D1" s="51"/>
      <c r="E1" s="51"/>
      <c r="F1" s="51"/>
      <c r="G1" s="51"/>
      <c r="H1" s="51"/>
    </row>
    <row r="2" spans="1:8" ht="15" customHeight="1" x14ac:dyDescent="0.2">
      <c r="A2" s="6"/>
      <c r="B2" s="6"/>
      <c r="C2" s="6"/>
      <c r="D2" s="6"/>
      <c r="E2" s="6"/>
      <c r="F2" s="6"/>
      <c r="G2" s="6"/>
      <c r="H2" s="6"/>
    </row>
    <row r="3" spans="1:8" ht="15" customHeight="1" x14ac:dyDescent="0.2">
      <c r="A3" s="51" t="s">
        <v>397</v>
      </c>
      <c r="B3" s="51"/>
      <c r="C3" s="51"/>
      <c r="D3" s="51"/>
      <c r="E3" s="51"/>
      <c r="F3" s="51"/>
      <c r="G3" s="51"/>
      <c r="H3" s="51"/>
    </row>
    <row r="4" spans="1:8" ht="15" customHeight="1" x14ac:dyDescent="0.2">
      <c r="A4" s="53" t="s">
        <v>398</v>
      </c>
      <c r="B4" s="53"/>
      <c r="C4" s="53"/>
      <c r="D4" s="53"/>
      <c r="E4" s="53"/>
      <c r="F4" s="53"/>
      <c r="G4" s="53"/>
      <c r="H4" s="53"/>
    </row>
    <row r="5" spans="1:8" ht="15" customHeight="1" x14ac:dyDescent="0.2">
      <c r="A5" s="53" t="s">
        <v>399</v>
      </c>
      <c r="B5" s="53"/>
      <c r="C5" s="53"/>
      <c r="D5" s="53"/>
      <c r="E5" s="53"/>
      <c r="F5" s="53"/>
      <c r="G5" s="53"/>
      <c r="H5" s="53"/>
    </row>
    <row r="6" spans="1:8" ht="15" customHeight="1" x14ac:dyDescent="0.2">
      <c r="A6" s="53" t="s">
        <v>400</v>
      </c>
      <c r="B6" s="53"/>
      <c r="C6" s="53"/>
      <c r="D6" s="53"/>
      <c r="E6" s="53"/>
      <c r="F6" s="53"/>
      <c r="G6" s="53"/>
      <c r="H6" s="53"/>
    </row>
    <row r="7" spans="1:8" ht="15" customHeight="1" x14ac:dyDescent="0.2">
      <c r="A7" s="53" t="s">
        <v>401</v>
      </c>
      <c r="B7" s="53"/>
      <c r="C7" s="53"/>
      <c r="D7" s="53"/>
      <c r="E7" s="53"/>
      <c r="F7" s="53"/>
      <c r="G7" s="53"/>
      <c r="H7" s="53"/>
    </row>
    <row r="8" spans="1:8" ht="15" customHeight="1" x14ac:dyDescent="0.2">
      <c r="A8" s="53" t="s">
        <v>402</v>
      </c>
      <c r="B8" s="53"/>
      <c r="C8" s="53"/>
      <c r="D8" s="53"/>
      <c r="E8" s="53"/>
      <c r="F8" s="53"/>
      <c r="G8" s="53"/>
      <c r="H8" s="53"/>
    </row>
    <row r="9" spans="1:8" ht="15" customHeight="1" x14ac:dyDescent="0.2">
      <c r="A9" s="53" t="s">
        <v>403</v>
      </c>
      <c r="B9" s="53"/>
      <c r="C9" s="53"/>
      <c r="D9" s="53"/>
      <c r="E9" s="53"/>
      <c r="F9" s="53"/>
      <c r="G9" s="53"/>
      <c r="H9" s="53"/>
    </row>
    <row r="10" spans="1:8" ht="15" customHeight="1" x14ac:dyDescent="0.2">
      <c r="A10" s="6"/>
      <c r="B10" s="6"/>
      <c r="C10" s="6"/>
      <c r="D10" s="6"/>
      <c r="E10" s="6"/>
      <c r="F10" s="6"/>
      <c r="G10" s="6"/>
      <c r="H10" s="6"/>
    </row>
    <row r="11" spans="1:8" ht="15" customHeight="1" x14ac:dyDescent="0.2">
      <c r="A11" s="51" t="s">
        <v>8</v>
      </c>
      <c r="B11" s="51"/>
      <c r="C11" s="51"/>
      <c r="D11" s="51"/>
      <c r="E11" s="51"/>
      <c r="F11" s="51"/>
      <c r="G11" s="51"/>
      <c r="H11" s="51"/>
    </row>
    <row r="12" spans="1:8" ht="15" customHeight="1" x14ac:dyDescent="0.2">
      <c r="A12" s="6" t="s">
        <v>195</v>
      </c>
      <c r="B12" s="7">
        <v>1000000</v>
      </c>
      <c r="C12" s="6"/>
      <c r="D12" s="6" t="s">
        <v>404</v>
      </c>
      <c r="E12" s="7">
        <f>B17*B12</f>
        <v>1050000</v>
      </c>
      <c r="F12" s="6"/>
      <c r="G12" s="6"/>
      <c r="H12" s="6"/>
    </row>
    <row r="13" spans="1:8" ht="15" customHeight="1" x14ac:dyDescent="0.2">
      <c r="A13" s="6" t="s">
        <v>21</v>
      </c>
      <c r="B13" s="7">
        <v>1</v>
      </c>
      <c r="C13" s="6"/>
      <c r="D13" s="6" t="s">
        <v>405</v>
      </c>
      <c r="E13" s="7">
        <f>1/B13</f>
        <v>1</v>
      </c>
      <c r="F13" s="6"/>
      <c r="G13" s="6"/>
      <c r="H13" s="6"/>
    </row>
    <row r="14" spans="1:8" ht="15" customHeight="1" x14ac:dyDescent="0.2">
      <c r="A14" s="6" t="s">
        <v>406</v>
      </c>
      <c r="B14" s="15">
        <v>1.1000000000000001</v>
      </c>
      <c r="C14" s="6"/>
      <c r="D14" s="6" t="s">
        <v>407</v>
      </c>
      <c r="E14" s="15">
        <f>1/B15</f>
        <v>1.1111111111111112</v>
      </c>
      <c r="F14" s="6"/>
      <c r="G14" s="6"/>
      <c r="H14" s="6"/>
    </row>
    <row r="15" spans="1:8" ht="15" customHeight="1" x14ac:dyDescent="0.2">
      <c r="A15" s="6" t="s">
        <v>408</v>
      </c>
      <c r="B15" s="15">
        <v>0.9</v>
      </c>
      <c r="C15" s="6"/>
      <c r="D15" s="6" t="s">
        <v>409</v>
      </c>
      <c r="E15" s="15">
        <f>1/B14</f>
        <v>0.90909090909090906</v>
      </c>
      <c r="F15" s="6"/>
      <c r="G15" s="6"/>
      <c r="H15" s="6"/>
    </row>
    <row r="16" spans="1:8" ht="15" customHeight="1" x14ac:dyDescent="0.2">
      <c r="A16" s="6" t="s">
        <v>410</v>
      </c>
      <c r="B16" s="15">
        <f>B13*EXP((B21-B22)*B18)</f>
        <v>0.99004983374916811</v>
      </c>
      <c r="C16" s="6"/>
      <c r="D16" s="6" t="s">
        <v>411</v>
      </c>
      <c r="E16" s="15">
        <f>E13*EXP((E21-E22)*E18)</f>
        <v>1.0100501670841679</v>
      </c>
      <c r="F16" s="6"/>
      <c r="G16" s="6"/>
      <c r="H16" s="6"/>
    </row>
    <row r="17" spans="1:8" ht="15" customHeight="1" x14ac:dyDescent="0.2">
      <c r="A17" s="6" t="s">
        <v>11</v>
      </c>
      <c r="B17" s="15">
        <v>1.05</v>
      </c>
      <c r="C17" s="6"/>
      <c r="D17" s="6" t="s">
        <v>302</v>
      </c>
      <c r="E17" s="15">
        <f>1/B17</f>
        <v>0.95238095238095233</v>
      </c>
      <c r="F17" s="6"/>
      <c r="G17" s="6"/>
      <c r="H17" s="6"/>
    </row>
    <row r="18" spans="1:8" ht="15" customHeight="1" x14ac:dyDescent="0.2">
      <c r="A18" s="6" t="s">
        <v>140</v>
      </c>
      <c r="B18" s="15">
        <v>0.5</v>
      </c>
      <c r="C18" s="6"/>
      <c r="D18" s="6" t="s">
        <v>140</v>
      </c>
      <c r="E18" s="15">
        <f>B18</f>
        <v>0.5</v>
      </c>
      <c r="F18" s="6"/>
      <c r="G18" s="6"/>
      <c r="H18" s="6"/>
    </row>
    <row r="19" spans="1:8" ht="15" customHeight="1" x14ac:dyDescent="0.2">
      <c r="A19" s="6" t="s">
        <v>342</v>
      </c>
      <c r="B19" s="15">
        <f>B14</f>
        <v>1.1000000000000001</v>
      </c>
      <c r="C19" s="6"/>
      <c r="D19" s="6" t="s">
        <v>412</v>
      </c>
      <c r="E19" s="15">
        <f>1/B20</f>
        <v>1.1111111111111112</v>
      </c>
      <c r="F19" s="6"/>
      <c r="G19" s="6"/>
      <c r="H19" s="6"/>
    </row>
    <row r="20" spans="1:8" ht="15" customHeight="1" x14ac:dyDescent="0.2">
      <c r="A20" s="6" t="s">
        <v>344</v>
      </c>
      <c r="B20" s="15">
        <f>B15</f>
        <v>0.9</v>
      </c>
      <c r="C20" s="6"/>
      <c r="D20" s="6" t="s">
        <v>413</v>
      </c>
      <c r="E20" s="15">
        <f>1/B19</f>
        <v>0.90909090909090906</v>
      </c>
      <c r="F20" s="6"/>
      <c r="G20" s="6"/>
      <c r="H20" s="6"/>
    </row>
    <row r="21" spans="1:8" ht="15" customHeight="1" x14ac:dyDescent="0.2">
      <c r="A21" s="6" t="s">
        <v>137</v>
      </c>
      <c r="B21" s="17">
        <v>0.06</v>
      </c>
      <c r="C21" s="6"/>
      <c r="D21" s="6" t="s">
        <v>414</v>
      </c>
      <c r="E21" s="17">
        <f>B22</f>
        <v>0.08</v>
      </c>
      <c r="F21" s="6"/>
      <c r="G21" s="6"/>
      <c r="H21" s="6"/>
    </row>
    <row r="22" spans="1:8" ht="15" customHeight="1" x14ac:dyDescent="0.2">
      <c r="A22" s="6" t="s">
        <v>149</v>
      </c>
      <c r="B22" s="17">
        <v>0.08</v>
      </c>
      <c r="C22" s="6"/>
      <c r="D22" s="6" t="s">
        <v>415</v>
      </c>
      <c r="E22" s="17">
        <f>B21</f>
        <v>0.06</v>
      </c>
      <c r="F22" s="6"/>
      <c r="G22" s="6"/>
      <c r="H22" s="6"/>
    </row>
    <row r="23" spans="1:8" ht="15" customHeight="1" x14ac:dyDescent="0.2">
      <c r="A23" s="6"/>
      <c r="B23" s="6"/>
      <c r="C23" s="6"/>
      <c r="D23" s="6"/>
      <c r="E23" s="6"/>
      <c r="F23" s="6"/>
      <c r="G23" s="6"/>
      <c r="H23" s="6"/>
    </row>
    <row r="24" spans="1:8" ht="15" customHeight="1" x14ac:dyDescent="0.2">
      <c r="A24" s="6" t="s">
        <v>416</v>
      </c>
      <c r="B24" s="7">
        <v>0</v>
      </c>
      <c r="C24" s="6"/>
      <c r="D24" s="6" t="s">
        <v>417</v>
      </c>
      <c r="E24" s="15">
        <f>E14-E17</f>
        <v>0.15873015873015883</v>
      </c>
      <c r="F24" s="6"/>
      <c r="G24" s="6"/>
      <c r="H24" s="6"/>
    </row>
    <row r="25" spans="1:8" ht="15" customHeight="1" x14ac:dyDescent="0.2">
      <c r="A25" s="6" t="s">
        <v>418</v>
      </c>
      <c r="B25" s="15">
        <f>B17-B15</f>
        <v>0.15000000000000002</v>
      </c>
      <c r="C25" s="6"/>
      <c r="D25" s="6" t="s">
        <v>419</v>
      </c>
      <c r="E25" s="7">
        <v>0</v>
      </c>
      <c r="F25" s="6"/>
      <c r="G25" s="6"/>
      <c r="H25" s="6"/>
    </row>
    <row r="26" spans="1:8" ht="15" customHeight="1" x14ac:dyDescent="0.2">
      <c r="A26" s="6" t="s">
        <v>380</v>
      </c>
      <c r="B26" s="15">
        <f>(B24-B25)/(B14-B15)</f>
        <v>-0.74999999999999989</v>
      </c>
      <c r="C26" s="6"/>
      <c r="D26" s="6" t="s">
        <v>420</v>
      </c>
      <c r="E26" s="15">
        <f>(E24-E25)/(E14-E15)</f>
        <v>0.78571428571428592</v>
      </c>
      <c r="F26" s="6"/>
      <c r="G26" s="6"/>
      <c r="H26" s="6"/>
    </row>
    <row r="27" spans="1:8" ht="15" customHeight="1" x14ac:dyDescent="0.2">
      <c r="A27" s="6" t="s">
        <v>421</v>
      </c>
      <c r="B27" s="15">
        <f>EXP(-B21*B18)</f>
        <v>0.97044553354850815</v>
      </c>
      <c r="C27" s="6"/>
      <c r="D27" s="6" t="s">
        <v>422</v>
      </c>
      <c r="E27" s="15">
        <f>EXP(-E21*E18)</f>
        <v>0.96078943915232318</v>
      </c>
      <c r="F27" s="6"/>
      <c r="G27" s="6"/>
      <c r="H27" s="6"/>
    </row>
    <row r="28" spans="1:8" ht="15" customHeight="1" x14ac:dyDescent="0.2">
      <c r="A28" s="6" t="s">
        <v>423</v>
      </c>
      <c r="B28" s="15">
        <f>EXP(-B22*B18)</f>
        <v>0.96078943915232318</v>
      </c>
      <c r="C28" s="6"/>
      <c r="D28" s="6" t="s">
        <v>424</v>
      </c>
      <c r="E28" s="15">
        <f>EXP(-E22*E18)</f>
        <v>0.97044553354850815</v>
      </c>
      <c r="F28" s="6"/>
      <c r="G28" s="6"/>
      <c r="H28" s="6"/>
    </row>
    <row r="29" spans="1:8" ht="15" customHeight="1" x14ac:dyDescent="0.2">
      <c r="A29" s="6" t="s">
        <v>425</v>
      </c>
      <c r="B29" s="15">
        <f>EXP(-(B21-B22)*B18)</f>
        <v>1.0100501670841679</v>
      </c>
      <c r="C29" s="6"/>
      <c r="D29" s="6" t="s">
        <v>426</v>
      </c>
      <c r="E29" s="15">
        <f>EXP(-(E21-E22)*E18)</f>
        <v>0.99004983374916811</v>
      </c>
      <c r="F29" s="6"/>
      <c r="G29" s="6"/>
      <c r="H29" s="6"/>
    </row>
    <row r="30" spans="1:8" ht="15" customHeight="1" x14ac:dyDescent="0.2">
      <c r="A30" s="6" t="s">
        <v>427</v>
      </c>
      <c r="B30" s="15">
        <f>B26*B13*B28-B27*(B26*B14-B24)</f>
        <v>8.0025485813276842E-2</v>
      </c>
      <c r="C30" s="6"/>
      <c r="D30" s="6" t="s">
        <v>428</v>
      </c>
      <c r="E30" s="15">
        <f>E26*E13*E28-E27*(E26*E14-E24)</f>
        <v>7.6214748393597098E-2</v>
      </c>
      <c r="F30" s="6"/>
      <c r="G30" s="6"/>
      <c r="H30" s="6"/>
    </row>
    <row r="31" spans="1:8" ht="15" customHeight="1" x14ac:dyDescent="0.2">
      <c r="A31" s="6" t="s">
        <v>429</v>
      </c>
      <c r="B31" s="15">
        <f>B30*B12</f>
        <v>80025.485813276842</v>
      </c>
      <c r="C31" s="6"/>
      <c r="D31" s="6" t="s">
        <v>429</v>
      </c>
      <c r="E31" s="15">
        <f>E30*E12</f>
        <v>80025.485813276959</v>
      </c>
      <c r="F31" s="6"/>
      <c r="G31" s="6"/>
      <c r="H31" s="6"/>
    </row>
    <row r="32" spans="1:8" ht="15" customHeight="1" x14ac:dyDescent="0.2">
      <c r="A32" s="6"/>
      <c r="B32" s="6"/>
      <c r="C32" s="6"/>
      <c r="D32" s="6"/>
      <c r="E32" s="6"/>
      <c r="F32" s="6"/>
      <c r="G32" s="6"/>
      <c r="H32" s="6"/>
    </row>
    <row r="33" spans="1:8" ht="15" customHeight="1" x14ac:dyDescent="0.2">
      <c r="A33" s="6" t="s">
        <v>430</v>
      </c>
      <c r="B33" s="15">
        <f>1/B29</f>
        <v>0.99004983374916811</v>
      </c>
      <c r="C33" s="6"/>
      <c r="D33" s="6" t="s">
        <v>431</v>
      </c>
      <c r="E33" s="15">
        <f>1/E29</f>
        <v>1.0100501670841679</v>
      </c>
      <c r="F33" s="6"/>
      <c r="G33" s="6"/>
      <c r="H33" s="6"/>
    </row>
    <row r="34" spans="1:8" ht="15" customHeight="1" x14ac:dyDescent="0.2">
      <c r="A34" s="6" t="s">
        <v>432</v>
      </c>
      <c r="B34" s="15">
        <f>(B33-B20)/(B19-B20)</f>
        <v>0.45024916874584026</v>
      </c>
      <c r="C34" s="6"/>
      <c r="D34" s="6" t="s">
        <v>433</v>
      </c>
      <c r="E34" s="15">
        <f>(E33-E20)/(E19-E20)</f>
        <v>0.4997483270666313</v>
      </c>
      <c r="F34" s="6"/>
      <c r="G34" s="6"/>
      <c r="H34" s="6"/>
    </row>
    <row r="35" spans="1:8" ht="15" customHeight="1" x14ac:dyDescent="0.2">
      <c r="A35" s="6" t="s">
        <v>434</v>
      </c>
      <c r="B35" s="15">
        <f>B14*B34+B15*(1-B34)</f>
        <v>0.99004983374916811</v>
      </c>
      <c r="C35" s="6"/>
      <c r="D35" s="6" t="s">
        <v>435</v>
      </c>
      <c r="E35" s="15">
        <f>E14*E34+E15*(1-E34)</f>
        <v>1.0100501670841679</v>
      </c>
      <c r="F35" s="6"/>
      <c r="G35" s="6"/>
      <c r="H35" s="6"/>
    </row>
    <row r="36" spans="1:8" ht="15" customHeight="1" x14ac:dyDescent="0.2">
      <c r="A36" s="6" t="s">
        <v>427</v>
      </c>
      <c r="B36" s="15">
        <f>B27*(B24*B34+B25*(1-B34))</f>
        <v>8.0025485813276842E-2</v>
      </c>
      <c r="C36" s="6"/>
      <c r="D36" s="6" t="s">
        <v>428</v>
      </c>
      <c r="E36" s="15">
        <f>E27*(E24*E34+E25*(1-E34))</f>
        <v>7.6214748393596959E-2</v>
      </c>
      <c r="F36" s="6"/>
      <c r="G36" s="6"/>
      <c r="H36" s="6"/>
    </row>
    <row r="37" spans="1:8" ht="15" customHeight="1" x14ac:dyDescent="0.2">
      <c r="A37" s="6" t="s">
        <v>429</v>
      </c>
      <c r="B37" s="15">
        <f>B36*B12</f>
        <v>80025.485813276842</v>
      </c>
      <c r="C37" s="6"/>
      <c r="D37" s="6" t="s">
        <v>429</v>
      </c>
      <c r="E37" s="15">
        <f>E36*E12</f>
        <v>80025.485813276813</v>
      </c>
      <c r="F37" s="6"/>
      <c r="G37" s="6"/>
      <c r="H37" s="6"/>
    </row>
    <row r="38" spans="1:8" ht="15" customHeight="1" x14ac:dyDescent="0.2">
      <c r="A38" s="6"/>
      <c r="B38" s="6"/>
      <c r="C38" s="6"/>
      <c r="D38" s="6"/>
      <c r="E38" s="6"/>
      <c r="F38" s="6"/>
      <c r="G38" s="6"/>
      <c r="H38" s="6"/>
    </row>
    <row r="39" spans="1:8" ht="15" customHeight="1" x14ac:dyDescent="0.2">
      <c r="A39" s="53" t="s">
        <v>436</v>
      </c>
      <c r="B39" s="53"/>
      <c r="C39" s="53"/>
      <c r="D39" s="53"/>
      <c r="E39" s="53"/>
      <c r="F39" s="53"/>
      <c r="G39" s="53"/>
      <c r="H39" s="53"/>
    </row>
    <row r="40" spans="1:8" ht="15" customHeight="1" x14ac:dyDescent="0.2">
      <c r="A40" s="53" t="s">
        <v>437</v>
      </c>
      <c r="B40" s="53"/>
      <c r="C40" s="53"/>
      <c r="D40" s="53"/>
      <c r="E40" s="53"/>
      <c r="F40" s="53"/>
      <c r="G40" s="53"/>
      <c r="H40" s="53"/>
    </row>
    <row r="41" spans="1:8" ht="15" customHeight="1" x14ac:dyDescent="0.2">
      <c r="A41" s="6"/>
      <c r="B41" s="6"/>
      <c r="C41" s="6"/>
      <c r="D41" s="6"/>
      <c r="E41" s="6"/>
      <c r="F41" s="6"/>
      <c r="G41" s="6"/>
      <c r="H41" s="6"/>
    </row>
    <row r="42" spans="1:8" ht="15" customHeight="1" x14ac:dyDescent="0.2">
      <c r="A42" s="51" t="s">
        <v>438</v>
      </c>
      <c r="B42" s="51"/>
      <c r="C42" s="51"/>
      <c r="D42" s="51"/>
      <c r="E42" s="51"/>
      <c r="F42" s="51"/>
      <c r="G42" s="51"/>
      <c r="H42" s="51"/>
    </row>
    <row r="43" spans="1:8" ht="15" customHeight="1" x14ac:dyDescent="0.2">
      <c r="A43" s="53" t="s">
        <v>439</v>
      </c>
      <c r="B43" s="53"/>
      <c r="C43" s="53"/>
      <c r="D43" s="53"/>
      <c r="E43" s="53"/>
      <c r="F43" s="53"/>
      <c r="G43" s="53"/>
      <c r="H43" s="53"/>
    </row>
    <row r="44" spans="1:8" ht="15" customHeight="1" x14ac:dyDescent="0.2">
      <c r="A44" s="53" t="s">
        <v>440</v>
      </c>
      <c r="B44" s="53"/>
      <c r="C44" s="53"/>
      <c r="D44" s="53"/>
      <c r="E44" s="53"/>
      <c r="F44" s="53"/>
      <c r="G44" s="53"/>
      <c r="H44" s="53"/>
    </row>
    <row r="45" spans="1:8" ht="15" customHeight="1" x14ac:dyDescent="0.2">
      <c r="A45" s="53" t="s">
        <v>441</v>
      </c>
      <c r="B45" s="53"/>
      <c r="C45" s="53"/>
      <c r="D45" s="53"/>
      <c r="E45" s="53"/>
      <c r="F45" s="53"/>
      <c r="G45" s="53"/>
      <c r="H45" s="53"/>
    </row>
    <row r="46" spans="1:8" ht="15" customHeight="1" x14ac:dyDescent="0.2">
      <c r="A46" s="53" t="s">
        <v>442</v>
      </c>
      <c r="B46" s="53"/>
      <c r="C46" s="53"/>
      <c r="D46" s="53"/>
      <c r="E46" s="53"/>
      <c r="F46" s="53"/>
      <c r="G46" s="53"/>
      <c r="H46" s="53"/>
    </row>
    <row r="47" spans="1:8" ht="15" customHeight="1" x14ac:dyDescent="0.2">
      <c r="A47" s="53" t="s">
        <v>443</v>
      </c>
      <c r="B47" s="53"/>
      <c r="C47" s="53"/>
      <c r="D47" s="53"/>
      <c r="E47" s="53"/>
      <c r="F47" s="53"/>
      <c r="G47" s="53"/>
      <c r="H47" s="53"/>
    </row>
    <row r="48" spans="1:8" ht="15" customHeight="1" x14ac:dyDescent="0.2">
      <c r="A48" s="53" t="s">
        <v>444</v>
      </c>
      <c r="B48" s="53"/>
      <c r="C48" s="53"/>
      <c r="D48" s="53"/>
      <c r="E48" s="53"/>
      <c r="F48" s="53"/>
      <c r="G48" s="53"/>
      <c r="H48" s="53"/>
    </row>
    <row r="49" spans="1:8" ht="15" customHeight="1" x14ac:dyDescent="0.2">
      <c r="A49" s="53" t="s">
        <v>445</v>
      </c>
      <c r="B49" s="53"/>
      <c r="C49" s="53"/>
      <c r="D49" s="53"/>
      <c r="E49" s="53"/>
      <c r="F49" s="53"/>
      <c r="G49" s="53"/>
      <c r="H49" s="53"/>
    </row>
    <row r="50" spans="1:8" ht="15" customHeight="1" x14ac:dyDescent="0.2">
      <c r="A50" s="6"/>
      <c r="B50" s="6"/>
      <c r="C50" s="6"/>
      <c r="D50" s="6"/>
      <c r="E50" s="6"/>
      <c r="F50" s="6"/>
      <c r="G50" s="6"/>
      <c r="H50" s="6"/>
    </row>
    <row r="51" spans="1:8" ht="15" customHeight="1" x14ac:dyDescent="0.2">
      <c r="A51" s="51" t="s">
        <v>8</v>
      </c>
      <c r="B51" s="51"/>
      <c r="C51" s="51"/>
      <c r="D51" s="51"/>
      <c r="E51" s="51"/>
      <c r="F51" s="51"/>
      <c r="G51" s="51"/>
      <c r="H51" s="51"/>
    </row>
    <row r="52" spans="1:8" ht="15" customHeight="1" x14ac:dyDescent="0.2">
      <c r="A52" s="6" t="s">
        <v>21</v>
      </c>
      <c r="B52" s="35">
        <v>0.7</v>
      </c>
      <c r="C52" s="6"/>
      <c r="D52" s="6"/>
      <c r="E52" s="6"/>
      <c r="F52" s="6"/>
      <c r="G52" s="6"/>
      <c r="H52" s="6"/>
    </row>
    <row r="53" spans="1:8" ht="15" customHeight="1" x14ac:dyDescent="0.2">
      <c r="A53" s="2" t="s">
        <v>11</v>
      </c>
      <c r="B53" s="35">
        <v>0.68</v>
      </c>
      <c r="C53" s="6"/>
      <c r="D53" s="6"/>
      <c r="E53" s="6"/>
      <c r="F53" s="6"/>
      <c r="G53" s="6"/>
      <c r="H53" s="6"/>
    </row>
    <row r="54" spans="1:8" ht="15" customHeight="1" x14ac:dyDescent="0.2">
      <c r="A54" s="2" t="s">
        <v>140</v>
      </c>
      <c r="B54" s="15">
        <f>6/12</f>
        <v>0.5</v>
      </c>
      <c r="C54" s="6"/>
      <c r="D54" s="6"/>
      <c r="E54" s="6"/>
      <c r="F54" s="6"/>
      <c r="G54" s="6"/>
      <c r="H54" s="6"/>
    </row>
    <row r="55" spans="1:8" ht="15" customHeight="1" x14ac:dyDescent="0.2">
      <c r="A55" s="2" t="s">
        <v>50</v>
      </c>
      <c r="B55" s="7">
        <v>2</v>
      </c>
      <c r="C55" s="6"/>
      <c r="D55" s="6"/>
      <c r="E55" s="6"/>
      <c r="F55" s="6"/>
      <c r="G55" s="6"/>
      <c r="H55" s="6"/>
    </row>
    <row r="56" spans="1:8" ht="15" customHeight="1" x14ac:dyDescent="0.2">
      <c r="A56" s="2" t="s">
        <v>137</v>
      </c>
      <c r="B56" s="20">
        <v>0.04</v>
      </c>
      <c r="C56" s="6"/>
      <c r="D56" s="6"/>
      <c r="E56" s="6"/>
      <c r="F56" s="6"/>
      <c r="G56" s="6"/>
      <c r="H56" s="6"/>
    </row>
    <row r="57" spans="1:8" ht="15" customHeight="1" x14ac:dyDescent="0.2">
      <c r="A57" s="2" t="s">
        <v>149</v>
      </c>
      <c r="B57" s="20">
        <v>4.4999999999999998E-2</v>
      </c>
      <c r="C57" s="6"/>
      <c r="D57" s="6"/>
      <c r="E57" s="6"/>
      <c r="F57" s="6"/>
      <c r="G57" s="6"/>
      <c r="H57" s="6"/>
    </row>
    <row r="58" spans="1:8" ht="15" customHeight="1" x14ac:dyDescent="0.2">
      <c r="A58" s="2" t="s">
        <v>346</v>
      </c>
      <c r="B58" s="17">
        <v>0.1</v>
      </c>
      <c r="C58" s="6"/>
      <c r="D58" s="6"/>
      <c r="E58" s="6"/>
      <c r="F58" s="6"/>
      <c r="G58" s="6"/>
      <c r="H58" s="6"/>
    </row>
    <row r="59" spans="1:8" ht="15" customHeight="1" x14ac:dyDescent="0.2">
      <c r="A59" s="6"/>
      <c r="B59" s="6"/>
      <c r="C59" s="6"/>
      <c r="D59" s="6"/>
      <c r="E59" s="6"/>
      <c r="F59" s="6"/>
      <c r="G59" s="6"/>
      <c r="H59" s="6"/>
    </row>
    <row r="60" spans="1:8" ht="15" customHeight="1" x14ac:dyDescent="0.2">
      <c r="A60" s="6" t="s">
        <v>341</v>
      </c>
      <c r="B60" s="15">
        <f>B54/B55</f>
        <v>0.25</v>
      </c>
      <c r="C60" s="6"/>
      <c r="D60" s="6"/>
      <c r="E60" s="6"/>
      <c r="F60" s="6"/>
      <c r="G60" s="6"/>
      <c r="H60" s="6"/>
    </row>
    <row r="61" spans="1:8" ht="15" customHeight="1" x14ac:dyDescent="0.2">
      <c r="A61" s="2" t="s">
        <v>446</v>
      </c>
      <c r="B61" s="32">
        <f>EXP(-B56*B60)</f>
        <v>0.99004983374916811</v>
      </c>
      <c r="C61" s="6"/>
      <c r="D61" s="6"/>
      <c r="E61" s="6"/>
      <c r="F61" s="6"/>
      <c r="G61" s="6"/>
      <c r="H61" s="6"/>
    </row>
    <row r="62" spans="1:8" ht="15" customHeight="1" x14ac:dyDescent="0.2">
      <c r="A62" s="2" t="s">
        <v>342</v>
      </c>
      <c r="B62" s="32">
        <f>EXP(B58*SQRT(B60))</f>
        <v>1.0512710963760241</v>
      </c>
      <c r="C62" s="6"/>
      <c r="D62" s="6"/>
      <c r="E62" s="6"/>
      <c r="F62" s="6"/>
      <c r="G62" s="6"/>
      <c r="H62" s="6"/>
    </row>
    <row r="63" spans="1:8" ht="15" customHeight="1" x14ac:dyDescent="0.2">
      <c r="A63" s="2" t="s">
        <v>344</v>
      </c>
      <c r="B63" s="32">
        <f>1/B62</f>
        <v>0.9512294245007139</v>
      </c>
      <c r="C63" s="6"/>
      <c r="D63" s="6"/>
      <c r="E63" s="6"/>
      <c r="F63" s="6"/>
      <c r="G63" s="6"/>
      <c r="H63" s="6"/>
    </row>
    <row r="64" spans="1:8" ht="15" customHeight="1" x14ac:dyDescent="0.2">
      <c r="A64" s="2" t="s">
        <v>22</v>
      </c>
      <c r="B64" s="27">
        <f>(EXP((B56-B57)*B60)-B63)/(B62-B63)</f>
        <v>0.47501561632333184</v>
      </c>
      <c r="C64" s="6"/>
      <c r="D64" s="6"/>
      <c r="E64" s="6"/>
      <c r="F64" s="6"/>
      <c r="G64" s="6"/>
      <c r="H64" s="6"/>
    </row>
    <row r="65" spans="1:8" ht="15" customHeight="1" x14ac:dyDescent="0.2">
      <c r="A65" s="6"/>
      <c r="B65" s="6"/>
      <c r="C65" s="6"/>
      <c r="D65" s="6"/>
      <c r="E65" s="6"/>
      <c r="F65" s="6"/>
      <c r="G65" s="6"/>
      <c r="H65" s="6"/>
    </row>
    <row r="66" spans="1:8" ht="15" customHeight="1" x14ac:dyDescent="0.2">
      <c r="A66" s="6"/>
      <c r="B66" s="6"/>
      <c r="C66" s="6"/>
      <c r="D66" s="6"/>
      <c r="E66" s="6"/>
      <c r="F66" s="6"/>
      <c r="G66" s="6"/>
      <c r="H66" s="6"/>
    </row>
    <row r="67" spans="1:8" ht="15" customHeight="1" x14ac:dyDescent="0.2">
      <c r="A67" s="6"/>
      <c r="B67" s="6"/>
      <c r="C67" s="6"/>
      <c r="D67" s="6"/>
      <c r="E67" s="6"/>
      <c r="F67" s="6"/>
      <c r="G67" s="6"/>
      <c r="H67" s="6"/>
    </row>
    <row r="68" spans="1:8" ht="15" customHeight="1" x14ac:dyDescent="0.2">
      <c r="A68" s="6"/>
      <c r="B68" s="6"/>
      <c r="C68" s="6"/>
      <c r="D68" s="6"/>
      <c r="E68" s="6"/>
      <c r="F68" s="6"/>
      <c r="G68" s="6" t="s">
        <v>447</v>
      </c>
      <c r="H68" s="32">
        <f>E70*B62</f>
        <v>0.77361964265295347</v>
      </c>
    </row>
    <row r="69" spans="1:8" ht="15" customHeight="1" x14ac:dyDescent="0.2">
      <c r="A69" s="6"/>
      <c r="B69" s="6"/>
      <c r="C69" s="6"/>
      <c r="D69" s="6"/>
      <c r="E69" s="6"/>
      <c r="F69" s="6"/>
      <c r="G69" s="2" t="s">
        <v>448</v>
      </c>
      <c r="H69" s="32">
        <f>MAX(H68-B53,0)</f>
        <v>9.3619642652953416E-2</v>
      </c>
    </row>
    <row r="70" spans="1:8" ht="15" customHeight="1" x14ac:dyDescent="0.2">
      <c r="A70" s="6"/>
      <c r="B70" s="6"/>
      <c r="C70" s="6"/>
      <c r="D70" s="6" t="s">
        <v>449</v>
      </c>
      <c r="E70" s="32">
        <f>B72*B62</f>
        <v>0.73588976746321688</v>
      </c>
      <c r="F70" s="6"/>
      <c r="G70" s="6"/>
      <c r="H70" s="6"/>
    </row>
    <row r="71" spans="1:8" ht="15" customHeight="1" x14ac:dyDescent="0.2">
      <c r="A71" s="6"/>
      <c r="B71" s="6"/>
      <c r="C71" s="6"/>
      <c r="D71" s="2" t="s">
        <v>450</v>
      </c>
      <c r="E71" s="32">
        <f>MAX(B61*(H69*B64+H72*(1-B64)),E70-B53)</f>
        <v>5.5889767463216833E-2</v>
      </c>
      <c r="F71" s="6"/>
      <c r="G71" s="6" t="s">
        <v>21</v>
      </c>
      <c r="H71" s="32">
        <f>E70*B63</f>
        <v>0.7</v>
      </c>
    </row>
    <row r="72" spans="1:8" ht="15" customHeight="1" x14ac:dyDescent="0.2">
      <c r="A72" s="6" t="s">
        <v>21</v>
      </c>
      <c r="B72" s="32">
        <f>B52</f>
        <v>0.7</v>
      </c>
      <c r="C72" s="6"/>
      <c r="D72" s="6"/>
      <c r="E72" s="6"/>
      <c r="F72" s="6"/>
      <c r="G72" s="2" t="s">
        <v>451</v>
      </c>
      <c r="H72" s="32">
        <f>MAX(H71-B53,0)</f>
        <v>1.9999999999999907E-2</v>
      </c>
    </row>
    <row r="73" spans="1:8" ht="15" customHeight="1" x14ac:dyDescent="0.2">
      <c r="A73" s="2" t="s">
        <v>452</v>
      </c>
      <c r="B73" s="36">
        <f>MAX(B61*(E71*B64+E74*(1-B64)),B72-B53)</f>
        <v>3.117310641167121E-2</v>
      </c>
      <c r="C73" s="6"/>
      <c r="D73" s="6" t="s">
        <v>453</v>
      </c>
      <c r="E73" s="32">
        <f>B72*B63</f>
        <v>0.66586059715049972</v>
      </c>
      <c r="F73" s="6"/>
      <c r="G73" s="6"/>
      <c r="H73" s="6"/>
    </row>
    <row r="74" spans="1:8" ht="15" customHeight="1" x14ac:dyDescent="0.2">
      <c r="A74" s="6"/>
      <c r="B74" s="6"/>
      <c r="C74" s="6"/>
      <c r="D74" s="2" t="s">
        <v>454</v>
      </c>
      <c r="E74" s="32">
        <f>MAX(B61*(H72*B64+H75*(1-B64)),E73-B53)</f>
        <v>9.4057826393834226E-3</v>
      </c>
      <c r="F74" s="6"/>
      <c r="G74" s="6" t="s">
        <v>455</v>
      </c>
      <c r="H74" s="32">
        <f>E73*B63</f>
        <v>0.6333861926251716</v>
      </c>
    </row>
    <row r="75" spans="1:8" ht="15" customHeight="1" x14ac:dyDescent="0.2">
      <c r="A75" s="6"/>
      <c r="B75" s="6"/>
      <c r="C75" s="6"/>
      <c r="D75" s="6"/>
      <c r="E75" s="6"/>
      <c r="F75" s="6"/>
      <c r="G75" s="2" t="s">
        <v>456</v>
      </c>
      <c r="H75" s="32">
        <f>MAX(H74-B53,0)</f>
        <v>0</v>
      </c>
    </row>
    <row r="76" spans="1:8" ht="15" customHeight="1" x14ac:dyDescent="0.2">
      <c r="A76" s="6"/>
      <c r="B76" s="6"/>
      <c r="C76" s="6"/>
      <c r="D76" s="6"/>
      <c r="E76" s="6"/>
      <c r="F76" s="6"/>
      <c r="G76" s="6"/>
      <c r="H76" s="6"/>
    </row>
    <row r="77" spans="1:8" ht="15" customHeight="1" x14ac:dyDescent="0.2">
      <c r="A77" s="6"/>
      <c r="B77" s="6"/>
      <c r="C77" s="6"/>
      <c r="D77" s="6"/>
      <c r="E77" s="6"/>
      <c r="F77" s="6"/>
      <c r="G77" s="6"/>
      <c r="H77" s="6"/>
    </row>
    <row r="78" spans="1:8" ht="15" customHeight="1" x14ac:dyDescent="0.2">
      <c r="A78" s="51" t="s">
        <v>457</v>
      </c>
      <c r="B78" s="51"/>
      <c r="C78" s="51"/>
      <c r="D78" s="51"/>
      <c r="E78" s="51"/>
      <c r="F78" s="51"/>
      <c r="G78" s="51"/>
      <c r="H78" s="51"/>
    </row>
    <row r="79" spans="1:8" ht="15" customHeight="1" x14ac:dyDescent="0.2">
      <c r="A79" s="53" t="s">
        <v>458</v>
      </c>
      <c r="B79" s="53"/>
      <c r="C79" s="53"/>
      <c r="D79" s="53"/>
      <c r="E79" s="53"/>
      <c r="F79" s="53"/>
      <c r="G79" s="53"/>
      <c r="H79" s="53"/>
    </row>
    <row r="80" spans="1:8" ht="15" customHeight="1" x14ac:dyDescent="0.2">
      <c r="A80" s="53" t="s">
        <v>459</v>
      </c>
      <c r="B80" s="53"/>
      <c r="C80" s="53"/>
      <c r="D80" s="53"/>
      <c r="E80" s="53"/>
      <c r="F80" s="53"/>
      <c r="G80" s="53"/>
      <c r="H80" s="53"/>
    </row>
    <row r="81" spans="1:8" ht="15" customHeight="1" x14ac:dyDescent="0.2">
      <c r="A81" s="6"/>
      <c r="B81" s="6"/>
      <c r="C81" s="6"/>
      <c r="D81" s="6"/>
      <c r="E81" s="6"/>
      <c r="F81" s="6"/>
      <c r="G81" s="6"/>
      <c r="H81" s="6"/>
    </row>
    <row r="82" spans="1:8" ht="15" customHeight="1" x14ac:dyDescent="0.2">
      <c r="A82" s="51" t="s">
        <v>8</v>
      </c>
      <c r="B82" s="51"/>
      <c r="C82" s="51"/>
      <c r="D82" s="51"/>
      <c r="E82" s="51"/>
      <c r="F82" s="51"/>
      <c r="G82" s="51"/>
      <c r="H82" s="51"/>
    </row>
    <row r="83" spans="1:8" ht="15" customHeight="1" x14ac:dyDescent="0.2">
      <c r="A83" s="6" t="s">
        <v>21</v>
      </c>
      <c r="B83" s="8">
        <v>250</v>
      </c>
      <c r="C83" s="6"/>
      <c r="D83" s="6"/>
      <c r="E83" s="6"/>
      <c r="F83" s="6"/>
      <c r="G83" s="6"/>
      <c r="H83" s="6"/>
    </row>
    <row r="84" spans="1:8" ht="15" customHeight="1" x14ac:dyDescent="0.2">
      <c r="A84" s="2" t="s">
        <v>11</v>
      </c>
      <c r="B84" s="8">
        <v>240</v>
      </c>
      <c r="C84" s="6"/>
      <c r="D84" s="6"/>
      <c r="E84" s="6"/>
      <c r="F84" s="6"/>
      <c r="G84" s="6"/>
      <c r="H84" s="6"/>
    </row>
    <row r="85" spans="1:8" ht="15" customHeight="1" x14ac:dyDescent="0.2">
      <c r="A85" s="2" t="s">
        <v>140</v>
      </c>
      <c r="B85" s="15">
        <f>3/12</f>
        <v>0.25</v>
      </c>
      <c r="C85" s="6"/>
      <c r="D85" s="6"/>
      <c r="E85" s="6"/>
      <c r="F85" s="6"/>
      <c r="G85" s="6"/>
      <c r="H85" s="6"/>
    </row>
    <row r="86" spans="1:8" ht="15" customHeight="1" x14ac:dyDescent="0.2">
      <c r="A86" s="2" t="s">
        <v>137</v>
      </c>
      <c r="B86" s="17">
        <v>0.04</v>
      </c>
      <c r="C86" s="6"/>
      <c r="D86" s="6"/>
      <c r="E86" s="6"/>
      <c r="F86" s="6"/>
      <c r="G86" s="6"/>
      <c r="H86" s="6"/>
    </row>
    <row r="87" spans="1:8" ht="15" customHeight="1" x14ac:dyDescent="0.2">
      <c r="A87" s="2" t="s">
        <v>139</v>
      </c>
      <c r="B87" s="17">
        <v>0.03</v>
      </c>
      <c r="C87" s="6"/>
      <c r="D87" s="6"/>
      <c r="E87" s="6"/>
      <c r="F87" s="6"/>
      <c r="G87" s="6"/>
      <c r="H87" s="6"/>
    </row>
    <row r="88" spans="1:8" ht="15" customHeight="1" x14ac:dyDescent="0.2">
      <c r="A88" s="2" t="s">
        <v>10</v>
      </c>
      <c r="B88" s="8">
        <v>16</v>
      </c>
      <c r="C88" s="6"/>
      <c r="D88" s="6"/>
      <c r="E88" s="6"/>
      <c r="F88" s="6"/>
      <c r="G88" s="6"/>
      <c r="H88" s="6"/>
    </row>
    <row r="89" spans="1:8" ht="15" customHeight="1" x14ac:dyDescent="0.2">
      <c r="A89" s="6"/>
      <c r="B89" s="6"/>
      <c r="C89" s="6"/>
      <c r="D89" s="6"/>
      <c r="E89" s="6"/>
      <c r="F89" s="6"/>
      <c r="G89" s="6"/>
      <c r="H89" s="6"/>
    </row>
    <row r="90" spans="1:8" ht="15" customHeight="1" x14ac:dyDescent="0.2">
      <c r="A90" s="2" t="s">
        <v>368</v>
      </c>
      <c r="B90" s="24">
        <f>(LN(B83/B84)+(B86-B87+B94^2/2)*B85)/(B94*SQRT(B85))</f>
        <v>0.47637529160691983</v>
      </c>
      <c r="C90" s="6"/>
      <c r="D90" s="6" t="s">
        <v>369</v>
      </c>
      <c r="E90" s="24">
        <f>NORMSDIST(B90)</f>
        <v>0.68309648283852464</v>
      </c>
      <c r="F90" s="6"/>
      <c r="G90" s="6"/>
      <c r="H90" s="6"/>
    </row>
    <row r="91" spans="1:8" ht="15" customHeight="1" x14ac:dyDescent="0.2">
      <c r="A91" s="2" t="s">
        <v>371</v>
      </c>
      <c r="B91" s="24">
        <f>B90-B94*SQRT(B85)</f>
        <v>0.3745523053100428</v>
      </c>
      <c r="C91" s="6"/>
      <c r="D91" s="6" t="s">
        <v>372</v>
      </c>
      <c r="E91" s="24">
        <f>NORMSDIST(B91)</f>
        <v>0.64600327515196043</v>
      </c>
      <c r="F91" s="6"/>
      <c r="G91" s="6"/>
      <c r="H91" s="6"/>
    </row>
    <row r="92" spans="1:8" ht="15" customHeight="1" x14ac:dyDescent="0.2">
      <c r="A92" s="2" t="s">
        <v>10</v>
      </c>
      <c r="B92" s="8">
        <f>B83*EXP(-B87*B85)*E90-B84*EXP(-B86*B85)*E91</f>
        <v>16.000001401630982</v>
      </c>
      <c r="C92" s="6"/>
      <c r="D92" s="6"/>
      <c r="E92" s="6"/>
      <c r="F92" s="6"/>
      <c r="G92" s="6"/>
      <c r="H92" s="6"/>
    </row>
    <row r="93" spans="1:8" ht="15" customHeight="1" x14ac:dyDescent="0.2">
      <c r="A93" s="6"/>
      <c r="B93" s="6"/>
      <c r="C93" s="6"/>
      <c r="D93" s="6"/>
      <c r="E93" s="6"/>
      <c r="F93" s="6"/>
      <c r="G93" s="6"/>
      <c r="H93" s="6"/>
    </row>
    <row r="94" spans="1:8" ht="15" customHeight="1" x14ac:dyDescent="0.2">
      <c r="A94" s="2" t="s">
        <v>346</v>
      </c>
      <c r="B94" s="26">
        <v>0.20364597259375411</v>
      </c>
      <c r="C94" s="6"/>
      <c r="D94" s="6"/>
      <c r="E94" s="6"/>
      <c r="F94" s="6"/>
      <c r="G94" s="6"/>
      <c r="H94" s="6"/>
    </row>
    <row r="95" spans="1:8" ht="15" customHeight="1" x14ac:dyDescent="0.2">
      <c r="A95" s="6"/>
      <c r="B95" s="6"/>
      <c r="C95" s="6"/>
      <c r="D95" s="6"/>
      <c r="E95" s="6"/>
      <c r="F95" s="6"/>
      <c r="G95" s="6"/>
      <c r="H95" s="6"/>
    </row>
    <row r="96" spans="1:8" ht="15" customHeight="1" x14ac:dyDescent="0.2">
      <c r="A96" s="53" t="s">
        <v>460</v>
      </c>
      <c r="B96" s="53"/>
      <c r="C96" s="53"/>
      <c r="D96" s="53"/>
      <c r="E96" s="53"/>
      <c r="F96" s="53"/>
      <c r="G96" s="53"/>
      <c r="H96" s="53"/>
    </row>
    <row r="97" spans="1:8" ht="15" customHeight="1" x14ac:dyDescent="0.2">
      <c r="A97" s="53" t="s">
        <v>461</v>
      </c>
      <c r="B97" s="53"/>
      <c r="C97" s="53"/>
      <c r="D97" s="53"/>
      <c r="E97" s="53"/>
      <c r="F97" s="53"/>
      <c r="G97" s="53"/>
      <c r="H97" s="53"/>
    </row>
    <row r="98" spans="1:8" ht="15" customHeight="1" x14ac:dyDescent="0.2">
      <c r="A98" s="6"/>
      <c r="B98" s="6"/>
      <c r="C98" s="6"/>
      <c r="D98" s="6"/>
      <c r="E98" s="6"/>
      <c r="F98" s="6"/>
      <c r="G98" s="6"/>
      <c r="H98" s="6"/>
    </row>
    <row r="99" spans="1:8" ht="15" customHeight="1" x14ac:dyDescent="0.2">
      <c r="A99" s="51" t="s">
        <v>462</v>
      </c>
      <c r="B99" s="51"/>
      <c r="C99" s="51"/>
      <c r="D99" s="51"/>
      <c r="E99" s="51"/>
      <c r="F99" s="51"/>
      <c r="G99" s="51"/>
      <c r="H99" s="51"/>
    </row>
    <row r="100" spans="1:8" ht="15" customHeight="1" x14ac:dyDescent="0.2">
      <c r="A100" s="53" t="s">
        <v>463</v>
      </c>
      <c r="B100" s="53"/>
      <c r="C100" s="53"/>
      <c r="D100" s="53"/>
      <c r="E100" s="53"/>
      <c r="F100" s="53"/>
      <c r="G100" s="53"/>
      <c r="H100" s="53"/>
    </row>
    <row r="101" spans="1:8" ht="15" customHeight="1" x14ac:dyDescent="0.2">
      <c r="A101" s="53" t="s">
        <v>464</v>
      </c>
      <c r="B101" s="53"/>
      <c r="C101" s="53"/>
      <c r="D101" s="53"/>
      <c r="E101" s="53"/>
      <c r="F101" s="53"/>
      <c r="G101" s="53"/>
      <c r="H101" s="53"/>
    </row>
    <row r="102" spans="1:8" ht="15" customHeight="1" x14ac:dyDescent="0.2">
      <c r="A102" s="53" t="s">
        <v>465</v>
      </c>
      <c r="B102" s="53"/>
      <c r="C102" s="53"/>
      <c r="D102" s="53"/>
      <c r="E102" s="53"/>
      <c r="F102" s="53"/>
      <c r="G102" s="53"/>
      <c r="H102" s="53"/>
    </row>
    <row r="103" spans="1:8" ht="15" customHeight="1" x14ac:dyDescent="0.2">
      <c r="A103" s="6"/>
      <c r="B103" s="6"/>
      <c r="C103" s="6"/>
      <c r="D103" s="6"/>
      <c r="E103" s="6"/>
      <c r="F103" s="6"/>
      <c r="G103" s="6"/>
      <c r="H103" s="6"/>
    </row>
    <row r="104" spans="1:8" ht="15" customHeight="1" x14ac:dyDescent="0.2">
      <c r="A104" s="51" t="s">
        <v>8</v>
      </c>
      <c r="B104" s="51"/>
      <c r="C104" s="51"/>
      <c r="D104" s="51"/>
      <c r="E104" s="51"/>
      <c r="F104" s="51"/>
      <c r="G104" s="51"/>
      <c r="H104" s="51"/>
    </row>
    <row r="105" spans="1:8" ht="15" customHeight="1" x14ac:dyDescent="0.2">
      <c r="A105" s="2" t="s">
        <v>137</v>
      </c>
      <c r="B105" s="17">
        <v>0.05</v>
      </c>
      <c r="C105" s="6"/>
      <c r="D105" s="6"/>
      <c r="E105" s="6"/>
      <c r="F105" s="6"/>
      <c r="G105" s="6"/>
      <c r="H105" s="6"/>
    </row>
    <row r="106" spans="1:8" ht="15" customHeight="1" x14ac:dyDescent="0.2">
      <c r="A106" s="2" t="s">
        <v>139</v>
      </c>
      <c r="B106" s="17">
        <v>0.03</v>
      </c>
      <c r="C106" s="6"/>
      <c r="D106" s="6"/>
      <c r="E106" s="6"/>
      <c r="F106" s="6"/>
      <c r="G106" s="6"/>
      <c r="H106" s="6"/>
    </row>
    <row r="107" spans="1:8" ht="15" customHeight="1" x14ac:dyDescent="0.2">
      <c r="A107" s="2" t="s">
        <v>346</v>
      </c>
      <c r="B107" s="17">
        <v>0.14000000000000001</v>
      </c>
      <c r="C107" s="6"/>
      <c r="D107" s="6"/>
      <c r="E107" s="6"/>
      <c r="F107" s="6"/>
      <c r="G107" s="6"/>
      <c r="H107" s="6"/>
    </row>
    <row r="108" spans="1:8" ht="15" customHeight="1" x14ac:dyDescent="0.2">
      <c r="A108" s="2" t="s">
        <v>341</v>
      </c>
      <c r="B108" s="15">
        <f>2/12</f>
        <v>0.16666666666666666</v>
      </c>
      <c r="C108" s="6"/>
      <c r="D108" s="6"/>
      <c r="E108" s="6"/>
      <c r="F108" s="6"/>
      <c r="G108" s="6"/>
      <c r="H108" s="6"/>
    </row>
    <row r="109" spans="1:8" ht="15" customHeight="1" x14ac:dyDescent="0.2">
      <c r="A109" s="6"/>
      <c r="B109" s="6"/>
      <c r="C109" s="6"/>
      <c r="D109" s="6"/>
      <c r="E109" s="6"/>
      <c r="F109" s="6"/>
      <c r="G109" s="6"/>
      <c r="H109" s="6"/>
    </row>
    <row r="110" spans="1:8" ht="15" customHeight="1" x14ac:dyDescent="0.2">
      <c r="A110" s="2" t="s">
        <v>342</v>
      </c>
      <c r="B110" s="24">
        <f>EXP(B107*SQRT(B108))</f>
        <v>1.0588196613511747</v>
      </c>
      <c r="C110" s="6"/>
      <c r="D110" s="6"/>
      <c r="E110" s="6"/>
      <c r="F110" s="6"/>
      <c r="G110" s="6"/>
      <c r="H110" s="6"/>
    </row>
    <row r="111" spans="1:8" ht="15" customHeight="1" x14ac:dyDescent="0.2">
      <c r="A111" s="2" t="s">
        <v>344</v>
      </c>
      <c r="B111" s="24">
        <f>1/B110</f>
        <v>0.9444478946715873</v>
      </c>
      <c r="C111" s="6"/>
      <c r="D111" s="6"/>
      <c r="E111" s="6"/>
      <c r="F111" s="6"/>
      <c r="G111" s="6"/>
      <c r="H111" s="6"/>
    </row>
    <row r="112" spans="1:8" ht="15" customHeight="1" x14ac:dyDescent="0.2">
      <c r="A112" s="2" t="s">
        <v>22</v>
      </c>
      <c r="B112" s="26">
        <f>(EXP((B105-B106)*B108)-B111)/(B110-B111)</f>
        <v>0.51490854871789904</v>
      </c>
      <c r="C112" s="6"/>
      <c r="D112" s="6"/>
      <c r="E112" s="6"/>
      <c r="F112" s="6"/>
      <c r="G112" s="6"/>
      <c r="H112" s="6"/>
    </row>
    <row r="113" spans="1:8" ht="15" customHeight="1" x14ac:dyDescent="0.2">
      <c r="A113" s="6"/>
      <c r="B113" s="6"/>
      <c r="C113" s="6"/>
      <c r="D113" s="6"/>
      <c r="E113" s="6"/>
      <c r="F113" s="6"/>
      <c r="G113" s="6"/>
      <c r="H113" s="6"/>
    </row>
    <row r="114" spans="1:8" ht="15" customHeight="1" x14ac:dyDescent="0.2">
      <c r="A114" s="6"/>
      <c r="B114" s="6"/>
      <c r="C114" s="6"/>
      <c r="D114" s="6"/>
      <c r="E114" s="6"/>
      <c r="F114" s="6"/>
      <c r="G114" s="6"/>
      <c r="H114" s="6"/>
    </row>
    <row r="115" spans="1:8" ht="15" customHeight="1" x14ac:dyDescent="0.2">
      <c r="A115" s="51" t="s">
        <v>466</v>
      </c>
      <c r="B115" s="51"/>
      <c r="C115" s="51"/>
      <c r="D115" s="51"/>
      <c r="E115" s="51"/>
      <c r="F115" s="51"/>
      <c r="G115" s="51"/>
      <c r="H115" s="51"/>
    </row>
    <row r="116" spans="1:8" ht="15" customHeight="1" x14ac:dyDescent="0.2">
      <c r="A116" s="53" t="s">
        <v>467</v>
      </c>
      <c r="B116" s="53"/>
      <c r="C116" s="53"/>
      <c r="D116" s="53"/>
      <c r="E116" s="53"/>
      <c r="F116" s="53"/>
      <c r="G116" s="53"/>
      <c r="H116" s="53"/>
    </row>
    <row r="117" spans="1:8" ht="15" customHeight="1" x14ac:dyDescent="0.2">
      <c r="A117" s="53" t="s">
        <v>468</v>
      </c>
      <c r="B117" s="53"/>
      <c r="C117" s="53"/>
      <c r="D117" s="53"/>
      <c r="E117" s="53"/>
      <c r="F117" s="53"/>
      <c r="G117" s="53"/>
      <c r="H117" s="53"/>
    </row>
    <row r="118" spans="1:8" ht="15" customHeight="1" x14ac:dyDescent="0.2">
      <c r="A118" s="53" t="s">
        <v>469</v>
      </c>
      <c r="B118" s="53"/>
      <c r="C118" s="53"/>
      <c r="D118" s="53"/>
      <c r="E118" s="53"/>
      <c r="F118" s="53"/>
      <c r="G118" s="53"/>
      <c r="H118" s="53"/>
    </row>
    <row r="119" spans="1:8" ht="15" customHeight="1" x14ac:dyDescent="0.2">
      <c r="A119" s="53" t="s">
        <v>470</v>
      </c>
      <c r="B119" s="53"/>
      <c r="C119" s="53"/>
      <c r="D119" s="53"/>
      <c r="E119" s="53"/>
      <c r="F119" s="53"/>
      <c r="G119" s="53"/>
      <c r="H119" s="53"/>
    </row>
    <row r="120" spans="1:8" ht="15" customHeight="1" x14ac:dyDescent="0.2">
      <c r="A120" s="53" t="s">
        <v>471</v>
      </c>
      <c r="B120" s="53"/>
      <c r="C120" s="53"/>
      <c r="D120" s="53"/>
      <c r="E120" s="53"/>
      <c r="F120" s="53"/>
      <c r="G120" s="53"/>
      <c r="H120" s="53"/>
    </row>
    <row r="121" spans="1:8" ht="15" customHeight="1" x14ac:dyDescent="0.2">
      <c r="A121" s="53" t="s">
        <v>472</v>
      </c>
      <c r="B121" s="53"/>
      <c r="C121" s="53"/>
      <c r="D121" s="53"/>
      <c r="E121" s="53"/>
      <c r="F121" s="53"/>
      <c r="G121" s="53"/>
      <c r="H121" s="53"/>
    </row>
    <row r="122" spans="1:8" ht="15" customHeight="1" x14ac:dyDescent="0.2">
      <c r="A122" s="6"/>
      <c r="B122" s="6"/>
      <c r="C122" s="6"/>
      <c r="D122" s="6"/>
      <c r="E122" s="6"/>
      <c r="F122" s="6"/>
      <c r="G122" s="6"/>
      <c r="H122" s="6"/>
    </row>
    <row r="123" spans="1:8" ht="15" customHeight="1" x14ac:dyDescent="0.2">
      <c r="A123" s="51" t="s">
        <v>8</v>
      </c>
      <c r="B123" s="51"/>
      <c r="C123" s="51"/>
      <c r="D123" s="51"/>
      <c r="E123" s="51"/>
      <c r="F123" s="51"/>
      <c r="G123" s="51"/>
      <c r="H123" s="51"/>
    </row>
    <row r="124" spans="1:8" ht="15" customHeight="1" x14ac:dyDescent="0.2">
      <c r="A124" s="53" t="s">
        <v>473</v>
      </c>
      <c r="B124" s="53"/>
      <c r="C124" s="53"/>
      <c r="D124" s="53"/>
      <c r="E124" s="53"/>
      <c r="F124" s="53"/>
      <c r="G124" s="53"/>
      <c r="H124" s="53"/>
    </row>
    <row r="125" spans="1:8" ht="15" customHeight="1" x14ac:dyDescent="0.2">
      <c r="A125" s="53" t="s">
        <v>474</v>
      </c>
      <c r="B125" s="53"/>
      <c r="C125" s="53"/>
      <c r="D125" s="53"/>
      <c r="E125" s="53"/>
      <c r="F125" s="53"/>
      <c r="G125" s="53"/>
      <c r="H125" s="53"/>
    </row>
    <row r="126" spans="1:8" ht="15" customHeight="1" x14ac:dyDescent="0.2">
      <c r="A126" s="53" t="s">
        <v>475</v>
      </c>
      <c r="B126" s="53"/>
      <c r="C126" s="53"/>
      <c r="D126" s="53"/>
      <c r="E126" s="53"/>
      <c r="F126" s="53"/>
      <c r="G126" s="53"/>
      <c r="H126" s="53"/>
    </row>
    <row r="127" spans="1:8" ht="15" customHeight="1" x14ac:dyDescent="0.2">
      <c r="A127" s="53" t="s">
        <v>476</v>
      </c>
      <c r="B127" s="53"/>
      <c r="C127" s="53"/>
      <c r="D127" s="53"/>
      <c r="E127" s="53"/>
      <c r="F127" s="53"/>
      <c r="G127" s="53"/>
      <c r="H127" s="53"/>
    </row>
    <row r="128" spans="1:8" ht="15" customHeight="1" x14ac:dyDescent="0.2">
      <c r="A128" s="53" t="s">
        <v>477</v>
      </c>
      <c r="B128" s="53"/>
      <c r="C128" s="53"/>
      <c r="D128" s="53"/>
      <c r="E128" s="53"/>
      <c r="F128" s="53"/>
      <c r="G128" s="53"/>
      <c r="H128" s="53"/>
    </row>
    <row r="129" spans="1:8" ht="15" customHeight="1" x14ac:dyDescent="0.2">
      <c r="A129" s="53" t="s">
        <v>478</v>
      </c>
      <c r="B129" s="53"/>
      <c r="C129" s="53"/>
      <c r="D129" s="53"/>
      <c r="E129" s="53"/>
      <c r="F129" s="53"/>
      <c r="G129" s="53"/>
      <c r="H129" s="53"/>
    </row>
    <row r="130" spans="1:8" ht="15" customHeight="1" x14ac:dyDescent="0.2">
      <c r="A130" s="53" t="s">
        <v>479</v>
      </c>
      <c r="B130" s="53"/>
      <c r="C130" s="53"/>
      <c r="D130" s="53"/>
      <c r="E130" s="53"/>
      <c r="F130" s="53"/>
      <c r="G130" s="53"/>
      <c r="H130" s="53"/>
    </row>
    <row r="131" spans="1:8" ht="15" customHeight="1" x14ac:dyDescent="0.2">
      <c r="A131" s="53" t="s">
        <v>480</v>
      </c>
      <c r="B131" s="53"/>
      <c r="C131" s="53"/>
      <c r="D131" s="53"/>
      <c r="E131" s="53"/>
      <c r="F131" s="53"/>
      <c r="G131" s="53"/>
      <c r="H131" s="53"/>
    </row>
    <row r="132" spans="1:8" ht="15" customHeight="1" x14ac:dyDescent="0.2">
      <c r="A132" s="53" t="s">
        <v>481</v>
      </c>
      <c r="B132" s="53"/>
      <c r="C132" s="53"/>
      <c r="D132" s="53"/>
      <c r="E132" s="53"/>
      <c r="F132" s="53"/>
      <c r="G132" s="53"/>
      <c r="H132" s="53"/>
    </row>
    <row r="133" spans="1:8" ht="15" customHeight="1" x14ac:dyDescent="0.2">
      <c r="A133" s="53" t="s">
        <v>482</v>
      </c>
      <c r="B133" s="53"/>
      <c r="C133" s="53"/>
      <c r="D133" s="53"/>
      <c r="E133" s="53"/>
      <c r="F133" s="53"/>
      <c r="G133" s="53"/>
      <c r="H133" s="53"/>
    </row>
    <row r="134" spans="1:8" ht="15" customHeight="1" x14ac:dyDescent="0.2">
      <c r="A134" s="53" t="s">
        <v>483</v>
      </c>
      <c r="B134" s="53"/>
      <c r="C134" s="53"/>
      <c r="D134" s="53"/>
      <c r="E134" s="53"/>
      <c r="F134" s="53"/>
      <c r="G134" s="53"/>
      <c r="H134" s="53"/>
    </row>
    <row r="135" spans="1:8" ht="15" customHeight="1" x14ac:dyDescent="0.2">
      <c r="A135" s="53" t="s">
        <v>484</v>
      </c>
      <c r="B135" s="53"/>
      <c r="C135" s="53"/>
      <c r="D135" s="53"/>
      <c r="E135" s="53"/>
      <c r="F135" s="53"/>
      <c r="G135" s="53"/>
      <c r="H135" s="53"/>
    </row>
    <row r="136" spans="1:8" ht="15" customHeight="1" x14ac:dyDescent="0.2">
      <c r="A136" s="53" t="s">
        <v>485</v>
      </c>
      <c r="B136" s="53"/>
      <c r="C136" s="53"/>
      <c r="D136" s="53"/>
      <c r="E136" s="53"/>
      <c r="F136" s="53"/>
      <c r="G136" s="53"/>
      <c r="H136" s="53"/>
    </row>
    <row r="137" spans="1:8" ht="15" customHeight="1" x14ac:dyDescent="0.2">
      <c r="A137" s="6"/>
      <c r="B137" s="6"/>
      <c r="C137" s="6"/>
      <c r="D137" s="6"/>
      <c r="E137" s="6"/>
      <c r="F137" s="6"/>
      <c r="G137" s="6"/>
      <c r="H137" s="6"/>
    </row>
    <row r="138" spans="1:8" ht="15" customHeight="1" x14ac:dyDescent="0.2">
      <c r="A138" s="6"/>
      <c r="B138" s="6"/>
      <c r="C138" s="6"/>
      <c r="D138" s="6"/>
      <c r="E138" s="6"/>
      <c r="F138" s="6"/>
      <c r="G138" s="6"/>
      <c r="H138" s="6"/>
    </row>
    <row r="139" spans="1:8" ht="15" customHeight="1" x14ac:dyDescent="0.2">
      <c r="A139" s="6"/>
      <c r="B139" s="6"/>
      <c r="C139" s="6"/>
      <c r="D139" s="6"/>
      <c r="E139" s="6"/>
      <c r="F139" s="6"/>
      <c r="G139" s="6"/>
      <c r="H139" s="6"/>
    </row>
    <row r="140" spans="1:8" ht="15" customHeight="1" x14ac:dyDescent="0.2">
      <c r="A140" s="6"/>
      <c r="B140" s="6"/>
      <c r="C140" s="6"/>
      <c r="D140" s="6"/>
      <c r="E140" s="6"/>
      <c r="F140" s="6"/>
      <c r="G140" s="6"/>
      <c r="H140" s="6"/>
    </row>
  </sheetData>
  <mergeCells count="52">
    <mergeCell ref="A135:H135"/>
    <mergeCell ref="A136:H136"/>
    <mergeCell ref="A43:H43"/>
    <mergeCell ref="A44:H44"/>
    <mergeCell ref="A45:H45"/>
    <mergeCell ref="A46:H46"/>
    <mergeCell ref="A47:H47"/>
    <mergeCell ref="A48:H48"/>
    <mergeCell ref="A49:H49"/>
    <mergeCell ref="A96:H96"/>
    <mergeCell ref="A97:H97"/>
    <mergeCell ref="A116:H116"/>
    <mergeCell ref="A117:H117"/>
    <mergeCell ref="A118:H118"/>
    <mergeCell ref="A119:H119"/>
    <mergeCell ref="A120:H120"/>
    <mergeCell ref="A130:H130"/>
    <mergeCell ref="A131:H131"/>
    <mergeCell ref="A132:H132"/>
    <mergeCell ref="A133:H133"/>
    <mergeCell ref="A134:H134"/>
    <mergeCell ref="A125:H125"/>
    <mergeCell ref="A126:H126"/>
    <mergeCell ref="A127:H127"/>
    <mergeCell ref="A128:H128"/>
    <mergeCell ref="A129:H129"/>
    <mergeCell ref="A102:H102"/>
    <mergeCell ref="A104:H104"/>
    <mergeCell ref="A115:H115"/>
    <mergeCell ref="A123:H123"/>
    <mergeCell ref="A124:H124"/>
    <mergeCell ref="A121:H121"/>
    <mergeCell ref="A80:H80"/>
    <mergeCell ref="A82:H82"/>
    <mergeCell ref="A99:H99"/>
    <mergeCell ref="A100:H100"/>
    <mergeCell ref="A101:H101"/>
    <mergeCell ref="A40:H40"/>
    <mergeCell ref="A42:H42"/>
    <mergeCell ref="A51:H51"/>
    <mergeCell ref="A78:H78"/>
    <mergeCell ref="A79:H79"/>
    <mergeCell ref="A7:H7"/>
    <mergeCell ref="A8:H8"/>
    <mergeCell ref="A9:H9"/>
    <mergeCell ref="A11:H11"/>
    <mergeCell ref="A39:H39"/>
    <mergeCell ref="A1:H1"/>
    <mergeCell ref="A3:H3"/>
    <mergeCell ref="A4:H4"/>
    <mergeCell ref="A5:H5"/>
    <mergeCell ref="A6:H6"/>
  </mergeCells>
  <pageMargins left="0.35" right="0.35" top="0.45" bottom="0.45" header="0.2" footer="0.2"/>
  <pageSetup paperSize="9" fitToHeight="0" orientation="landscape"/>
  <headerFooter>
    <oddFooter>&amp;L&amp;"Times New Roman,Regular"&amp;8John C. Hull – 12a edizione&amp;C&amp;"Times New Roman,Regular"&amp;8Ulteriori Domande&amp;R&amp;"Times New Roman,Regular"&amp;8&amp;A |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36878"/>
    <pageSetUpPr fitToPage="1"/>
  </sheetPr>
  <dimension ref="A1:J119"/>
  <sheetViews>
    <sheetView showGridLines="0" zoomScaleNormal="100" workbookViewId="0">
      <pane ySplit="2" topLeftCell="A3" activePane="bottomLeft" state="frozen"/>
      <selection sqref="A1:H1"/>
      <selection pane="bottomLeft" sqref="A1:H1"/>
    </sheetView>
  </sheetViews>
  <sheetFormatPr defaultRowHeight="15" customHeight="1" x14ac:dyDescent="0.2"/>
  <cols>
    <col min="1" max="1" width="22.5703125" style="39" customWidth="1"/>
    <col min="2" max="10" width="12" style="39" customWidth="1"/>
    <col min="11" max="16384" width="9.140625" style="39"/>
  </cols>
  <sheetData>
    <row r="1" spans="1:10" ht="15" customHeight="1" x14ac:dyDescent="0.2">
      <c r="A1" s="50" t="s">
        <v>486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15" customHeight="1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ht="15" customHeight="1" x14ac:dyDescent="0.2">
      <c r="A3" s="51" t="s">
        <v>487</v>
      </c>
      <c r="B3" s="51"/>
      <c r="C3" s="51"/>
      <c r="D3" s="51"/>
      <c r="E3" s="51"/>
      <c r="F3" s="51"/>
      <c r="G3" s="51"/>
      <c r="H3" s="51"/>
      <c r="I3" s="51"/>
      <c r="J3" s="51"/>
    </row>
    <row r="4" spans="1:10" ht="15" customHeight="1" x14ac:dyDescent="0.2">
      <c r="A4" s="53" t="s">
        <v>488</v>
      </c>
      <c r="B4" s="53"/>
      <c r="C4" s="53"/>
      <c r="D4" s="53"/>
      <c r="E4" s="53"/>
      <c r="F4" s="53"/>
      <c r="G4" s="53"/>
      <c r="H4" s="53"/>
      <c r="I4" s="53"/>
      <c r="J4" s="53"/>
    </row>
    <row r="5" spans="1:10" ht="15" customHeight="1" x14ac:dyDescent="0.2">
      <c r="A5" s="53" t="s">
        <v>489</v>
      </c>
      <c r="B5" s="53"/>
      <c r="C5" s="53"/>
      <c r="D5" s="53"/>
      <c r="E5" s="53"/>
      <c r="F5" s="53"/>
      <c r="G5" s="53"/>
      <c r="H5" s="53"/>
      <c r="I5" s="53"/>
      <c r="J5" s="53"/>
    </row>
    <row r="6" spans="1:10" ht="15" customHeight="1" x14ac:dyDescent="0.2">
      <c r="A6" s="53" t="s">
        <v>490</v>
      </c>
      <c r="B6" s="53"/>
      <c r="C6" s="53"/>
      <c r="D6" s="53"/>
      <c r="E6" s="53"/>
      <c r="F6" s="53"/>
      <c r="G6" s="53"/>
      <c r="H6" s="53"/>
      <c r="I6" s="53"/>
      <c r="J6" s="53"/>
    </row>
    <row r="7" spans="1:10" ht="15" customHeight="1" x14ac:dyDescent="0.2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ht="15" customHeight="1" x14ac:dyDescent="0.2">
      <c r="A8" s="51" t="s">
        <v>8</v>
      </c>
      <c r="B8" s="51"/>
      <c r="C8" s="51"/>
      <c r="D8" s="51"/>
      <c r="E8" s="51"/>
      <c r="F8" s="51"/>
      <c r="G8" s="51"/>
      <c r="H8" s="51"/>
      <c r="I8" s="51"/>
      <c r="J8" s="51"/>
    </row>
    <row r="9" spans="1:10" ht="15" customHeight="1" x14ac:dyDescent="0.2">
      <c r="A9" s="6" t="s">
        <v>47</v>
      </c>
      <c r="B9" s="15">
        <v>0.6</v>
      </c>
      <c r="C9" s="6"/>
      <c r="D9" s="6" t="s">
        <v>341</v>
      </c>
      <c r="E9" s="15">
        <f>B11/B15</f>
        <v>0.25</v>
      </c>
      <c r="F9" s="6"/>
      <c r="G9" s="6"/>
      <c r="H9" s="6"/>
      <c r="I9" s="6"/>
      <c r="J9" s="6"/>
    </row>
    <row r="10" spans="1:10" ht="15" customHeight="1" x14ac:dyDescent="0.2">
      <c r="A10" s="6" t="s">
        <v>11</v>
      </c>
      <c r="B10" s="15">
        <v>0.55000000000000004</v>
      </c>
      <c r="C10" s="6"/>
      <c r="D10" s="6" t="s">
        <v>342</v>
      </c>
      <c r="E10" s="15">
        <f>EXP(B14*SQRT(E9))</f>
        <v>1.1331484530668263</v>
      </c>
      <c r="F10" s="6"/>
      <c r="G10" s="6"/>
      <c r="H10" s="6"/>
      <c r="I10" s="6"/>
      <c r="J10" s="6"/>
    </row>
    <row r="11" spans="1:10" ht="15" customHeight="1" x14ac:dyDescent="0.2">
      <c r="A11" s="6" t="s">
        <v>343</v>
      </c>
      <c r="B11" s="15">
        <v>1</v>
      </c>
      <c r="C11" s="6"/>
      <c r="D11" s="6" t="s">
        <v>344</v>
      </c>
      <c r="E11" s="15">
        <f>1/E10</f>
        <v>0.88249690258459534</v>
      </c>
      <c r="F11" s="6"/>
      <c r="G11" s="6"/>
      <c r="H11" s="6"/>
      <c r="I11" s="6"/>
      <c r="J11" s="6"/>
    </row>
    <row r="12" spans="1:10" ht="15" customHeight="1" x14ac:dyDescent="0.2">
      <c r="A12" s="6" t="s">
        <v>137</v>
      </c>
      <c r="B12" s="26">
        <v>0.06</v>
      </c>
      <c r="C12" s="6"/>
      <c r="D12" s="6" t="s">
        <v>22</v>
      </c>
      <c r="E12" s="15">
        <f>(1-E11)/(E10-E11)</f>
        <v>0.46879062662624388</v>
      </c>
      <c r="F12" s="6"/>
      <c r="G12" s="6"/>
      <c r="H12" s="6"/>
      <c r="I12" s="6"/>
      <c r="J12" s="6"/>
    </row>
    <row r="13" spans="1:10" ht="15" customHeight="1" x14ac:dyDescent="0.2">
      <c r="A13" s="6"/>
      <c r="B13" s="6"/>
      <c r="C13" s="6"/>
      <c r="D13" s="6" t="s">
        <v>345</v>
      </c>
      <c r="E13" s="15">
        <f>EXP(-B12*E9)</f>
        <v>0.98511193960306265</v>
      </c>
      <c r="F13" s="6"/>
      <c r="G13" s="6"/>
      <c r="H13" s="6"/>
      <c r="I13" s="6"/>
      <c r="J13" s="6"/>
    </row>
    <row r="14" spans="1:10" ht="15" customHeight="1" x14ac:dyDescent="0.2">
      <c r="A14" s="6" t="s">
        <v>346</v>
      </c>
      <c r="B14" s="26">
        <v>0.25</v>
      </c>
      <c r="C14" s="6"/>
      <c r="D14" s="6"/>
      <c r="E14" s="6"/>
      <c r="F14" s="6"/>
      <c r="G14" s="6"/>
      <c r="H14" s="6"/>
      <c r="I14" s="6"/>
      <c r="J14" s="6"/>
    </row>
    <row r="15" spans="1:10" ht="15" customHeight="1" x14ac:dyDescent="0.2">
      <c r="A15" s="6" t="s">
        <v>347</v>
      </c>
      <c r="B15" s="7">
        <v>4</v>
      </c>
      <c r="C15" s="6"/>
      <c r="D15" s="6"/>
      <c r="E15" s="6"/>
      <c r="F15" s="6"/>
      <c r="G15" s="6"/>
      <c r="H15" s="6"/>
      <c r="I15" s="6"/>
      <c r="J15" s="6"/>
    </row>
    <row r="16" spans="1:10" ht="1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ht="15" customHeight="1" x14ac:dyDescent="0.2">
      <c r="A17" s="6"/>
      <c r="B17" s="6" t="s">
        <v>491</v>
      </c>
      <c r="C17" s="6"/>
      <c r="D17" s="6" t="s">
        <v>492</v>
      </c>
      <c r="E17" s="6"/>
      <c r="F17" s="6" t="s">
        <v>493</v>
      </c>
      <c r="G17" s="6"/>
      <c r="H17" s="6" t="s">
        <v>494</v>
      </c>
      <c r="I17" s="6"/>
      <c r="J17" s="6" t="s">
        <v>495</v>
      </c>
    </row>
    <row r="18" spans="1:10" ht="1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15">
        <f>$B$9*$E$10^4*$E$11^0</f>
        <v>0.98923276242007674</v>
      </c>
    </row>
    <row r="19" spans="1:10" ht="1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3">
        <f>MAX($B$10-J18,0)</f>
        <v>0</v>
      </c>
    </row>
    <row r="20" spans="1:10" ht="15" customHeight="1" x14ac:dyDescent="0.2">
      <c r="A20" s="6"/>
      <c r="B20" s="6"/>
      <c r="C20" s="6"/>
      <c r="D20" s="6"/>
      <c r="E20" s="6"/>
      <c r="F20" s="6"/>
      <c r="G20" s="6"/>
      <c r="H20" s="15">
        <f>$B$9*$E$10^3*$E$11^0</f>
        <v>0.87299484877092071</v>
      </c>
      <c r="I20" s="6"/>
      <c r="J20" s="6"/>
    </row>
    <row r="21" spans="1:10" ht="15" customHeight="1" x14ac:dyDescent="0.2">
      <c r="A21" s="6"/>
      <c r="B21" s="6"/>
      <c r="C21" s="6"/>
      <c r="D21" s="6"/>
      <c r="E21" s="6"/>
      <c r="F21" s="6"/>
      <c r="G21" s="6"/>
      <c r="H21" s="3">
        <f>MAX($B$10-H20,$E$13*($E$12*J19+(1-$E$12)*J23))</f>
        <v>0</v>
      </c>
      <c r="I21" s="6"/>
      <c r="J21" s="6"/>
    </row>
    <row r="22" spans="1:10" ht="15" customHeight="1" x14ac:dyDescent="0.2">
      <c r="A22" s="6"/>
      <c r="B22" s="6"/>
      <c r="C22" s="6"/>
      <c r="D22" s="6"/>
      <c r="E22" s="6"/>
      <c r="F22" s="15">
        <f>$B$9*$E$10^2*$E$11^0</f>
        <v>0.77041525001264477</v>
      </c>
      <c r="G22" s="6"/>
      <c r="H22" s="6"/>
      <c r="I22" s="6"/>
      <c r="J22" s="15">
        <f>$B$9*$E$10^3*$E$11^1</f>
        <v>0.77041525001264477</v>
      </c>
    </row>
    <row r="23" spans="1:10" ht="15" customHeight="1" x14ac:dyDescent="0.2">
      <c r="A23" s="6"/>
      <c r="B23" s="6"/>
      <c r="C23" s="6"/>
      <c r="D23" s="6"/>
      <c r="E23" s="6"/>
      <c r="F23" s="3">
        <f>MAX($B$10-F22,$E$13*($E$12*H21+(1-$E$12)*H25))</f>
        <v>0</v>
      </c>
      <c r="G23" s="6"/>
      <c r="H23" s="6"/>
      <c r="I23" s="6"/>
      <c r="J23" s="3">
        <f>MAX($B$10-J22,0)</f>
        <v>0</v>
      </c>
    </row>
    <row r="24" spans="1:10" ht="15" customHeight="1" x14ac:dyDescent="0.2">
      <c r="A24" s="6"/>
      <c r="B24" s="6"/>
      <c r="C24" s="6"/>
      <c r="D24" s="15">
        <f>$B$9*$E$10^1*$E$11^0</f>
        <v>0.67988907184009573</v>
      </c>
      <c r="E24" s="6"/>
      <c r="F24" s="6"/>
      <c r="G24" s="6"/>
      <c r="H24" s="15">
        <f>$B$9*$E$10^2*$E$11^1</f>
        <v>0.67988907184009562</v>
      </c>
      <c r="I24" s="6"/>
      <c r="J24" s="6"/>
    </row>
    <row r="25" spans="1:10" ht="15" customHeight="1" x14ac:dyDescent="0.2">
      <c r="A25" s="6"/>
      <c r="B25" s="6"/>
      <c r="C25" s="6"/>
      <c r="D25" s="3">
        <f>MAX($B$10-D24,$E$13*($E$12*F23+(1-$E$12)*F27))</f>
        <v>1.1853920122191153E-2</v>
      </c>
      <c r="E25" s="6"/>
      <c r="F25" s="6"/>
      <c r="G25" s="6"/>
      <c r="H25" s="3">
        <f>MAX($B$10-H24,$E$13*($E$12*J23+(1-$E$12)*J27))</f>
        <v>0</v>
      </c>
      <c r="I25" s="6"/>
      <c r="J25" s="6"/>
    </row>
    <row r="26" spans="1:10" ht="15" customHeight="1" x14ac:dyDescent="0.2">
      <c r="A26" s="6"/>
      <c r="B26" s="15">
        <f>$B$9*$E$10^0*$E$11^0</f>
        <v>0.6</v>
      </c>
      <c r="C26" s="6"/>
      <c r="D26" s="6"/>
      <c r="E26" s="6"/>
      <c r="F26" s="15">
        <f>$B$9*$E$10^1*$E$11^1</f>
        <v>0.59999999999999987</v>
      </c>
      <c r="G26" s="6"/>
      <c r="H26" s="6"/>
      <c r="I26" s="6"/>
      <c r="J26" s="15">
        <f>$B$9*$E$10^2*$E$11^2</f>
        <v>0.59999999999999987</v>
      </c>
    </row>
    <row r="27" spans="1:10" ht="15" customHeight="1" x14ac:dyDescent="0.2">
      <c r="A27" s="6"/>
      <c r="B27" s="3">
        <f>MAX($B$10-B26,$E$13*($E$12*D25+(1-$E$12)*D29))</f>
        <v>3.614504038988222E-2</v>
      </c>
      <c r="C27" s="6"/>
      <c r="D27" s="6"/>
      <c r="E27" s="6"/>
      <c r="F27" s="3">
        <f>MAX($B$10-F26,$E$13*($E$12*H25+(1-$E$12)*H29))</f>
        <v>2.2652215465484633E-2</v>
      </c>
      <c r="G27" s="6"/>
      <c r="H27" s="6"/>
      <c r="I27" s="6"/>
      <c r="J27" s="3">
        <f>MAX($B$10-J26,0)</f>
        <v>0</v>
      </c>
    </row>
    <row r="28" spans="1:10" ht="15" customHeight="1" x14ac:dyDescent="0.2">
      <c r="A28" s="6"/>
      <c r="B28" s="6"/>
      <c r="C28" s="6"/>
      <c r="D28" s="15">
        <f>$B$9*$E$10^0*$E$11^1</f>
        <v>0.52949814155075714</v>
      </c>
      <c r="E28" s="6"/>
      <c r="F28" s="6"/>
      <c r="G28" s="6"/>
      <c r="H28" s="15">
        <f>$B$9*$E$10^1*$E$11^2</f>
        <v>0.52949814155075714</v>
      </c>
      <c r="I28" s="6"/>
      <c r="J28" s="6"/>
    </row>
    <row r="29" spans="1:10" ht="15" customHeight="1" x14ac:dyDescent="0.2">
      <c r="A29" s="6"/>
      <c r="B29" s="6"/>
      <c r="C29" s="6"/>
      <c r="D29" s="3">
        <f>MAX($B$10-D28,$E$13*($E$12*F27+(1-$E$12)*F31))</f>
        <v>5.8610215932441617E-2</v>
      </c>
      <c r="E29" s="6"/>
      <c r="F29" s="6"/>
      <c r="G29" s="6"/>
      <c r="H29" s="3">
        <f>MAX($B$10-H28,$E$13*($E$12*J27+(1-$E$12)*J31))</f>
        <v>4.3287187715576769E-2</v>
      </c>
      <c r="I29" s="6"/>
      <c r="J29" s="6"/>
    </row>
    <row r="30" spans="1:10" ht="15" customHeight="1" x14ac:dyDescent="0.2">
      <c r="A30" s="6"/>
      <c r="B30" s="6"/>
      <c r="C30" s="6"/>
      <c r="D30" s="6"/>
      <c r="E30" s="6"/>
      <c r="F30" s="15">
        <f>$B$9*$E$10^0*$E$11^2</f>
        <v>0.46728046984284283</v>
      </c>
      <c r="G30" s="6"/>
      <c r="H30" s="6"/>
      <c r="I30" s="6"/>
      <c r="J30" s="15">
        <f>$B$9*$E$10^1*$E$11^3</f>
        <v>0.46728046984284277</v>
      </c>
    </row>
    <row r="31" spans="1:10" ht="15" customHeight="1" x14ac:dyDescent="0.2">
      <c r="A31" s="6"/>
      <c r="B31" s="6"/>
      <c r="C31" s="6"/>
      <c r="D31" s="6"/>
      <c r="E31" s="6"/>
      <c r="F31" s="3">
        <f>MAX($B$10-F30,$E$13*($E$12*H29+(1-$E$12)*H33))</f>
        <v>9.2010518037382444E-2</v>
      </c>
      <c r="G31" s="6"/>
      <c r="H31" s="6"/>
      <c r="I31" s="6"/>
      <c r="J31" s="3">
        <f>MAX($B$10-J30,0)</f>
        <v>8.2719530157157273E-2</v>
      </c>
    </row>
    <row r="32" spans="1:10" ht="15" customHeight="1" x14ac:dyDescent="0.2">
      <c r="A32" s="6"/>
      <c r="B32" s="6"/>
      <c r="C32" s="6"/>
      <c r="D32" s="6"/>
      <c r="E32" s="6"/>
      <c r="F32" s="6"/>
      <c r="G32" s="6"/>
      <c r="H32" s="15">
        <f>$B$9*$E$10^0*$E$11^3</f>
        <v>0.41237356727458319</v>
      </c>
      <c r="I32" s="6"/>
      <c r="J32" s="6"/>
    </row>
    <row r="33" spans="1:10" ht="15" customHeight="1" x14ac:dyDescent="0.2">
      <c r="A33" s="6"/>
      <c r="B33" s="6"/>
      <c r="C33" s="6"/>
      <c r="D33" s="6"/>
      <c r="E33" s="6"/>
      <c r="F33" s="6"/>
      <c r="G33" s="6"/>
      <c r="H33" s="3">
        <f>MAX($B$10-H32,$E$13*($E$12*J31+(1-$E$12)*J35))</f>
        <v>0.13762643272541686</v>
      </c>
      <c r="I33" s="6"/>
      <c r="J33" s="6"/>
    </row>
    <row r="34" spans="1:10" ht="15" customHeight="1" x14ac:dyDescent="0.2">
      <c r="A34" s="6"/>
      <c r="B34" s="6"/>
      <c r="C34" s="6"/>
      <c r="D34" s="6"/>
      <c r="E34" s="6"/>
      <c r="F34" s="6"/>
      <c r="G34" s="6"/>
      <c r="H34" s="6"/>
      <c r="I34" s="6"/>
      <c r="J34" s="15">
        <f>$B$9*$E$10^0*$E$11^4</f>
        <v>0.36391839582757995</v>
      </c>
    </row>
    <row r="35" spans="1:10" ht="1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3">
        <f>MAX($B$10-J34,0)</f>
        <v>0.18608160417242009</v>
      </c>
    </row>
    <row r="36" spans="1:10" ht="1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ht="15" customHeigh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ht="15" customHeight="1" x14ac:dyDescent="0.2">
      <c r="A38" s="6" t="s">
        <v>496</v>
      </c>
      <c r="B38" s="4">
        <f>B27</f>
        <v>3.614504038988222E-2</v>
      </c>
      <c r="C38" s="6"/>
      <c r="D38" s="6"/>
      <c r="E38" s="6"/>
      <c r="F38" s="6"/>
      <c r="G38" s="6"/>
      <c r="H38" s="6"/>
      <c r="I38" s="6"/>
      <c r="J38" s="6"/>
    </row>
    <row r="39" spans="1:10" ht="15" customHeight="1" x14ac:dyDescent="0.2">
      <c r="A39" s="6" t="s">
        <v>497</v>
      </c>
      <c r="B39" s="6"/>
      <c r="C39" s="6"/>
      <c r="D39" s="6"/>
      <c r="E39" s="6"/>
      <c r="F39" s="6"/>
      <c r="G39" s="6"/>
      <c r="H39" s="6"/>
      <c r="I39" s="6"/>
      <c r="J39" s="6"/>
    </row>
    <row r="40" spans="1:10" ht="15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ht="15" customHeight="1" x14ac:dyDescent="0.2">
      <c r="A41" s="53" t="s">
        <v>353</v>
      </c>
      <c r="B41" s="53"/>
      <c r="C41" s="53"/>
      <c r="D41" s="53"/>
      <c r="E41" s="53"/>
      <c r="F41" s="53"/>
      <c r="G41" s="53"/>
      <c r="H41" s="53"/>
      <c r="I41" s="53"/>
      <c r="J41" s="53"/>
    </row>
    <row r="42" spans="1:10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ht="15" customHeight="1" x14ac:dyDescent="0.2">
      <c r="A44" s="51" t="s">
        <v>498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15" customHeight="1" x14ac:dyDescent="0.2">
      <c r="A45" s="53" t="s">
        <v>499</v>
      </c>
      <c r="B45" s="53"/>
      <c r="C45" s="53"/>
      <c r="D45" s="53"/>
      <c r="E45" s="53"/>
      <c r="F45" s="53"/>
      <c r="G45" s="53"/>
      <c r="H45" s="53"/>
      <c r="I45" s="53"/>
      <c r="J45" s="53"/>
    </row>
    <row r="46" spans="1:10" ht="15" customHeight="1" x14ac:dyDescent="0.2">
      <c r="A46" s="53" t="s">
        <v>500</v>
      </c>
      <c r="B46" s="53"/>
      <c r="C46" s="53"/>
      <c r="D46" s="53"/>
      <c r="E46" s="53"/>
      <c r="F46" s="53"/>
      <c r="G46" s="53"/>
      <c r="H46" s="53"/>
      <c r="I46" s="53"/>
      <c r="J46" s="53"/>
    </row>
    <row r="47" spans="1:10" ht="15" customHeight="1" x14ac:dyDescent="0.2">
      <c r="A47" s="53" t="s">
        <v>501</v>
      </c>
      <c r="B47" s="53"/>
      <c r="C47" s="53"/>
      <c r="D47" s="53"/>
      <c r="E47" s="53"/>
      <c r="F47" s="53"/>
      <c r="G47" s="53"/>
      <c r="H47" s="53"/>
      <c r="I47" s="53"/>
      <c r="J47" s="53"/>
    </row>
    <row r="48" spans="1:10" ht="15" customHeight="1" x14ac:dyDescent="0.2">
      <c r="A48" s="53" t="s">
        <v>502</v>
      </c>
      <c r="B48" s="53"/>
      <c r="C48" s="53"/>
      <c r="D48" s="53"/>
      <c r="E48" s="53"/>
      <c r="F48" s="53"/>
      <c r="G48" s="53"/>
      <c r="H48" s="53"/>
      <c r="I48" s="53"/>
      <c r="J48" s="53"/>
    </row>
    <row r="49" spans="1:10" ht="15" customHeight="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ht="15" customHeight="1" x14ac:dyDescent="0.2">
      <c r="A50" s="51" t="s">
        <v>8</v>
      </c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15" customHeight="1" x14ac:dyDescent="0.2">
      <c r="A51" s="6" t="s">
        <v>47</v>
      </c>
      <c r="B51" s="15">
        <v>760</v>
      </c>
      <c r="C51" s="6"/>
      <c r="D51" s="6" t="s">
        <v>341</v>
      </c>
      <c r="E51" s="15">
        <f>B53/B57</f>
        <v>8.3333333333333329E-2</v>
      </c>
      <c r="F51" s="6"/>
      <c r="G51" s="6"/>
      <c r="H51" s="6"/>
      <c r="I51" s="6"/>
      <c r="J51" s="6"/>
    </row>
    <row r="52" spans="1:10" ht="15" customHeight="1" x14ac:dyDescent="0.2">
      <c r="A52" s="6" t="s">
        <v>11</v>
      </c>
      <c r="B52" s="15">
        <v>740</v>
      </c>
      <c r="C52" s="6"/>
      <c r="D52" s="6" t="s">
        <v>342</v>
      </c>
      <c r="E52" s="15">
        <f>EXP(B56*SQRT(E51))</f>
        <v>1.0748367436220922</v>
      </c>
      <c r="F52" s="6"/>
      <c r="G52" s="6"/>
      <c r="H52" s="6"/>
      <c r="I52" s="6"/>
      <c r="J52" s="6"/>
    </row>
    <row r="53" spans="1:10" ht="15" customHeight="1" x14ac:dyDescent="0.2">
      <c r="A53" s="6" t="s">
        <v>343</v>
      </c>
      <c r="B53" s="15">
        <v>0.25</v>
      </c>
      <c r="C53" s="6"/>
      <c r="D53" s="6" t="s">
        <v>344</v>
      </c>
      <c r="E53" s="15">
        <f>1/E52</f>
        <v>0.93037385066507872</v>
      </c>
      <c r="F53" s="6"/>
      <c r="G53" s="6"/>
      <c r="H53" s="6"/>
      <c r="I53" s="6"/>
      <c r="J53" s="6"/>
    </row>
    <row r="54" spans="1:10" ht="15" customHeight="1" x14ac:dyDescent="0.2">
      <c r="A54" s="6" t="s">
        <v>137</v>
      </c>
      <c r="B54" s="26">
        <v>0.05</v>
      </c>
      <c r="C54" s="6"/>
      <c r="D54" s="6" t="s">
        <v>22</v>
      </c>
      <c r="E54" s="15">
        <f>(1-E53)/(E52-E53)</f>
        <v>0.48196563082562166</v>
      </c>
      <c r="F54" s="6"/>
      <c r="G54" s="6"/>
      <c r="H54" s="6"/>
      <c r="I54" s="6"/>
      <c r="J54" s="6"/>
    </row>
    <row r="55" spans="1:10" ht="15" customHeight="1" x14ac:dyDescent="0.2">
      <c r="A55" s="6"/>
      <c r="B55" s="6"/>
      <c r="C55" s="6"/>
      <c r="D55" s="6" t="s">
        <v>345</v>
      </c>
      <c r="E55" s="15">
        <f>EXP(-B54*E51)</f>
        <v>0.99584200184510996</v>
      </c>
      <c r="F55" s="6"/>
      <c r="G55" s="6"/>
      <c r="H55" s="6"/>
      <c r="I55" s="6"/>
      <c r="J55" s="6"/>
    </row>
    <row r="56" spans="1:10" ht="15" customHeight="1" x14ac:dyDescent="0.2">
      <c r="A56" s="6" t="s">
        <v>346</v>
      </c>
      <c r="B56" s="26">
        <v>0.25</v>
      </c>
      <c r="C56" s="6"/>
      <c r="D56" s="6"/>
      <c r="E56" s="6"/>
      <c r="F56" s="6"/>
      <c r="G56" s="6"/>
      <c r="H56" s="6"/>
      <c r="I56" s="6"/>
      <c r="J56" s="6"/>
    </row>
    <row r="57" spans="1:10" ht="15" customHeight="1" x14ac:dyDescent="0.2">
      <c r="A57" s="6" t="s">
        <v>347</v>
      </c>
      <c r="B57" s="7">
        <v>3</v>
      </c>
      <c r="C57" s="6"/>
      <c r="D57" s="6"/>
      <c r="E57" s="6"/>
      <c r="F57" s="6"/>
      <c r="G57" s="6"/>
      <c r="H57" s="6"/>
      <c r="I57" s="6"/>
      <c r="J57" s="6"/>
    </row>
    <row r="58" spans="1:10" ht="1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ht="15" customHeight="1" x14ac:dyDescent="0.2">
      <c r="A59" s="6"/>
      <c r="B59" s="6" t="s">
        <v>348</v>
      </c>
      <c r="C59" s="6"/>
      <c r="D59" s="6" t="s">
        <v>349</v>
      </c>
      <c r="E59" s="6"/>
      <c r="F59" s="6" t="s">
        <v>350</v>
      </c>
      <c r="G59" s="6"/>
      <c r="H59" s="6" t="s">
        <v>351</v>
      </c>
      <c r="I59" s="6"/>
      <c r="J59" s="6"/>
    </row>
    <row r="60" spans="1:10" ht="15" customHeight="1" x14ac:dyDescent="0.2">
      <c r="A60" s="6"/>
      <c r="B60" s="6"/>
      <c r="C60" s="6"/>
      <c r="D60" s="6"/>
      <c r="E60" s="6"/>
      <c r="F60" s="6"/>
      <c r="G60" s="6"/>
      <c r="H60" s="15">
        <f>$B$51*$E$52^3*$E$53^0</f>
        <v>943.71553833640507</v>
      </c>
      <c r="I60" s="6"/>
      <c r="J60" s="6"/>
    </row>
    <row r="61" spans="1:10" ht="15" customHeight="1" x14ac:dyDescent="0.2">
      <c r="A61" s="6"/>
      <c r="B61" s="6"/>
      <c r="C61" s="6"/>
      <c r="D61" s="6"/>
      <c r="E61" s="6"/>
      <c r="F61" s="6"/>
      <c r="G61" s="6"/>
      <c r="H61" s="3">
        <f>MAX($B$52-H60,0)</f>
        <v>0</v>
      </c>
      <c r="I61" s="6"/>
      <c r="J61" s="6"/>
    </row>
    <row r="62" spans="1:10" ht="15" customHeight="1" x14ac:dyDescent="0.2">
      <c r="A62" s="6"/>
      <c r="B62" s="6"/>
      <c r="C62" s="6"/>
      <c r="D62" s="6"/>
      <c r="E62" s="6"/>
      <c r="F62" s="15">
        <f>$B$51*$E$52^2*$E$53^0</f>
        <v>878.00825933450881</v>
      </c>
      <c r="G62" s="6"/>
      <c r="H62" s="6"/>
      <c r="I62" s="6"/>
      <c r="J62" s="6"/>
    </row>
    <row r="63" spans="1:10" ht="15" customHeight="1" x14ac:dyDescent="0.2">
      <c r="A63" s="6"/>
      <c r="B63" s="6"/>
      <c r="C63" s="6"/>
      <c r="D63" s="6"/>
      <c r="E63" s="6"/>
      <c r="F63" s="3">
        <f>MAX($B$52-F62,$E$55*($E$54*H61+(1-$E$54)*H65))</f>
        <v>0</v>
      </c>
      <c r="G63" s="6"/>
      <c r="H63" s="6"/>
      <c r="I63" s="6"/>
      <c r="J63" s="6"/>
    </row>
    <row r="64" spans="1:10" ht="15" customHeight="1" x14ac:dyDescent="0.2">
      <c r="A64" s="6"/>
      <c r="B64" s="6"/>
      <c r="C64" s="6"/>
      <c r="D64" s="15">
        <f>$B$51*$E$52^1*$E$53^0</f>
        <v>816.87592515279016</v>
      </c>
      <c r="E64" s="6"/>
      <c r="F64" s="6"/>
      <c r="G64" s="6"/>
      <c r="H64" s="15">
        <f>$B$51*$E$52^2*$E$53^1</f>
        <v>816.87592515279005</v>
      </c>
      <c r="I64" s="6"/>
      <c r="J64" s="6"/>
    </row>
    <row r="65" spans="1:10" ht="15" customHeight="1" x14ac:dyDescent="0.2">
      <c r="A65" s="6"/>
      <c r="B65" s="6"/>
      <c r="C65" s="6"/>
      <c r="D65" s="3">
        <f>MAX($B$52-D64,$E$55*($E$54*F63+(1-$E$54)*F67))</f>
        <v>8.7599860001325336</v>
      </c>
      <c r="E65" s="6"/>
      <c r="F65" s="6"/>
      <c r="G65" s="6"/>
      <c r="H65" s="3">
        <f>MAX($B$52-H64,0)</f>
        <v>0</v>
      </c>
      <c r="I65" s="6"/>
      <c r="J65" s="6"/>
    </row>
    <row r="66" spans="1:10" ht="15" customHeight="1" x14ac:dyDescent="0.2">
      <c r="A66" s="6"/>
      <c r="B66" s="15">
        <f>$B$51*$E$52^0*$E$53^0</f>
        <v>760</v>
      </c>
      <c r="C66" s="6"/>
      <c r="D66" s="6"/>
      <c r="E66" s="6"/>
      <c r="F66" s="15">
        <f>$B$51*$E$52^1*$E$53^1</f>
        <v>760</v>
      </c>
      <c r="G66" s="6"/>
      <c r="H66" s="6"/>
      <c r="I66" s="6"/>
      <c r="J66" s="6"/>
    </row>
    <row r="67" spans="1:10" ht="15" customHeight="1" x14ac:dyDescent="0.2">
      <c r="A67" s="6"/>
      <c r="B67" s="3">
        <f>MAX($B$52-B66,$E$55*($E$54*D65+(1-$E$54)*D69))</f>
        <v>30.271017701248105</v>
      </c>
      <c r="C67" s="6"/>
      <c r="D67" s="6"/>
      <c r="E67" s="6"/>
      <c r="F67" s="3">
        <f>MAX($B$52-F66,$E$55*($E$54*H65+(1-$E$54)*H69))</f>
        <v>16.980653432489145</v>
      </c>
      <c r="G67" s="6"/>
      <c r="H67" s="6"/>
      <c r="I67" s="6"/>
      <c r="J67" s="6"/>
    </row>
    <row r="68" spans="1:10" ht="15" customHeight="1" x14ac:dyDescent="0.2">
      <c r="A68" s="6"/>
      <c r="B68" s="6"/>
      <c r="C68" s="6"/>
      <c r="D68" s="15">
        <f>$B$51*$E$52^0*$E$53^1</f>
        <v>707.08412650545984</v>
      </c>
      <c r="E68" s="6"/>
      <c r="F68" s="6"/>
      <c r="G68" s="6"/>
      <c r="H68" s="15">
        <f>$B$51*$E$52^1*$E$53^2</f>
        <v>707.08412650545984</v>
      </c>
      <c r="I68" s="6"/>
      <c r="J68" s="6"/>
    </row>
    <row r="69" spans="1:10" ht="15" customHeight="1" x14ac:dyDescent="0.2">
      <c r="A69" s="6"/>
      <c r="B69" s="6"/>
      <c r="C69" s="6"/>
      <c r="D69" s="3">
        <f>MAX($B$52-D68,$E$55*($E$54*F67+(1-$E$54)*F71))</f>
        <v>50.528303632437357</v>
      </c>
      <c r="E69" s="6"/>
      <c r="F69" s="6"/>
      <c r="G69" s="6"/>
      <c r="H69" s="3">
        <f>MAX($B$52-H68,0)</f>
        <v>32.915873494540165</v>
      </c>
      <c r="I69" s="6"/>
      <c r="J69" s="6"/>
    </row>
    <row r="70" spans="1:10" ht="15" customHeight="1" x14ac:dyDescent="0.2">
      <c r="A70" s="6"/>
      <c r="B70" s="6"/>
      <c r="C70" s="6"/>
      <c r="D70" s="6"/>
      <c r="E70" s="6"/>
      <c r="F70" s="15">
        <f>$B$51*$E$52^0*$E$53^2</f>
        <v>657.85258152103825</v>
      </c>
      <c r="G70" s="6"/>
      <c r="H70" s="6"/>
      <c r="I70" s="6"/>
      <c r="J70" s="6"/>
    </row>
    <row r="71" spans="1:10" ht="15" customHeight="1" x14ac:dyDescent="0.2">
      <c r="A71" s="6"/>
      <c r="B71" s="6"/>
      <c r="C71" s="6"/>
      <c r="D71" s="6"/>
      <c r="E71" s="6"/>
      <c r="F71" s="3">
        <f>MAX($B$52-F70,$E$55*($E$54*H69+(1-$E$54)*H73))</f>
        <v>82.147418478961754</v>
      </c>
      <c r="G71" s="6"/>
      <c r="H71" s="6"/>
      <c r="I71" s="6"/>
      <c r="J71" s="6"/>
    </row>
    <row r="72" spans="1:10" ht="15" customHeight="1" x14ac:dyDescent="0.2">
      <c r="A72" s="6"/>
      <c r="B72" s="6"/>
      <c r="C72" s="6"/>
      <c r="D72" s="6"/>
      <c r="E72" s="6"/>
      <c r="F72" s="6"/>
      <c r="G72" s="6"/>
      <c r="H72" s="15">
        <f>$B$51*$E$52^0*$E$53^3</f>
        <v>612.04883943969094</v>
      </c>
      <c r="I72" s="6"/>
      <c r="J72" s="6"/>
    </row>
    <row r="73" spans="1:10" ht="15" customHeight="1" x14ac:dyDescent="0.2">
      <c r="A73" s="6"/>
      <c r="B73" s="6"/>
      <c r="C73" s="6"/>
      <c r="D73" s="6"/>
      <c r="E73" s="6"/>
      <c r="F73" s="6"/>
      <c r="G73" s="6"/>
      <c r="H73" s="3">
        <f>MAX($B$52-H72,0)</f>
        <v>127.95116056030906</v>
      </c>
      <c r="I73" s="6"/>
      <c r="J73" s="6"/>
    </row>
    <row r="74" spans="1:10" ht="15" customHeight="1" x14ac:dyDescent="0.2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 ht="15" customHeight="1" x14ac:dyDescent="0.2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ht="15" customHeight="1" x14ac:dyDescent="0.2">
      <c r="A76" s="6" t="s">
        <v>496</v>
      </c>
      <c r="B76" s="5">
        <f>B67</f>
        <v>30.271017701248105</v>
      </c>
      <c r="C76" s="6"/>
      <c r="D76" s="6"/>
      <c r="E76" s="6"/>
      <c r="F76" s="6"/>
      <c r="G76" s="6"/>
      <c r="H76" s="6"/>
      <c r="I76" s="6"/>
      <c r="J76" s="6"/>
    </row>
    <row r="77" spans="1:10" ht="15" customHeight="1" x14ac:dyDescent="0.2">
      <c r="A77" s="6" t="s">
        <v>497</v>
      </c>
      <c r="B77" s="6"/>
      <c r="C77" s="6"/>
      <c r="D77" s="6"/>
      <c r="E77" s="6"/>
      <c r="F77" s="6"/>
      <c r="G77" s="6"/>
      <c r="H77" s="6"/>
      <c r="I77" s="6"/>
      <c r="J77" s="6"/>
    </row>
    <row r="78" spans="1:10" ht="15" customHeight="1" x14ac:dyDescent="0.2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ht="15" customHeight="1" x14ac:dyDescent="0.2">
      <c r="A79" s="53" t="s">
        <v>353</v>
      </c>
      <c r="B79" s="53"/>
      <c r="C79" s="53"/>
      <c r="D79" s="53"/>
      <c r="E79" s="53"/>
      <c r="F79" s="53"/>
      <c r="G79" s="53"/>
      <c r="H79" s="53"/>
      <c r="I79" s="53"/>
      <c r="J79" s="53"/>
    </row>
    <row r="80" spans="1:10" ht="15" customHeight="1" x14ac:dyDescent="0.2">
      <c r="A80" s="53" t="s">
        <v>503</v>
      </c>
      <c r="B80" s="53"/>
      <c r="C80" s="53"/>
      <c r="D80" s="53"/>
      <c r="E80" s="53"/>
      <c r="F80" s="53"/>
      <c r="G80" s="53"/>
      <c r="H80" s="53"/>
      <c r="I80" s="53"/>
      <c r="J80" s="53"/>
    </row>
    <row r="81" spans="1:10" ht="15" customHeight="1" x14ac:dyDescent="0.2">
      <c r="A81" s="53" t="s">
        <v>504</v>
      </c>
      <c r="B81" s="53"/>
      <c r="C81" s="53"/>
      <c r="D81" s="53"/>
      <c r="E81" s="53"/>
      <c r="F81" s="53"/>
      <c r="G81" s="53"/>
      <c r="H81" s="53"/>
      <c r="I81" s="53"/>
      <c r="J81" s="53"/>
    </row>
    <row r="82" spans="1:10" ht="15" customHeight="1" x14ac:dyDescent="0.2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ht="15" customHeight="1" x14ac:dyDescent="0.2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 ht="15" customHeight="1" x14ac:dyDescent="0.2">
      <c r="A84" s="51" t="s">
        <v>505</v>
      </c>
      <c r="B84" s="51"/>
      <c r="C84" s="51"/>
      <c r="D84" s="51"/>
      <c r="E84" s="51"/>
      <c r="F84" s="51"/>
      <c r="G84" s="51"/>
      <c r="H84" s="51"/>
      <c r="I84" s="51"/>
      <c r="J84" s="51"/>
    </row>
    <row r="85" spans="1:10" ht="15" customHeight="1" x14ac:dyDescent="0.2">
      <c r="A85" s="53" t="s">
        <v>506</v>
      </c>
      <c r="B85" s="53"/>
      <c r="C85" s="53"/>
      <c r="D85" s="53"/>
      <c r="E85" s="53"/>
      <c r="F85" s="53"/>
      <c r="G85" s="53"/>
      <c r="H85" s="53"/>
      <c r="I85" s="53"/>
      <c r="J85" s="53"/>
    </row>
    <row r="86" spans="1:10" ht="15" customHeight="1" x14ac:dyDescent="0.2">
      <c r="A86" s="53" t="s">
        <v>507</v>
      </c>
      <c r="B86" s="53"/>
      <c r="C86" s="53"/>
      <c r="D86" s="53"/>
      <c r="E86" s="53"/>
      <c r="F86" s="53"/>
      <c r="G86" s="53"/>
      <c r="H86" s="53"/>
      <c r="I86" s="53"/>
      <c r="J86" s="53"/>
    </row>
    <row r="87" spans="1:10" ht="15" customHeight="1" x14ac:dyDescent="0.2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spans="1:10" ht="15" customHeight="1" x14ac:dyDescent="0.2">
      <c r="A88" s="51" t="s">
        <v>8</v>
      </c>
      <c r="B88" s="51"/>
      <c r="C88" s="51"/>
      <c r="D88" s="51"/>
      <c r="E88" s="51"/>
      <c r="F88" s="51"/>
      <c r="G88" s="51"/>
      <c r="H88" s="51"/>
      <c r="I88" s="51"/>
      <c r="J88" s="51"/>
    </row>
    <row r="89" spans="1:10" ht="15" customHeight="1" x14ac:dyDescent="0.2">
      <c r="A89" s="6" t="s">
        <v>47</v>
      </c>
      <c r="B89" s="8">
        <v>35</v>
      </c>
      <c r="C89" s="6"/>
      <c r="D89" s="6"/>
      <c r="E89" s="6"/>
      <c r="F89" s="6"/>
      <c r="G89" s="6"/>
      <c r="H89" s="6"/>
      <c r="I89" s="6"/>
      <c r="J89" s="6"/>
    </row>
    <row r="90" spans="1:10" ht="15" customHeight="1" x14ac:dyDescent="0.2">
      <c r="A90" s="2" t="s">
        <v>11</v>
      </c>
      <c r="B90" s="8">
        <v>30</v>
      </c>
      <c r="C90" s="6"/>
      <c r="D90" s="6"/>
      <c r="E90" s="6"/>
      <c r="F90" s="6"/>
      <c r="G90" s="6"/>
      <c r="H90" s="6"/>
      <c r="I90" s="6"/>
      <c r="J90" s="6"/>
    </row>
    <row r="91" spans="1:10" ht="15" customHeight="1" x14ac:dyDescent="0.2">
      <c r="A91" s="2" t="s">
        <v>140</v>
      </c>
      <c r="B91" s="7">
        <v>1</v>
      </c>
      <c r="C91" s="6"/>
      <c r="D91" s="6"/>
      <c r="E91" s="6"/>
      <c r="F91" s="6"/>
      <c r="G91" s="6"/>
      <c r="H91" s="6"/>
      <c r="I91" s="6"/>
      <c r="J91" s="6"/>
    </row>
    <row r="92" spans="1:10" ht="15" customHeight="1" x14ac:dyDescent="0.2">
      <c r="A92" s="2" t="s">
        <v>137</v>
      </c>
      <c r="B92" s="17">
        <v>0.05</v>
      </c>
      <c r="C92" s="6"/>
      <c r="D92" s="6"/>
      <c r="E92" s="6"/>
      <c r="F92" s="6"/>
      <c r="G92" s="6"/>
      <c r="H92" s="6"/>
      <c r="I92" s="6"/>
      <c r="J92" s="6"/>
    </row>
    <row r="93" spans="1:10" ht="15" customHeight="1" x14ac:dyDescent="0.2">
      <c r="A93" s="2" t="s">
        <v>346</v>
      </c>
      <c r="B93" s="17">
        <v>0.25</v>
      </c>
      <c r="C93" s="6"/>
      <c r="D93" s="6"/>
      <c r="E93" s="6"/>
      <c r="F93" s="6"/>
      <c r="G93" s="6"/>
      <c r="H93" s="6"/>
      <c r="I93" s="6"/>
      <c r="J93" s="6"/>
    </row>
    <row r="94" spans="1:10" ht="15" customHeight="1" x14ac:dyDescent="0.2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spans="1:10" ht="15" customHeight="1" x14ac:dyDescent="0.2">
      <c r="A95" s="2" t="s">
        <v>368</v>
      </c>
      <c r="B95" s="24">
        <f>(LN(B89/B90)+(B93^2/2)*B91)/(B93*SQRT(B91))</f>
        <v>0.74160271930903343</v>
      </c>
      <c r="C95" s="6"/>
      <c r="D95" s="6" t="s">
        <v>508</v>
      </c>
      <c r="E95" s="24">
        <f>NORMSDIST(-B95)</f>
        <v>0.22916403774355654</v>
      </c>
      <c r="F95" s="6"/>
      <c r="G95" s="6"/>
      <c r="H95" s="6"/>
      <c r="I95" s="6"/>
      <c r="J95" s="6"/>
    </row>
    <row r="96" spans="1:10" ht="15" customHeight="1" x14ac:dyDescent="0.2">
      <c r="A96" s="2" t="s">
        <v>371</v>
      </c>
      <c r="B96" s="24">
        <f>B95-B93*SQRT(B91)</f>
        <v>0.49160271930903343</v>
      </c>
      <c r="C96" s="6"/>
      <c r="D96" s="6" t="s">
        <v>509</v>
      </c>
      <c r="E96" s="24">
        <f>NORMSDIST(-B96)</f>
        <v>0.31150011034983371</v>
      </c>
      <c r="F96" s="6"/>
      <c r="G96" s="6"/>
      <c r="H96" s="6"/>
      <c r="I96" s="6"/>
      <c r="J96" s="6"/>
    </row>
    <row r="97" spans="1:10" ht="15" customHeight="1" x14ac:dyDescent="0.2">
      <c r="A97" s="2" t="s">
        <v>22</v>
      </c>
      <c r="B97" s="28">
        <f>EXP(-B92*B91)*(B90*E96-B89*E95)</f>
        <v>1.2596769701322248</v>
      </c>
      <c r="C97" s="6"/>
      <c r="D97" s="6"/>
      <c r="E97" s="6"/>
      <c r="F97" s="6"/>
      <c r="G97" s="6"/>
      <c r="H97" s="6"/>
      <c r="I97" s="6"/>
      <c r="J97" s="6"/>
    </row>
    <row r="98" spans="1:10" ht="15" customHeight="1" x14ac:dyDescent="0.2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pans="1:10" ht="15" customHeight="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spans="1:10" ht="15" customHeight="1" x14ac:dyDescent="0.2">
      <c r="A100" s="51" t="s">
        <v>510</v>
      </c>
      <c r="B100" s="51"/>
      <c r="C100" s="51"/>
      <c r="D100" s="51"/>
      <c r="E100" s="51"/>
      <c r="F100" s="51"/>
      <c r="G100" s="51"/>
      <c r="H100" s="51"/>
      <c r="I100" s="51"/>
      <c r="J100" s="51"/>
    </row>
    <row r="101" spans="1:10" ht="15" customHeight="1" x14ac:dyDescent="0.2">
      <c r="A101" s="53" t="s">
        <v>511</v>
      </c>
      <c r="B101" s="53"/>
      <c r="C101" s="53"/>
      <c r="D101" s="53"/>
      <c r="E101" s="53"/>
      <c r="F101" s="53"/>
      <c r="G101" s="53"/>
      <c r="H101" s="53"/>
      <c r="I101" s="53"/>
      <c r="J101" s="53"/>
    </row>
    <row r="102" spans="1:10" ht="15" customHeight="1" x14ac:dyDescent="0.2">
      <c r="A102" s="53" t="s">
        <v>512</v>
      </c>
      <c r="B102" s="53"/>
      <c r="C102" s="53"/>
      <c r="D102" s="53"/>
      <c r="E102" s="53"/>
      <c r="F102" s="53"/>
      <c r="G102" s="53"/>
      <c r="H102" s="53"/>
      <c r="I102" s="53"/>
      <c r="J102" s="53"/>
    </row>
    <row r="103" spans="1:10" ht="15" customHeight="1" x14ac:dyDescent="0.2">
      <c r="A103" s="53" t="s">
        <v>513</v>
      </c>
      <c r="B103" s="53"/>
      <c r="C103" s="53"/>
      <c r="D103" s="53"/>
      <c r="E103" s="53"/>
      <c r="F103" s="53"/>
      <c r="G103" s="53"/>
      <c r="H103" s="53"/>
      <c r="I103" s="53"/>
      <c r="J103" s="53"/>
    </row>
    <row r="104" spans="1:10" ht="15" customHeight="1" x14ac:dyDescent="0.2">
      <c r="A104" s="53" t="s">
        <v>514</v>
      </c>
      <c r="B104" s="53"/>
      <c r="C104" s="53"/>
      <c r="D104" s="53"/>
      <c r="E104" s="53"/>
      <c r="F104" s="53"/>
      <c r="G104" s="53"/>
      <c r="H104" s="53"/>
      <c r="I104" s="53"/>
      <c r="J104" s="53"/>
    </row>
    <row r="105" spans="1:10" ht="15" customHeight="1" x14ac:dyDescent="0.2">
      <c r="A105" s="53" t="s">
        <v>515</v>
      </c>
      <c r="B105" s="53"/>
      <c r="C105" s="53"/>
      <c r="D105" s="53"/>
      <c r="E105" s="53"/>
      <c r="F105" s="53"/>
      <c r="G105" s="53"/>
      <c r="H105" s="53"/>
      <c r="I105" s="53"/>
      <c r="J105" s="53"/>
    </row>
    <row r="106" spans="1:10" ht="15" customHeight="1" x14ac:dyDescent="0.2">
      <c r="A106" s="53" t="s">
        <v>516</v>
      </c>
      <c r="B106" s="53"/>
      <c r="C106" s="53"/>
      <c r="D106" s="53"/>
      <c r="E106" s="53"/>
      <c r="F106" s="53"/>
      <c r="G106" s="53"/>
      <c r="H106" s="53"/>
      <c r="I106" s="53"/>
      <c r="J106" s="53"/>
    </row>
    <row r="107" spans="1:10" ht="1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 spans="1:10" ht="15" customHeight="1" x14ac:dyDescent="0.2">
      <c r="A108" s="51" t="s">
        <v>8</v>
      </c>
      <c r="B108" s="51"/>
      <c r="C108" s="51"/>
      <c r="D108" s="51"/>
      <c r="E108" s="51"/>
      <c r="F108" s="51"/>
      <c r="G108" s="51"/>
      <c r="H108" s="51"/>
      <c r="I108" s="51"/>
      <c r="J108" s="51"/>
    </row>
    <row r="109" spans="1:10" ht="15" customHeight="1" x14ac:dyDescent="0.2">
      <c r="A109" s="53" t="s">
        <v>517</v>
      </c>
      <c r="B109" s="53"/>
      <c r="C109" s="53"/>
      <c r="D109" s="53"/>
      <c r="E109" s="53"/>
      <c r="F109" s="53"/>
      <c r="G109" s="53"/>
      <c r="H109" s="53"/>
      <c r="I109" s="53"/>
      <c r="J109" s="53"/>
    </row>
    <row r="110" spans="1:10" ht="15" customHeight="1" x14ac:dyDescent="0.2">
      <c r="A110" s="53" t="s">
        <v>518</v>
      </c>
      <c r="B110" s="53"/>
      <c r="C110" s="53"/>
      <c r="D110" s="53"/>
      <c r="E110" s="53"/>
      <c r="F110" s="53"/>
      <c r="G110" s="53"/>
      <c r="H110" s="53"/>
      <c r="I110" s="53"/>
      <c r="J110" s="53"/>
    </row>
    <row r="111" spans="1:10" ht="15" customHeight="1" x14ac:dyDescent="0.2">
      <c r="A111" s="53" t="s">
        <v>519</v>
      </c>
      <c r="B111" s="53"/>
      <c r="C111" s="53"/>
      <c r="D111" s="53"/>
      <c r="E111" s="53"/>
      <c r="F111" s="53"/>
      <c r="G111" s="53"/>
      <c r="H111" s="53"/>
      <c r="I111" s="53"/>
      <c r="J111" s="53"/>
    </row>
    <row r="112" spans="1:10" ht="15" customHeight="1" x14ac:dyDescent="0.2">
      <c r="A112" s="53" t="s">
        <v>520</v>
      </c>
      <c r="B112" s="53"/>
      <c r="C112" s="53"/>
      <c r="D112" s="53"/>
      <c r="E112" s="53"/>
      <c r="F112" s="53"/>
      <c r="G112" s="53"/>
      <c r="H112" s="53"/>
      <c r="I112" s="53"/>
      <c r="J112" s="53"/>
    </row>
    <row r="113" spans="1:10" ht="15" customHeight="1" x14ac:dyDescent="0.2">
      <c r="A113" s="53" t="s">
        <v>521</v>
      </c>
      <c r="B113" s="53"/>
      <c r="C113" s="53"/>
      <c r="D113" s="53"/>
      <c r="E113" s="53"/>
      <c r="F113" s="53"/>
      <c r="G113" s="53"/>
      <c r="H113" s="53"/>
      <c r="I113" s="53"/>
      <c r="J113" s="53"/>
    </row>
    <row r="114" spans="1:10" ht="15" customHeight="1" x14ac:dyDescent="0.2">
      <c r="A114" s="53" t="s">
        <v>522</v>
      </c>
      <c r="B114" s="53"/>
      <c r="C114" s="53"/>
      <c r="D114" s="53"/>
      <c r="E114" s="53"/>
      <c r="F114" s="53"/>
      <c r="G114" s="53"/>
      <c r="H114" s="53"/>
      <c r="I114" s="53"/>
      <c r="J114" s="53"/>
    </row>
    <row r="115" spans="1:10" ht="15" customHeight="1" x14ac:dyDescent="0.2">
      <c r="A115" s="53" t="s">
        <v>523</v>
      </c>
      <c r="B115" s="53"/>
      <c r="C115" s="53"/>
      <c r="D115" s="53"/>
      <c r="E115" s="53"/>
      <c r="F115" s="53"/>
      <c r="G115" s="53"/>
      <c r="H115" s="53"/>
      <c r="I115" s="53"/>
      <c r="J115" s="53"/>
    </row>
    <row r="116" spans="1:10" ht="1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 spans="1:10" ht="1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</row>
    <row r="118" spans="1:10" ht="1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</row>
    <row r="119" spans="1:10" ht="1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</row>
  </sheetData>
  <mergeCells count="35">
    <mergeCell ref="A112:J112"/>
    <mergeCell ref="A113:J113"/>
    <mergeCell ref="A114:J114"/>
    <mergeCell ref="A115:J115"/>
    <mergeCell ref="A45:J45"/>
    <mergeCell ref="A46:J46"/>
    <mergeCell ref="A47:J47"/>
    <mergeCell ref="A48:J48"/>
    <mergeCell ref="A80:J80"/>
    <mergeCell ref="A81:J81"/>
    <mergeCell ref="A106:J106"/>
    <mergeCell ref="A108:J108"/>
    <mergeCell ref="A109:J109"/>
    <mergeCell ref="A110:J110"/>
    <mergeCell ref="A111:J111"/>
    <mergeCell ref="A101:J101"/>
    <mergeCell ref="A102:J102"/>
    <mergeCell ref="A103:J103"/>
    <mergeCell ref="A104:J104"/>
    <mergeCell ref="A105:J105"/>
    <mergeCell ref="A84:J84"/>
    <mergeCell ref="A85:J85"/>
    <mergeCell ref="A86:J86"/>
    <mergeCell ref="A88:J88"/>
    <mergeCell ref="A100:J100"/>
    <mergeCell ref="A8:J8"/>
    <mergeCell ref="A41:J41"/>
    <mergeCell ref="A44:J44"/>
    <mergeCell ref="A50:J50"/>
    <mergeCell ref="A79:J79"/>
    <mergeCell ref="A1:J1"/>
    <mergeCell ref="A3:J3"/>
    <mergeCell ref="A4:J4"/>
    <mergeCell ref="A5:J5"/>
    <mergeCell ref="A6:J6"/>
  </mergeCells>
  <pageMargins left="0.35" right="0.35" top="0.45" bottom="0.45" header="0.2" footer="0.2"/>
  <pageSetup paperSize="9" fitToHeight="0" orientation="landscape"/>
  <headerFooter>
    <oddFooter>&amp;L&amp;"Times New Roman,Regular"&amp;8John C. Hull – 12a edizione&amp;C&amp;"Times New Roman,Regular"&amp;8Ulteriori Domande&amp;R&amp;"Times New Roman,Regular"&amp;8&amp;A |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36878"/>
    <pageSetUpPr fitToPage="1"/>
  </sheetPr>
  <dimension ref="A1:J164"/>
  <sheetViews>
    <sheetView showGridLines="0" zoomScaleNormal="100" workbookViewId="0">
      <pane ySplit="2" topLeftCell="A3" activePane="bottomLeft" state="frozen"/>
      <selection sqref="A1:H1"/>
      <selection pane="bottomLeft" sqref="A1:H1"/>
    </sheetView>
  </sheetViews>
  <sheetFormatPr defaultRowHeight="15" customHeight="1" x14ac:dyDescent="0.2"/>
  <cols>
    <col min="1" max="1" width="28.28515625" style="39" customWidth="1"/>
    <col min="2" max="3" width="12.5703125" style="39" customWidth="1"/>
    <col min="4" max="4" width="15.140625" style="39" customWidth="1"/>
    <col min="5" max="6" width="12.5703125" style="39" customWidth="1"/>
    <col min="7" max="7" width="13.85546875" style="39" customWidth="1"/>
    <col min="8" max="10" width="12.5703125" style="39" customWidth="1"/>
    <col min="11" max="16384" width="9.140625" style="39"/>
  </cols>
  <sheetData>
    <row r="1" spans="1:10" ht="15" customHeight="1" x14ac:dyDescent="0.2">
      <c r="A1" s="50" t="s">
        <v>524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15" customHeight="1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ht="15" customHeight="1" x14ac:dyDescent="0.2">
      <c r="A3" s="51" t="s">
        <v>525</v>
      </c>
      <c r="B3" s="51"/>
      <c r="C3" s="51"/>
      <c r="D3" s="51"/>
      <c r="E3" s="51"/>
      <c r="F3" s="51"/>
      <c r="G3" s="51"/>
      <c r="H3" s="51"/>
      <c r="I3" s="51"/>
      <c r="J3" s="51"/>
    </row>
    <row r="4" spans="1:10" ht="15" customHeight="1" x14ac:dyDescent="0.2">
      <c r="A4" s="53" t="s">
        <v>526</v>
      </c>
      <c r="B4" s="53"/>
      <c r="C4" s="53"/>
      <c r="D4" s="53"/>
      <c r="E4" s="53"/>
      <c r="F4" s="53"/>
      <c r="G4" s="53"/>
      <c r="H4" s="53"/>
      <c r="I4" s="53"/>
      <c r="J4" s="53"/>
    </row>
    <row r="5" spans="1:10" ht="15" customHeight="1" x14ac:dyDescent="0.2">
      <c r="A5" s="53" t="s">
        <v>527</v>
      </c>
      <c r="B5" s="53"/>
      <c r="C5" s="53"/>
      <c r="D5" s="53"/>
      <c r="E5" s="53"/>
      <c r="F5" s="53"/>
      <c r="G5" s="53"/>
      <c r="H5" s="53"/>
      <c r="I5" s="53"/>
      <c r="J5" s="53"/>
    </row>
    <row r="6" spans="1:10" ht="15" customHeight="1" x14ac:dyDescent="0.2">
      <c r="A6" s="53" t="s">
        <v>528</v>
      </c>
      <c r="B6" s="53"/>
      <c r="C6" s="53"/>
      <c r="D6" s="53"/>
      <c r="E6" s="53"/>
      <c r="F6" s="53"/>
      <c r="G6" s="53"/>
      <c r="H6" s="53"/>
      <c r="I6" s="53"/>
      <c r="J6" s="53"/>
    </row>
    <row r="7" spans="1:10" ht="15" customHeight="1" x14ac:dyDescent="0.2">
      <c r="A7" s="53" t="s">
        <v>529</v>
      </c>
      <c r="B7" s="53"/>
      <c r="C7" s="53"/>
      <c r="D7" s="53"/>
      <c r="E7" s="53"/>
      <c r="F7" s="53"/>
      <c r="G7" s="53"/>
      <c r="H7" s="53"/>
      <c r="I7" s="53"/>
      <c r="J7" s="53"/>
    </row>
    <row r="8" spans="1:10" ht="15" customHeight="1" x14ac:dyDescent="0.2">
      <c r="A8" s="53" t="s">
        <v>530</v>
      </c>
      <c r="B8" s="53"/>
      <c r="C8" s="53"/>
      <c r="D8" s="53"/>
      <c r="E8" s="53"/>
      <c r="F8" s="53"/>
      <c r="G8" s="53"/>
      <c r="H8" s="53"/>
      <c r="I8" s="53"/>
      <c r="J8" s="53"/>
    </row>
    <row r="9" spans="1:10" ht="15" customHeight="1" x14ac:dyDescent="0.2">
      <c r="A9" s="53" t="s">
        <v>531</v>
      </c>
      <c r="B9" s="53"/>
      <c r="C9" s="53"/>
      <c r="D9" s="53"/>
      <c r="E9" s="53"/>
      <c r="F9" s="53"/>
      <c r="G9" s="53"/>
      <c r="H9" s="53"/>
      <c r="I9" s="53"/>
      <c r="J9" s="53"/>
    </row>
    <row r="10" spans="1:10" ht="15" customHeight="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ht="15" customHeight="1" x14ac:dyDescent="0.2">
      <c r="A11" s="51" t="s">
        <v>8</v>
      </c>
      <c r="B11" s="51"/>
      <c r="C11" s="51"/>
      <c r="D11" s="51"/>
      <c r="E11" s="51"/>
      <c r="F11" s="51"/>
      <c r="G11" s="51"/>
      <c r="H11" s="51"/>
      <c r="I11" s="51"/>
      <c r="J11" s="51"/>
    </row>
    <row r="12" spans="1:10" ht="15" customHeight="1" x14ac:dyDescent="0.2">
      <c r="A12" s="6" t="s">
        <v>21</v>
      </c>
      <c r="B12" s="41">
        <v>7600</v>
      </c>
      <c r="C12" s="6"/>
      <c r="D12" s="41">
        <v>7828</v>
      </c>
      <c r="E12" s="6"/>
      <c r="F12" s="6"/>
      <c r="G12" s="6"/>
      <c r="H12" s="6"/>
      <c r="I12" s="6"/>
      <c r="J12" s="6"/>
    </row>
    <row r="13" spans="1:10" ht="15" customHeight="1" x14ac:dyDescent="0.2">
      <c r="A13" s="6" t="s">
        <v>11</v>
      </c>
      <c r="B13" s="41">
        <v>7600</v>
      </c>
      <c r="C13" s="6"/>
      <c r="D13" s="41">
        <f>B13</f>
        <v>7600</v>
      </c>
      <c r="E13" s="6"/>
      <c r="F13" s="6"/>
      <c r="G13" s="6"/>
      <c r="H13" s="6"/>
      <c r="I13" s="6"/>
      <c r="J13" s="6"/>
    </row>
    <row r="14" spans="1:10" ht="15" customHeight="1" x14ac:dyDescent="0.2">
      <c r="A14" s="6" t="s">
        <v>140</v>
      </c>
      <c r="B14" s="7">
        <v>1</v>
      </c>
      <c r="C14" s="6"/>
      <c r="D14" s="15">
        <f>51/52</f>
        <v>0.98076923076923073</v>
      </c>
      <c r="E14" s="6"/>
      <c r="F14" s="6"/>
      <c r="G14" s="6"/>
      <c r="H14" s="6"/>
      <c r="I14" s="6"/>
      <c r="J14" s="6"/>
    </row>
    <row r="15" spans="1:10" ht="15" customHeight="1" x14ac:dyDescent="0.2">
      <c r="A15" s="6" t="s">
        <v>137</v>
      </c>
      <c r="B15" s="17">
        <v>0.04</v>
      </c>
      <c r="C15" s="6"/>
      <c r="D15" s="17">
        <f>B15</f>
        <v>0.04</v>
      </c>
      <c r="E15" s="6"/>
      <c r="F15" s="6"/>
      <c r="G15" s="6"/>
      <c r="H15" s="6"/>
      <c r="I15" s="6"/>
      <c r="J15" s="6"/>
    </row>
    <row r="16" spans="1:10" ht="15" customHeight="1" x14ac:dyDescent="0.2">
      <c r="A16" s="6" t="s">
        <v>225</v>
      </c>
      <c r="B16" s="17">
        <v>0.2</v>
      </c>
      <c r="C16" s="6"/>
      <c r="D16" s="17">
        <f>B16</f>
        <v>0.2</v>
      </c>
      <c r="E16" s="6"/>
      <c r="F16" s="6"/>
      <c r="G16" s="6"/>
      <c r="H16" s="6"/>
      <c r="I16" s="6"/>
      <c r="J16" s="6"/>
    </row>
    <row r="17" spans="1:10" ht="15" customHeight="1" x14ac:dyDescent="0.2">
      <c r="A17" s="6" t="s">
        <v>139</v>
      </c>
      <c r="B17" s="17">
        <v>0.01</v>
      </c>
      <c r="C17" s="6"/>
      <c r="D17" s="17">
        <f>B17</f>
        <v>0.01</v>
      </c>
      <c r="E17" s="6"/>
      <c r="F17" s="6"/>
      <c r="G17" s="6"/>
      <c r="H17" s="6"/>
      <c r="I17" s="6"/>
      <c r="J17" s="6"/>
    </row>
    <row r="18" spans="1:10" ht="1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ht="15" customHeight="1" x14ac:dyDescent="0.2">
      <c r="A19" s="6" t="s">
        <v>368</v>
      </c>
      <c r="B19" s="32">
        <f>(LN(B12/B13)+(B15-B17+0.5*B16^2)*B14)/(B16*SQRT(B14))</f>
        <v>0.25</v>
      </c>
      <c r="C19" s="6"/>
      <c r="D19" s="32">
        <f>(LN(D12/D13)+(D15-D17+0.5*D16^2)*D14)/(D16*SQRT(D14))</f>
        <v>0.39682042256048033</v>
      </c>
      <c r="E19" s="6"/>
      <c r="F19" s="6"/>
      <c r="G19" s="6"/>
      <c r="H19" s="6"/>
      <c r="I19" s="6"/>
      <c r="J19" s="6"/>
    </row>
    <row r="20" spans="1:10" ht="15" customHeight="1" x14ac:dyDescent="0.2">
      <c r="A20" s="6" t="s">
        <v>370</v>
      </c>
      <c r="B20" s="15">
        <f>NORMSDIST(-B19)</f>
        <v>0.4012936743170763</v>
      </c>
      <c r="C20" s="6"/>
      <c r="D20" s="15">
        <f>NORMSDIST(-D19)</f>
        <v>0.34574994478140963</v>
      </c>
      <c r="E20" s="6"/>
      <c r="F20" s="6"/>
      <c r="G20" s="6"/>
      <c r="H20" s="6"/>
      <c r="I20" s="6"/>
      <c r="J20" s="6"/>
    </row>
    <row r="21" spans="1:10" ht="15" customHeight="1" x14ac:dyDescent="0.2">
      <c r="A21" s="6" t="s">
        <v>532</v>
      </c>
      <c r="B21" s="15">
        <f>EXP(-B17*B14)</f>
        <v>0.99004983374916811</v>
      </c>
      <c r="C21" s="6"/>
      <c r="D21" s="15">
        <f>EXP(-D17*D14)</f>
        <v>0.99024024625627405</v>
      </c>
      <c r="E21" s="6"/>
      <c r="F21" s="6"/>
      <c r="G21" s="6"/>
      <c r="H21" s="6"/>
      <c r="I21" s="6"/>
      <c r="J21" s="6"/>
    </row>
    <row r="22" spans="1:10" ht="15" customHeight="1" x14ac:dyDescent="0.2">
      <c r="A22" s="6" t="s">
        <v>533</v>
      </c>
      <c r="B22" s="24">
        <f>B20*B21</f>
        <v>0.39730073554221418</v>
      </c>
      <c r="C22" s="6"/>
      <c r="D22" s="24">
        <f>D20*D21</f>
        <v>0.34237551046343623</v>
      </c>
      <c r="E22" s="6"/>
      <c r="F22" s="24">
        <f>B22-D22</f>
        <v>5.4925225078777951E-2</v>
      </c>
      <c r="G22" s="6"/>
      <c r="H22" s="6"/>
      <c r="I22" s="6"/>
      <c r="J22" s="6"/>
    </row>
    <row r="23" spans="1:10" ht="15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ht="15" customHeight="1" x14ac:dyDescent="0.2">
      <c r="A24" s="6" t="s">
        <v>534</v>
      </c>
      <c r="B24" s="15">
        <f>1/SQRT(2*PI())*EXP(-0.5*B19^2)</f>
        <v>0.38666811680284924</v>
      </c>
      <c r="C24" s="6"/>
      <c r="D24" s="6"/>
      <c r="E24" s="6"/>
      <c r="F24" s="6"/>
      <c r="G24" s="6"/>
      <c r="H24" s="6"/>
      <c r="I24" s="6"/>
      <c r="J24" s="6"/>
    </row>
    <row r="25" spans="1:10" ht="15" customHeight="1" x14ac:dyDescent="0.2">
      <c r="A25" s="6" t="s">
        <v>535</v>
      </c>
      <c r="B25" s="15">
        <f>B24*B21</f>
        <v>0.38282070475676483</v>
      </c>
      <c r="C25" s="6"/>
      <c r="D25" s="6"/>
      <c r="E25" s="6"/>
      <c r="F25" s="6"/>
      <c r="G25" s="6"/>
      <c r="H25" s="6"/>
      <c r="I25" s="6"/>
      <c r="J25" s="6"/>
    </row>
    <row r="26" spans="1:10" ht="15" customHeight="1" x14ac:dyDescent="0.2">
      <c r="A26" s="6" t="s">
        <v>536</v>
      </c>
      <c r="B26" s="42">
        <f>-B25/(B12*B16*SQRT(B14))</f>
        <v>-2.5185572681366106E-4</v>
      </c>
      <c r="C26" s="6"/>
      <c r="D26" s="6"/>
      <c r="E26" s="6"/>
      <c r="F26" s="6"/>
      <c r="G26" s="6"/>
      <c r="H26" s="6"/>
      <c r="I26" s="6"/>
      <c r="J26" s="6"/>
    </row>
    <row r="27" spans="1:10" ht="15" customHeight="1" x14ac:dyDescent="0.2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ht="15" customHeight="1" x14ac:dyDescent="0.2">
      <c r="A28" s="6" t="s">
        <v>537</v>
      </c>
      <c r="B28" s="43">
        <f>-B25*(B12*SQRT(B14))/100</f>
        <v>-29.094373561514125</v>
      </c>
      <c r="C28" s="6"/>
      <c r="D28" s="6"/>
      <c r="E28" s="6"/>
      <c r="F28" s="6"/>
      <c r="G28" s="6"/>
      <c r="H28" s="6"/>
      <c r="I28" s="6"/>
      <c r="J28" s="6"/>
    </row>
    <row r="29" spans="1:10" ht="15" customHeight="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ht="15" customHeight="1" x14ac:dyDescent="0.2">
      <c r="A30" s="53" t="s">
        <v>538</v>
      </c>
      <c r="B30" s="53"/>
      <c r="C30" s="53"/>
      <c r="D30" s="53"/>
      <c r="E30" s="53"/>
      <c r="F30" s="53"/>
      <c r="G30" s="53"/>
      <c r="H30" s="53"/>
      <c r="I30" s="53"/>
      <c r="J30" s="53"/>
    </row>
    <row r="31" spans="1:10" ht="15" customHeight="1" x14ac:dyDescent="0.2">
      <c r="A31" s="53" t="s">
        <v>539</v>
      </c>
      <c r="B31" s="53"/>
      <c r="C31" s="53"/>
      <c r="D31" s="53"/>
      <c r="E31" s="53"/>
      <c r="F31" s="53"/>
      <c r="G31" s="53"/>
      <c r="H31" s="53"/>
      <c r="I31" s="53"/>
      <c r="J31" s="53"/>
    </row>
    <row r="32" spans="1:10" ht="15" customHeight="1" x14ac:dyDescent="0.2">
      <c r="A32" s="53" t="s">
        <v>540</v>
      </c>
      <c r="B32" s="53"/>
      <c r="C32" s="53"/>
      <c r="D32" s="53"/>
      <c r="E32" s="53"/>
      <c r="F32" s="53"/>
      <c r="G32" s="53"/>
      <c r="H32" s="53"/>
      <c r="I32" s="53"/>
      <c r="J32" s="53"/>
    </row>
    <row r="33" spans="1:10" ht="15" customHeight="1" x14ac:dyDescent="0.2">
      <c r="A33" s="53" t="s">
        <v>541</v>
      </c>
      <c r="B33" s="53"/>
      <c r="C33" s="53"/>
      <c r="D33" s="53"/>
      <c r="E33" s="53"/>
      <c r="F33" s="53"/>
      <c r="G33" s="53"/>
      <c r="H33" s="53"/>
      <c r="I33" s="53"/>
      <c r="J33" s="53"/>
    </row>
    <row r="34" spans="1:10" ht="15" customHeight="1" x14ac:dyDescent="0.2">
      <c r="A34" s="53" t="s">
        <v>542</v>
      </c>
      <c r="B34" s="53"/>
      <c r="C34" s="53"/>
      <c r="D34" s="53"/>
      <c r="E34" s="53"/>
      <c r="F34" s="53"/>
      <c r="G34" s="53"/>
      <c r="H34" s="53"/>
      <c r="I34" s="53"/>
      <c r="J34" s="53"/>
    </row>
    <row r="35" spans="1:10" ht="15" customHeight="1" x14ac:dyDescent="0.2">
      <c r="A35" s="53" t="s">
        <v>543</v>
      </c>
      <c r="B35" s="53"/>
      <c r="C35" s="53"/>
      <c r="D35" s="53"/>
      <c r="E35" s="53"/>
      <c r="F35" s="53"/>
      <c r="G35" s="53"/>
      <c r="H35" s="53"/>
      <c r="I35" s="53"/>
      <c r="J35" s="53"/>
    </row>
    <row r="36" spans="1:10" ht="15" customHeight="1" x14ac:dyDescent="0.2">
      <c r="A36" s="53" t="s">
        <v>544</v>
      </c>
      <c r="B36" s="53"/>
      <c r="C36" s="53"/>
      <c r="D36" s="53"/>
      <c r="E36" s="53"/>
      <c r="F36" s="53"/>
      <c r="G36" s="53"/>
      <c r="H36" s="53"/>
      <c r="I36" s="53"/>
      <c r="J36" s="53"/>
    </row>
    <row r="37" spans="1:10" ht="15" customHeigh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ht="15" customHeight="1" x14ac:dyDescent="0.2">
      <c r="A38" s="51" t="s">
        <v>545</v>
      </c>
      <c r="B38" s="51"/>
      <c r="C38" s="51"/>
      <c r="D38" s="51"/>
      <c r="E38" s="51"/>
      <c r="F38" s="51"/>
      <c r="G38" s="51"/>
      <c r="H38" s="51"/>
      <c r="I38" s="51"/>
      <c r="J38" s="51"/>
    </row>
    <row r="39" spans="1:10" ht="15" customHeight="1" x14ac:dyDescent="0.2">
      <c r="A39" s="53" t="s">
        <v>546</v>
      </c>
      <c r="B39" s="53"/>
      <c r="C39" s="53"/>
      <c r="D39" s="53"/>
      <c r="E39" s="53"/>
      <c r="F39" s="53"/>
      <c r="G39" s="53"/>
      <c r="H39" s="53"/>
      <c r="I39" s="53"/>
      <c r="J39" s="53"/>
    </row>
    <row r="40" spans="1:10" ht="15" customHeight="1" x14ac:dyDescent="0.2">
      <c r="A40" s="53" t="s">
        <v>547</v>
      </c>
      <c r="B40" s="53"/>
      <c r="C40" s="53"/>
      <c r="D40" s="53"/>
      <c r="E40" s="53"/>
      <c r="F40" s="53"/>
      <c r="G40" s="53"/>
      <c r="H40" s="53"/>
      <c r="I40" s="53"/>
      <c r="J40" s="53"/>
    </row>
    <row r="41" spans="1:10" ht="15" customHeight="1" x14ac:dyDescent="0.2">
      <c r="A41" s="53" t="s">
        <v>548</v>
      </c>
      <c r="B41" s="53"/>
      <c r="C41" s="53"/>
      <c r="D41" s="53"/>
      <c r="E41" s="53"/>
      <c r="F41" s="53"/>
      <c r="G41" s="53"/>
      <c r="H41" s="53"/>
      <c r="I41" s="53"/>
      <c r="J41" s="53"/>
    </row>
    <row r="42" spans="1:10" ht="15" customHeight="1" x14ac:dyDescent="0.2">
      <c r="A42" s="53" t="s">
        <v>549</v>
      </c>
      <c r="B42" s="53"/>
      <c r="C42" s="53"/>
      <c r="D42" s="53"/>
      <c r="E42" s="53"/>
      <c r="F42" s="53"/>
      <c r="G42" s="53"/>
      <c r="H42" s="53"/>
      <c r="I42" s="53"/>
      <c r="J42" s="53"/>
    </row>
    <row r="43" spans="1:10" ht="15" customHeight="1" x14ac:dyDescent="0.2">
      <c r="A43" s="53" t="s">
        <v>550</v>
      </c>
      <c r="B43" s="53"/>
      <c r="C43" s="53"/>
      <c r="D43" s="53"/>
      <c r="E43" s="53"/>
      <c r="F43" s="53"/>
      <c r="G43" s="53"/>
      <c r="H43" s="53"/>
      <c r="I43" s="53"/>
      <c r="J43" s="53"/>
    </row>
    <row r="44" spans="1:10" ht="15" customHeight="1" x14ac:dyDescent="0.2">
      <c r="A44" s="53" t="s">
        <v>551</v>
      </c>
      <c r="B44" s="53"/>
      <c r="C44" s="53"/>
      <c r="D44" s="53"/>
      <c r="E44" s="53"/>
      <c r="F44" s="53"/>
      <c r="G44" s="53"/>
      <c r="H44" s="53"/>
      <c r="I44" s="53"/>
      <c r="J44" s="53"/>
    </row>
    <row r="45" spans="1:10" ht="15" customHeight="1" x14ac:dyDescent="0.2">
      <c r="A45" s="53" t="s">
        <v>552</v>
      </c>
      <c r="B45" s="53"/>
      <c r="C45" s="53"/>
      <c r="D45" s="53"/>
      <c r="E45" s="53"/>
      <c r="F45" s="53"/>
      <c r="G45" s="53"/>
      <c r="H45" s="53"/>
      <c r="I45" s="53"/>
      <c r="J45" s="53"/>
    </row>
    <row r="46" spans="1:10" ht="15" customHeight="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ht="15" customHeight="1" x14ac:dyDescent="0.2">
      <c r="A47" s="51" t="s">
        <v>8</v>
      </c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15" customHeight="1" x14ac:dyDescent="0.2">
      <c r="A48" s="6" t="s">
        <v>21</v>
      </c>
      <c r="B48" s="7">
        <v>40</v>
      </c>
      <c r="C48" s="6"/>
      <c r="D48" s="6" t="s">
        <v>21</v>
      </c>
      <c r="E48" s="7">
        <v>42</v>
      </c>
      <c r="F48" s="6"/>
      <c r="G48" s="6" t="s">
        <v>21</v>
      </c>
      <c r="H48" s="7">
        <v>38</v>
      </c>
      <c r="I48" s="6"/>
      <c r="J48" s="6"/>
    </row>
    <row r="49" spans="1:10" ht="15" customHeight="1" x14ac:dyDescent="0.2">
      <c r="A49" s="6" t="s">
        <v>11</v>
      </c>
      <c r="B49" s="7">
        <v>40</v>
      </c>
      <c r="C49" s="6"/>
      <c r="D49" s="6" t="s">
        <v>11</v>
      </c>
      <c r="E49" s="7">
        <v>40</v>
      </c>
      <c r="F49" s="6"/>
      <c r="G49" s="6" t="s">
        <v>11</v>
      </c>
      <c r="H49" s="7">
        <v>40</v>
      </c>
      <c r="I49" s="6"/>
      <c r="J49" s="6"/>
    </row>
    <row r="50" spans="1:10" ht="15" customHeight="1" x14ac:dyDescent="0.2">
      <c r="A50" s="6" t="s">
        <v>140</v>
      </c>
      <c r="B50" s="15">
        <f>3/12</f>
        <v>0.25</v>
      </c>
      <c r="C50" s="6"/>
      <c r="D50" s="6" t="s">
        <v>140</v>
      </c>
      <c r="E50" s="15">
        <f>3/12</f>
        <v>0.25</v>
      </c>
      <c r="F50" s="6"/>
      <c r="G50" s="6" t="s">
        <v>140</v>
      </c>
      <c r="H50" s="15">
        <f>3/12</f>
        <v>0.25</v>
      </c>
      <c r="I50" s="6"/>
      <c r="J50" s="6"/>
    </row>
    <row r="51" spans="1:10" ht="15" customHeight="1" x14ac:dyDescent="0.2">
      <c r="A51" s="6" t="s">
        <v>137</v>
      </c>
      <c r="B51" s="17">
        <v>0.05</v>
      </c>
      <c r="C51" s="6"/>
      <c r="D51" s="6" t="s">
        <v>137</v>
      </c>
      <c r="E51" s="17">
        <v>0.05</v>
      </c>
      <c r="F51" s="6"/>
      <c r="G51" s="6" t="s">
        <v>137</v>
      </c>
      <c r="H51" s="17">
        <v>0.05</v>
      </c>
      <c r="I51" s="6"/>
      <c r="J51" s="6"/>
    </row>
    <row r="52" spans="1:10" ht="15" customHeight="1" x14ac:dyDescent="0.2">
      <c r="A52" s="6" t="s">
        <v>225</v>
      </c>
      <c r="B52" s="17">
        <v>0.3</v>
      </c>
      <c r="C52" s="6"/>
      <c r="D52" s="6" t="s">
        <v>225</v>
      </c>
      <c r="E52" s="17">
        <v>0.3</v>
      </c>
      <c r="F52" s="6"/>
      <c r="G52" s="6" t="s">
        <v>225</v>
      </c>
      <c r="H52" s="17">
        <v>0.3</v>
      </c>
      <c r="I52" s="6"/>
      <c r="J52" s="6"/>
    </row>
    <row r="53" spans="1:10" ht="15" customHeight="1" x14ac:dyDescent="0.2">
      <c r="A53" s="6" t="s">
        <v>49</v>
      </c>
      <c r="B53" s="7">
        <v>-500000</v>
      </c>
      <c r="C53" s="6"/>
      <c r="D53" s="6" t="s">
        <v>49</v>
      </c>
      <c r="E53" s="7">
        <v>-500000</v>
      </c>
      <c r="F53" s="6"/>
      <c r="G53" s="6" t="s">
        <v>49</v>
      </c>
      <c r="H53" s="7">
        <v>-500000</v>
      </c>
      <c r="I53" s="6"/>
      <c r="J53" s="6"/>
    </row>
    <row r="54" spans="1:10" ht="1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ht="15" customHeight="1" x14ac:dyDescent="0.2">
      <c r="A55" s="6" t="s">
        <v>368</v>
      </c>
      <c r="B55" s="15">
        <f>(LN(B48/B49)+(B51+0.5*B52^2)*B50)/(B52*SQRT(B50))</f>
        <v>0.15833333333333335</v>
      </c>
      <c r="C55" s="6"/>
      <c r="D55" s="6" t="s">
        <v>368</v>
      </c>
      <c r="E55" s="15">
        <f>(LN(E48/E49)+(E51+0.5*E52^2)*E50)/(E52*SQRT(E50))</f>
        <v>0.4836010944628803</v>
      </c>
      <c r="F55" s="6"/>
      <c r="G55" s="6" t="s">
        <v>368</v>
      </c>
      <c r="H55" s="15">
        <f>(LN(H48/H49)+(H51+0.5*H52^2)*H50)/(H52*SQRT(H50))</f>
        <v>-0.18362196258367053</v>
      </c>
      <c r="I55" s="6"/>
      <c r="J55" s="6"/>
    </row>
    <row r="56" spans="1:10" ht="15" customHeight="1" x14ac:dyDescent="0.2">
      <c r="A56" s="6" t="s">
        <v>369</v>
      </c>
      <c r="B56" s="15">
        <f>NORMSDIST(B55)</f>
        <v>0.56290292839204015</v>
      </c>
      <c r="C56" s="6"/>
      <c r="D56" s="6" t="s">
        <v>369</v>
      </c>
      <c r="E56" s="15">
        <f>NORMSDIST(E55)</f>
        <v>0.68566550105640234</v>
      </c>
      <c r="F56" s="6"/>
      <c r="G56" s="6" t="s">
        <v>369</v>
      </c>
      <c r="H56" s="15">
        <f>NORMSDIST(H55)</f>
        <v>0.42715501621280322</v>
      </c>
      <c r="I56" s="6"/>
      <c r="J56" s="6"/>
    </row>
    <row r="57" spans="1:10" ht="1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ht="15" customHeight="1" x14ac:dyDescent="0.2">
      <c r="A58" s="6" t="s">
        <v>553</v>
      </c>
      <c r="B58" s="7">
        <f>B53*B56</f>
        <v>-281451.4641960201</v>
      </c>
      <c r="C58" s="6"/>
      <c r="D58" s="6" t="s">
        <v>553</v>
      </c>
      <c r="E58" s="7">
        <f>E53*E56</f>
        <v>-342832.75052820117</v>
      </c>
      <c r="F58" s="6"/>
      <c r="G58" s="6" t="s">
        <v>553</v>
      </c>
      <c r="H58" s="7">
        <f>H53*H56</f>
        <v>-213577.5081064016</v>
      </c>
      <c r="I58" s="6"/>
      <c r="J58" s="6"/>
    </row>
    <row r="59" spans="1:10" ht="15" customHeight="1" x14ac:dyDescent="0.2">
      <c r="A59" s="6"/>
      <c r="B59" s="6"/>
      <c r="C59" s="6"/>
      <c r="D59" s="6"/>
      <c r="E59" s="7">
        <f>E58-B58</f>
        <v>-61381.286332181073</v>
      </c>
      <c r="F59" s="6"/>
      <c r="G59" s="6"/>
      <c r="H59" s="7">
        <f>H58-B58</f>
        <v>67873.956089618499</v>
      </c>
      <c r="I59" s="6"/>
      <c r="J59" s="6"/>
    </row>
    <row r="60" spans="1:10" ht="1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ht="15" customHeight="1" x14ac:dyDescent="0.2">
      <c r="A61" s="53" t="s">
        <v>554</v>
      </c>
      <c r="B61" s="53"/>
      <c r="C61" s="53"/>
      <c r="D61" s="53"/>
      <c r="E61" s="53"/>
      <c r="F61" s="53"/>
      <c r="G61" s="53"/>
      <c r="H61" s="53"/>
      <c r="I61" s="53"/>
      <c r="J61" s="53"/>
    </row>
    <row r="62" spans="1:10" ht="15" customHeight="1" x14ac:dyDescent="0.2">
      <c r="A62" s="53" t="s">
        <v>555</v>
      </c>
      <c r="B62" s="53"/>
      <c r="C62" s="53"/>
      <c r="D62" s="53"/>
      <c r="E62" s="53"/>
      <c r="F62" s="53"/>
      <c r="G62" s="53"/>
      <c r="H62" s="53"/>
      <c r="I62" s="53"/>
      <c r="J62" s="53"/>
    </row>
    <row r="63" spans="1:10" ht="15" customHeight="1" x14ac:dyDescent="0.2">
      <c r="A63" s="53" t="s">
        <v>556</v>
      </c>
      <c r="B63" s="53"/>
      <c r="C63" s="53"/>
      <c r="D63" s="53"/>
      <c r="E63" s="53"/>
      <c r="F63" s="53"/>
      <c r="G63" s="53"/>
      <c r="H63" s="53"/>
      <c r="I63" s="53"/>
      <c r="J63" s="53"/>
    </row>
    <row r="64" spans="1:10" ht="15" customHeight="1" x14ac:dyDescent="0.2">
      <c r="A64" s="53" t="s">
        <v>557</v>
      </c>
      <c r="B64" s="53"/>
      <c r="C64" s="53"/>
      <c r="D64" s="53"/>
      <c r="E64" s="53"/>
      <c r="F64" s="53"/>
      <c r="G64" s="53"/>
      <c r="H64" s="53"/>
      <c r="I64" s="53"/>
      <c r="J64" s="53"/>
    </row>
    <row r="65" spans="1:10" ht="15" customHeight="1" x14ac:dyDescent="0.2">
      <c r="A65" s="53" t="s">
        <v>558</v>
      </c>
      <c r="B65" s="53"/>
      <c r="C65" s="53"/>
      <c r="D65" s="53"/>
      <c r="E65" s="53"/>
      <c r="F65" s="53"/>
      <c r="G65" s="53"/>
      <c r="H65" s="53"/>
      <c r="I65" s="53"/>
      <c r="J65" s="53"/>
    </row>
    <row r="66" spans="1:10" ht="15" customHeight="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ht="15" customHeight="1" x14ac:dyDescent="0.2">
      <c r="A67" s="51" t="s">
        <v>559</v>
      </c>
      <c r="B67" s="51"/>
      <c r="C67" s="51"/>
      <c r="D67" s="51"/>
      <c r="E67" s="51"/>
      <c r="F67" s="51"/>
      <c r="G67" s="51"/>
      <c r="H67" s="51"/>
      <c r="I67" s="51"/>
      <c r="J67" s="51"/>
    </row>
    <row r="68" spans="1:10" ht="15" customHeight="1" x14ac:dyDescent="0.2">
      <c r="A68" s="53" t="s">
        <v>560</v>
      </c>
      <c r="B68" s="53"/>
      <c r="C68" s="53"/>
      <c r="D68" s="53"/>
      <c r="E68" s="53"/>
      <c r="F68" s="53"/>
      <c r="G68" s="53"/>
      <c r="H68" s="53"/>
      <c r="I68" s="53"/>
      <c r="J68" s="53"/>
    </row>
    <row r="69" spans="1:10" ht="15" customHeight="1" x14ac:dyDescent="0.2">
      <c r="A69" s="53" t="s">
        <v>561</v>
      </c>
      <c r="B69" s="53"/>
      <c r="C69" s="53"/>
      <c r="D69" s="53"/>
      <c r="E69" s="53"/>
      <c r="F69" s="53"/>
      <c r="G69" s="53"/>
      <c r="H69" s="53"/>
      <c r="I69" s="53"/>
      <c r="J69" s="53"/>
    </row>
    <row r="70" spans="1:10" ht="15" customHeight="1" x14ac:dyDescent="0.2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ht="15" customHeight="1" x14ac:dyDescent="0.2">
      <c r="A71" s="6"/>
      <c r="B71" s="1" t="s">
        <v>553</v>
      </c>
      <c r="C71" s="1" t="s">
        <v>562</v>
      </c>
      <c r="D71" s="1" t="s">
        <v>563</v>
      </c>
      <c r="E71" s="6"/>
      <c r="F71" s="6"/>
      <c r="G71" s="6"/>
      <c r="H71" s="6"/>
      <c r="I71" s="6"/>
      <c r="J71" s="6"/>
    </row>
    <row r="72" spans="1:10" ht="15" customHeight="1" x14ac:dyDescent="0.2">
      <c r="A72" s="6" t="s">
        <v>564</v>
      </c>
      <c r="B72" s="44">
        <v>0.5</v>
      </c>
      <c r="C72" s="44">
        <v>-1000</v>
      </c>
      <c r="D72" s="44">
        <v>-500</v>
      </c>
      <c r="E72" s="6"/>
      <c r="F72" s="6"/>
      <c r="G72" s="6"/>
      <c r="H72" s="6"/>
      <c r="I72" s="6"/>
      <c r="J72" s="6"/>
    </row>
    <row r="73" spans="1:10" ht="15" customHeight="1" x14ac:dyDescent="0.2">
      <c r="A73" s="6" t="s">
        <v>565</v>
      </c>
      <c r="B73" s="44">
        <v>-0.03</v>
      </c>
      <c r="C73" s="44">
        <v>10</v>
      </c>
      <c r="D73" s="44">
        <v>2.5</v>
      </c>
      <c r="E73" s="6"/>
      <c r="F73" s="6"/>
      <c r="G73" s="6"/>
      <c r="H73" s="6"/>
      <c r="I73" s="6"/>
      <c r="J73" s="6"/>
    </row>
    <row r="74" spans="1:10" ht="15" customHeight="1" x14ac:dyDescent="0.2">
      <c r="A74" s="6" t="s">
        <v>566</v>
      </c>
      <c r="B74" s="44">
        <v>0.1</v>
      </c>
      <c r="C74" s="44">
        <v>80</v>
      </c>
      <c r="D74" s="44">
        <v>10</v>
      </c>
      <c r="E74" s="6"/>
      <c r="F74" s="6"/>
      <c r="G74" s="6"/>
      <c r="H74" s="6"/>
      <c r="I74" s="6"/>
      <c r="J74" s="6"/>
    </row>
    <row r="75" spans="1:10" ht="15" customHeight="1" x14ac:dyDescent="0.2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ht="15" customHeight="1" x14ac:dyDescent="0.2">
      <c r="A76" s="53" t="s">
        <v>567</v>
      </c>
      <c r="B76" s="53"/>
      <c r="C76" s="53"/>
      <c r="D76" s="53"/>
      <c r="E76" s="53"/>
      <c r="F76" s="53"/>
      <c r="G76" s="53"/>
      <c r="H76" s="53"/>
      <c r="I76" s="53"/>
      <c r="J76" s="53"/>
    </row>
    <row r="77" spans="1:10" ht="15" customHeight="1" x14ac:dyDescent="0.2">
      <c r="A77" s="53" t="s">
        <v>568</v>
      </c>
      <c r="B77" s="53"/>
      <c r="C77" s="53"/>
      <c r="D77" s="53"/>
      <c r="E77" s="53"/>
      <c r="F77" s="53"/>
      <c r="G77" s="53"/>
      <c r="H77" s="53"/>
      <c r="I77" s="53"/>
      <c r="J77" s="53"/>
    </row>
    <row r="78" spans="1:10" ht="15" customHeight="1" x14ac:dyDescent="0.2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ht="15" customHeight="1" x14ac:dyDescent="0.2">
      <c r="A79" s="51" t="s">
        <v>8</v>
      </c>
      <c r="B79" s="51"/>
      <c r="C79" s="51"/>
      <c r="D79" s="51"/>
      <c r="E79" s="51"/>
      <c r="F79" s="51"/>
      <c r="G79" s="51"/>
      <c r="H79" s="51"/>
      <c r="I79" s="51"/>
      <c r="J79" s="51"/>
    </row>
    <row r="80" spans="1:10" ht="15" customHeight="1" x14ac:dyDescent="0.2">
      <c r="A80" s="6"/>
      <c r="B80" s="37" t="s">
        <v>553</v>
      </c>
      <c r="C80" s="37" t="s">
        <v>562</v>
      </c>
      <c r="D80" s="37" t="s">
        <v>563</v>
      </c>
      <c r="E80" s="6"/>
      <c r="F80" s="38" t="s">
        <v>50</v>
      </c>
      <c r="G80" s="6"/>
      <c r="H80" s="37" t="s">
        <v>562</v>
      </c>
      <c r="I80" s="37" t="s">
        <v>563</v>
      </c>
      <c r="J80" s="37" t="s">
        <v>569</v>
      </c>
    </row>
    <row r="81" spans="1:10" ht="15" customHeight="1" x14ac:dyDescent="0.2">
      <c r="A81" s="6"/>
      <c r="B81" s="6"/>
      <c r="C81" s="6"/>
      <c r="D81" s="6"/>
      <c r="E81" s="6"/>
      <c r="F81" s="6"/>
      <c r="G81" s="6"/>
      <c r="H81" s="6"/>
      <c r="I81" s="6"/>
      <c r="J81" s="37" t="s">
        <v>570</v>
      </c>
    </row>
    <row r="82" spans="1:10" ht="15" customHeight="1" x14ac:dyDescent="0.2">
      <c r="A82" s="6"/>
      <c r="B82" s="6"/>
      <c r="C82" s="6"/>
      <c r="D82" s="6"/>
      <c r="E82" s="6"/>
      <c r="F82" s="6"/>
      <c r="G82" s="6"/>
      <c r="H82" s="6"/>
      <c r="I82" s="6"/>
      <c r="J82" s="37" t="s">
        <v>571</v>
      </c>
    </row>
    <row r="83" spans="1:10" ht="15" customHeight="1" x14ac:dyDescent="0.2">
      <c r="A83" s="6" t="s">
        <v>564</v>
      </c>
      <c r="B83" s="44">
        <v>0.5</v>
      </c>
      <c r="C83" s="44">
        <v>-1000</v>
      </c>
      <c r="D83" s="44">
        <v>-500</v>
      </c>
      <c r="E83" s="6"/>
      <c r="F83" s="15">
        <f>-J83</f>
        <v>11</v>
      </c>
      <c r="G83" s="6"/>
      <c r="H83" s="7">
        <f>C83+F84*C84+F85*C85</f>
        <v>0</v>
      </c>
      <c r="I83" s="7">
        <f>D83+F84*D84+F85*D85</f>
        <v>0</v>
      </c>
      <c r="J83" s="7">
        <f>B83+F84*B84+F85*B85</f>
        <v>-11</v>
      </c>
    </row>
    <row r="84" spans="1:10" ht="15" customHeight="1" x14ac:dyDescent="0.2">
      <c r="A84" s="6" t="s">
        <v>565</v>
      </c>
      <c r="B84" s="44">
        <v>-0.03</v>
      </c>
      <c r="C84" s="44">
        <v>10</v>
      </c>
      <c r="D84" s="44">
        <v>2.5</v>
      </c>
      <c r="E84" s="6"/>
      <c r="F84" s="15">
        <f>(C85*D83-D85*C83)/(C84*D85-C85*D84)</f>
        <v>300</v>
      </c>
      <c r="G84" s="6"/>
      <c r="H84" s="6"/>
      <c r="I84" s="6"/>
      <c r="J84" s="6"/>
    </row>
    <row r="85" spans="1:10" ht="15" customHeight="1" x14ac:dyDescent="0.2">
      <c r="A85" s="6" t="s">
        <v>566</v>
      </c>
      <c r="B85" s="44">
        <v>0.1</v>
      </c>
      <c r="C85" s="44">
        <v>80</v>
      </c>
      <c r="D85" s="44">
        <v>10</v>
      </c>
      <c r="E85" s="6"/>
      <c r="F85" s="15">
        <f>(D84*C83-C84*D83)/(C84*D85-C85*D84)</f>
        <v>-25</v>
      </c>
      <c r="G85" s="6"/>
      <c r="H85" s="6"/>
      <c r="I85" s="6"/>
      <c r="J85" s="6"/>
    </row>
    <row r="86" spans="1:10" ht="15" customHeight="1" x14ac:dyDescent="0.2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spans="1:10" ht="15" customHeight="1" x14ac:dyDescent="0.2">
      <c r="A87" s="6" t="s">
        <v>572</v>
      </c>
      <c r="B87" s="15">
        <f>J83+F83</f>
        <v>0</v>
      </c>
      <c r="C87" s="6"/>
      <c r="D87" s="6"/>
      <c r="E87" s="6"/>
      <c r="F87" s="6"/>
      <c r="G87" s="6"/>
      <c r="H87" s="6"/>
      <c r="I87" s="6"/>
      <c r="J87" s="6"/>
    </row>
    <row r="88" spans="1:10" ht="15" customHeight="1" x14ac:dyDescent="0.2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spans="1:10" ht="15" customHeight="1" x14ac:dyDescent="0.2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spans="1:10" ht="15" customHeight="1" x14ac:dyDescent="0.2">
      <c r="A90" s="51" t="s">
        <v>573</v>
      </c>
      <c r="B90" s="51"/>
      <c r="C90" s="51"/>
      <c r="D90" s="51"/>
      <c r="E90" s="51"/>
      <c r="F90" s="51"/>
      <c r="G90" s="51"/>
      <c r="H90" s="51"/>
      <c r="I90" s="51"/>
      <c r="J90" s="51"/>
    </row>
    <row r="91" spans="1:10" ht="15" customHeight="1" x14ac:dyDescent="0.2">
      <c r="A91" s="53" t="s">
        <v>574</v>
      </c>
      <c r="B91" s="53"/>
      <c r="C91" s="53"/>
      <c r="D91" s="53"/>
      <c r="E91" s="53"/>
      <c r="F91" s="53"/>
      <c r="G91" s="53"/>
      <c r="H91" s="53"/>
      <c r="I91" s="53"/>
      <c r="J91" s="53"/>
    </row>
    <row r="92" spans="1:10" ht="15" customHeight="1" x14ac:dyDescent="0.2">
      <c r="A92" s="53" t="s">
        <v>575</v>
      </c>
      <c r="B92" s="53"/>
      <c r="C92" s="53"/>
      <c r="D92" s="53"/>
      <c r="E92" s="53"/>
      <c r="F92" s="53"/>
      <c r="G92" s="53"/>
      <c r="H92" s="53"/>
      <c r="I92" s="53"/>
      <c r="J92" s="53"/>
    </row>
    <row r="93" spans="1:10" ht="15" customHeight="1" x14ac:dyDescent="0.2">
      <c r="A93" s="53" t="s">
        <v>576</v>
      </c>
      <c r="B93" s="53"/>
      <c r="C93" s="53"/>
      <c r="D93" s="53"/>
      <c r="E93" s="53"/>
      <c r="F93" s="53"/>
      <c r="G93" s="53"/>
      <c r="H93" s="53"/>
      <c r="I93" s="53"/>
      <c r="J93" s="53"/>
    </row>
    <row r="94" spans="1:10" ht="15" customHeight="1" x14ac:dyDescent="0.2">
      <c r="A94" s="53" t="s">
        <v>577</v>
      </c>
      <c r="B94" s="53"/>
      <c r="C94" s="53"/>
      <c r="D94" s="53"/>
      <c r="E94" s="53"/>
      <c r="F94" s="53"/>
      <c r="G94" s="53"/>
      <c r="H94" s="53"/>
      <c r="I94" s="53"/>
      <c r="J94" s="53"/>
    </row>
    <row r="95" spans="1:10" ht="15" customHeight="1" x14ac:dyDescent="0.2">
      <c r="A95" s="53" t="s">
        <v>578</v>
      </c>
      <c r="B95" s="53"/>
      <c r="C95" s="53"/>
      <c r="D95" s="53"/>
      <c r="E95" s="53"/>
      <c r="F95" s="53"/>
      <c r="G95" s="53"/>
      <c r="H95" s="53"/>
      <c r="I95" s="53"/>
      <c r="J95" s="53"/>
    </row>
    <row r="96" spans="1:10" ht="15" customHeight="1" x14ac:dyDescent="0.2">
      <c r="A96" s="53" t="s">
        <v>579</v>
      </c>
      <c r="B96" s="53"/>
      <c r="C96" s="53"/>
      <c r="D96" s="53"/>
      <c r="E96" s="53"/>
      <c r="F96" s="53"/>
      <c r="G96" s="53"/>
      <c r="H96" s="53"/>
      <c r="I96" s="53"/>
      <c r="J96" s="53"/>
    </row>
    <row r="97" spans="1:10" ht="15" customHeight="1" x14ac:dyDescent="0.2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pans="1:10" ht="15" customHeight="1" x14ac:dyDescent="0.2">
      <c r="A98" s="51" t="s">
        <v>8</v>
      </c>
      <c r="B98" s="51"/>
      <c r="C98" s="51"/>
      <c r="D98" s="51"/>
      <c r="E98" s="51"/>
      <c r="F98" s="51"/>
      <c r="G98" s="51"/>
      <c r="H98" s="51"/>
      <c r="I98" s="51"/>
      <c r="J98" s="51"/>
    </row>
    <row r="99" spans="1:10" ht="15" customHeight="1" x14ac:dyDescent="0.2">
      <c r="A99" s="6" t="s">
        <v>21</v>
      </c>
      <c r="B99" s="8">
        <v>150</v>
      </c>
      <c r="C99" s="8">
        <v>145</v>
      </c>
      <c r="D99" s="8">
        <v>148</v>
      </c>
      <c r="E99" s="6"/>
      <c r="F99" s="6"/>
      <c r="G99" s="6"/>
      <c r="H99" s="6"/>
      <c r="I99" s="6"/>
      <c r="J99" s="6"/>
    </row>
    <row r="100" spans="1:10" ht="15" customHeight="1" x14ac:dyDescent="0.2">
      <c r="A100" s="2" t="s">
        <v>11</v>
      </c>
      <c r="B100" s="8">
        <v>145</v>
      </c>
      <c r="C100" s="6"/>
      <c r="D100" s="6"/>
      <c r="E100" s="6"/>
      <c r="F100" s="6"/>
      <c r="G100" s="6"/>
      <c r="H100" s="6"/>
      <c r="I100" s="6"/>
      <c r="J100" s="6"/>
    </row>
    <row r="101" spans="1:10" ht="15" customHeight="1" x14ac:dyDescent="0.2">
      <c r="A101" s="6" t="s">
        <v>580</v>
      </c>
      <c r="B101" s="7">
        <v>24</v>
      </c>
      <c r="C101" s="7">
        <v>23</v>
      </c>
      <c r="D101" s="7">
        <v>22</v>
      </c>
      <c r="E101" s="6"/>
      <c r="F101" s="6"/>
      <c r="G101" s="6"/>
      <c r="H101" s="6"/>
      <c r="I101" s="6"/>
      <c r="J101" s="6"/>
    </row>
    <row r="102" spans="1:10" ht="15" customHeight="1" x14ac:dyDescent="0.2">
      <c r="A102" s="2" t="s">
        <v>140</v>
      </c>
      <c r="B102" s="15">
        <f>B101/52</f>
        <v>0.46153846153846156</v>
      </c>
      <c r="C102" s="15">
        <f>C101/52</f>
        <v>0.44230769230769229</v>
      </c>
      <c r="D102" s="15">
        <f>D101/52</f>
        <v>0.42307692307692307</v>
      </c>
      <c r="E102" s="6"/>
      <c r="F102" s="6"/>
      <c r="G102" s="6"/>
      <c r="H102" s="6"/>
      <c r="I102" s="6"/>
      <c r="J102" s="6"/>
    </row>
    <row r="103" spans="1:10" ht="15" customHeight="1" x14ac:dyDescent="0.2">
      <c r="A103" s="2" t="s">
        <v>137</v>
      </c>
      <c r="B103" s="17">
        <v>0.04</v>
      </c>
      <c r="C103" s="6"/>
      <c r="D103" s="6"/>
      <c r="E103" s="6"/>
      <c r="F103" s="6"/>
      <c r="G103" s="6"/>
      <c r="H103" s="6"/>
      <c r="I103" s="6"/>
      <c r="J103" s="6"/>
    </row>
    <row r="104" spans="1:10" ht="15" customHeight="1" x14ac:dyDescent="0.2">
      <c r="A104" s="2" t="s">
        <v>139</v>
      </c>
      <c r="B104" s="17">
        <v>0.03</v>
      </c>
      <c r="C104" s="6"/>
      <c r="D104" s="6"/>
      <c r="E104" s="6"/>
      <c r="F104" s="6"/>
      <c r="G104" s="6"/>
      <c r="H104" s="6"/>
      <c r="I104" s="6"/>
      <c r="J104" s="6"/>
    </row>
    <row r="105" spans="1:10" ht="15" customHeight="1" x14ac:dyDescent="0.2">
      <c r="A105" s="2" t="s">
        <v>346</v>
      </c>
      <c r="B105" s="17">
        <v>0.15</v>
      </c>
      <c r="C105" s="6"/>
      <c r="D105" s="6"/>
      <c r="E105" s="6"/>
      <c r="F105" s="6"/>
      <c r="G105" s="6"/>
      <c r="H105" s="6"/>
      <c r="I105" s="6"/>
      <c r="J105" s="6"/>
    </row>
    <row r="106" spans="1:10" ht="1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</row>
    <row r="107" spans="1:10" ht="15" customHeight="1" x14ac:dyDescent="0.2">
      <c r="A107" s="2" t="s">
        <v>368</v>
      </c>
      <c r="B107" s="24">
        <f>(LN(B99/B100)+(B103-B104+B105^2/2)*B102)/(B105*SQRT(B102))</f>
        <v>0.4289217672323733</v>
      </c>
      <c r="C107" s="24">
        <f>(LN(C99/B100)+(B103-B104+B105^2/2)*C102)/(B105*SQRT(C102))</f>
        <v>9.4217140999499988E-2</v>
      </c>
      <c r="D107" s="24">
        <f>(LN(D99/B100)+(B103-B104+B105^2/2)*D102)/(B105*SQRT(D102))</f>
        <v>0.30203914524979941</v>
      </c>
      <c r="E107" s="6"/>
      <c r="F107" s="6"/>
      <c r="G107" s="6"/>
      <c r="H107" s="6"/>
      <c r="I107" s="6"/>
      <c r="J107" s="6"/>
    </row>
    <row r="108" spans="1:10" ht="15" customHeight="1" x14ac:dyDescent="0.2">
      <c r="A108" s="2" t="s">
        <v>371</v>
      </c>
      <c r="B108" s="24">
        <f>B107-B105*SQRT(B102)</f>
        <v>0.32701683415935967</v>
      </c>
      <c r="C108" s="15">
        <f>C107-B105*SQRT(C102)</f>
        <v>-5.5421847646764388E-3</v>
      </c>
      <c r="D108" s="15">
        <f>D107-B105*SQRT(D102)</f>
        <v>0.20447259991160077</v>
      </c>
      <c r="E108" s="6"/>
      <c r="F108" s="6" t="s">
        <v>581</v>
      </c>
      <c r="G108" s="6" t="s">
        <v>582</v>
      </c>
      <c r="H108" s="6"/>
      <c r="I108" s="6"/>
      <c r="J108" s="6"/>
    </row>
    <row r="109" spans="1:10" ht="15" customHeight="1" x14ac:dyDescent="0.2">
      <c r="A109" s="6"/>
      <c r="B109" s="6"/>
      <c r="C109" s="6"/>
      <c r="D109" s="6"/>
      <c r="E109" s="6"/>
      <c r="F109" s="6" t="s">
        <v>583</v>
      </c>
      <c r="G109" s="6"/>
      <c r="H109" s="6"/>
      <c r="I109" s="6"/>
      <c r="J109" s="6"/>
    </row>
    <row r="110" spans="1:10" ht="15" customHeight="1" x14ac:dyDescent="0.2">
      <c r="A110" s="6" t="s">
        <v>508</v>
      </c>
      <c r="B110" s="20">
        <f t="shared" ref="B110:D111" si="0">NORMSDIST(-B107)</f>
        <v>0.33399007936783465</v>
      </c>
      <c r="C110" s="20">
        <f t="shared" si="0"/>
        <v>0.46246833439673696</v>
      </c>
      <c r="D110" s="20">
        <f t="shared" si="0"/>
        <v>0.38131111102710213</v>
      </c>
      <c r="E110" s="6"/>
      <c r="F110" s="26">
        <f>C113-B113</f>
        <v>0.12697480012482326</v>
      </c>
      <c r="G110" s="26">
        <f>C113-D113</f>
        <v>7.9870292690150779E-2</v>
      </c>
      <c r="H110" s="6"/>
      <c r="I110" s="6"/>
      <c r="J110" s="6"/>
    </row>
    <row r="111" spans="1:10" ht="15" customHeight="1" x14ac:dyDescent="0.2">
      <c r="A111" s="6" t="s">
        <v>509</v>
      </c>
      <c r="B111" s="24">
        <f t="shared" si="0"/>
        <v>0.37182757639666797</v>
      </c>
      <c r="C111" s="24">
        <f t="shared" si="0"/>
        <v>0.50221100050964096</v>
      </c>
      <c r="D111" s="24">
        <f t="shared" si="0"/>
        <v>0.41899210088407307</v>
      </c>
      <c r="E111" s="6"/>
      <c r="F111" s="6"/>
      <c r="G111" s="6"/>
      <c r="H111" s="6"/>
      <c r="I111" s="6"/>
      <c r="J111" s="6"/>
    </row>
    <row r="112" spans="1:10" ht="15" customHeight="1" x14ac:dyDescent="0.2">
      <c r="A112" s="2" t="s">
        <v>22</v>
      </c>
      <c r="B112" s="28">
        <f>B100*EXP(-B103*B102)*B111-B99*EXP(-B104*B102)*B110</f>
        <v>3.5191559019389729</v>
      </c>
      <c r="C112" s="6"/>
      <c r="D112" s="6"/>
      <c r="E112" s="6"/>
      <c r="F112" s="6"/>
      <c r="G112" s="6"/>
      <c r="H112" s="6"/>
      <c r="I112" s="6"/>
      <c r="J112" s="6"/>
    </row>
    <row r="113" spans="1:10" ht="15" customHeight="1" x14ac:dyDescent="0.2">
      <c r="A113" s="6" t="s">
        <v>584</v>
      </c>
      <c r="B113" s="26">
        <f>EXP(-B104*B102)*B110</f>
        <v>0.32939746970858641</v>
      </c>
      <c r="C113" s="26">
        <f>EXP(-B104*C102)*C110</f>
        <v>0.45637226983340967</v>
      </c>
      <c r="D113" s="26">
        <f>EXP(-B104*D102)*D110</f>
        <v>0.37650197714325889</v>
      </c>
      <c r="E113" s="6"/>
      <c r="F113" s="6"/>
      <c r="G113" s="6"/>
      <c r="H113" s="6"/>
      <c r="I113" s="6"/>
      <c r="J113" s="6"/>
    </row>
    <row r="114" spans="1:10" ht="1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</row>
    <row r="115" spans="1:10" ht="15" customHeight="1" x14ac:dyDescent="0.2">
      <c r="A115" s="53" t="s">
        <v>585</v>
      </c>
      <c r="B115" s="53"/>
      <c r="C115" s="53"/>
      <c r="D115" s="53"/>
      <c r="E115" s="53"/>
      <c r="F115" s="53"/>
      <c r="G115" s="53"/>
      <c r="H115" s="53"/>
      <c r="I115" s="53"/>
      <c r="J115" s="53"/>
    </row>
    <row r="116" spans="1:10" ht="1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 spans="1:10" ht="15" customHeight="1" x14ac:dyDescent="0.2">
      <c r="A117" s="51" t="s">
        <v>586</v>
      </c>
      <c r="B117" s="51"/>
      <c r="C117" s="51"/>
      <c r="D117" s="51"/>
      <c r="E117" s="51"/>
      <c r="F117" s="51"/>
      <c r="G117" s="51"/>
      <c r="H117" s="51"/>
      <c r="I117" s="51"/>
      <c r="J117" s="51"/>
    </row>
    <row r="118" spans="1:10" ht="15" customHeight="1" x14ac:dyDescent="0.2">
      <c r="A118" s="53" t="s">
        <v>587</v>
      </c>
      <c r="B118" s="53"/>
      <c r="C118" s="53"/>
      <c r="D118" s="53"/>
      <c r="E118" s="53"/>
      <c r="F118" s="53"/>
      <c r="G118" s="53"/>
      <c r="H118" s="53"/>
      <c r="I118" s="53"/>
      <c r="J118" s="53"/>
    </row>
    <row r="119" spans="1:10" ht="1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</row>
    <row r="120" spans="1:10" ht="15" customHeight="1" x14ac:dyDescent="0.2">
      <c r="A120" s="6"/>
      <c r="B120" s="1" t="s">
        <v>588</v>
      </c>
      <c r="C120" s="1" t="s">
        <v>589</v>
      </c>
      <c r="D120" s="1" t="s">
        <v>590</v>
      </c>
      <c r="E120" s="6"/>
      <c r="F120" s="6"/>
      <c r="G120" s="6"/>
      <c r="H120" s="6"/>
      <c r="I120" s="6"/>
      <c r="J120" s="6"/>
    </row>
    <row r="121" spans="1:10" ht="15" customHeight="1" x14ac:dyDescent="0.2">
      <c r="A121" s="6" t="s">
        <v>591</v>
      </c>
      <c r="B121" s="15">
        <v>90</v>
      </c>
      <c r="C121" s="15">
        <v>100</v>
      </c>
      <c r="D121" s="15">
        <v>110</v>
      </c>
      <c r="E121" s="6"/>
      <c r="F121" s="6"/>
      <c r="G121" s="6"/>
      <c r="H121" s="6"/>
      <c r="I121" s="6"/>
      <c r="J121" s="6"/>
    </row>
    <row r="122" spans="1:10" ht="15" customHeight="1" x14ac:dyDescent="0.2">
      <c r="A122" s="6" t="s">
        <v>592</v>
      </c>
      <c r="B122" s="15">
        <v>180</v>
      </c>
      <c r="C122" s="15">
        <v>180</v>
      </c>
      <c r="D122" s="15">
        <v>180</v>
      </c>
      <c r="E122" s="6"/>
      <c r="F122" s="6"/>
      <c r="G122" s="6"/>
      <c r="H122" s="6"/>
      <c r="I122" s="6"/>
      <c r="J122" s="6"/>
    </row>
    <row r="123" spans="1:10" ht="15" customHeight="1" x14ac:dyDescent="0.2">
      <c r="A123" s="6" t="s">
        <v>593</v>
      </c>
      <c r="B123" s="15">
        <v>16.329999999999998</v>
      </c>
      <c r="C123" s="15">
        <v>10.3</v>
      </c>
      <c r="D123" s="15">
        <v>6.06</v>
      </c>
      <c r="E123" s="6"/>
      <c r="F123" s="6"/>
      <c r="G123" s="6"/>
      <c r="H123" s="6"/>
      <c r="I123" s="6"/>
      <c r="J123" s="6"/>
    </row>
    <row r="124" spans="1:10" ht="15" customHeight="1" x14ac:dyDescent="0.2">
      <c r="A124" s="6" t="s">
        <v>553</v>
      </c>
      <c r="B124" s="15">
        <v>0.78600000000000003</v>
      </c>
      <c r="C124" s="15">
        <v>0.61509999999999998</v>
      </c>
      <c r="D124" s="15">
        <v>0.4365</v>
      </c>
      <c r="E124" s="6"/>
      <c r="F124" s="6"/>
      <c r="G124" s="6"/>
      <c r="H124" s="6"/>
      <c r="I124" s="6"/>
      <c r="J124" s="6"/>
    </row>
    <row r="125" spans="1:10" ht="15" customHeight="1" x14ac:dyDescent="0.2">
      <c r="A125" s="6" t="s">
        <v>562</v>
      </c>
      <c r="B125" s="15">
        <v>1.38E-2</v>
      </c>
      <c r="C125" s="15">
        <v>1.8100000000000002E-2</v>
      </c>
      <c r="D125" s="15">
        <v>1.8700000000000001E-2</v>
      </c>
      <c r="E125" s="6"/>
      <c r="F125" s="6"/>
      <c r="G125" s="6"/>
      <c r="H125" s="6"/>
      <c r="I125" s="6"/>
      <c r="J125" s="6"/>
    </row>
    <row r="126" spans="1:10" ht="15" customHeight="1" x14ac:dyDescent="0.2">
      <c r="A126" s="6" t="s">
        <v>594</v>
      </c>
      <c r="B126" s="15">
        <v>-11.205399999999999</v>
      </c>
      <c r="C126" s="15">
        <v>-12.2607</v>
      </c>
      <c r="D126" s="15">
        <v>-11.4208</v>
      </c>
      <c r="E126" s="6"/>
      <c r="F126" s="6"/>
      <c r="G126" s="6"/>
      <c r="H126" s="6"/>
      <c r="I126" s="6"/>
      <c r="J126" s="6"/>
    </row>
    <row r="127" spans="1:10" ht="15" customHeight="1" x14ac:dyDescent="0.2">
      <c r="A127" s="6" t="s">
        <v>563</v>
      </c>
      <c r="B127" s="15">
        <v>20.4619</v>
      </c>
      <c r="C127" s="15">
        <v>26.8416</v>
      </c>
      <c r="D127" s="15">
        <v>27.6602</v>
      </c>
      <c r="E127" s="6"/>
      <c r="F127" s="6"/>
      <c r="G127" s="6"/>
      <c r="H127" s="6"/>
      <c r="I127" s="6"/>
      <c r="J127" s="6"/>
    </row>
    <row r="128" spans="1:10" ht="15" customHeight="1" x14ac:dyDescent="0.2">
      <c r="A128" s="6" t="s">
        <v>595</v>
      </c>
      <c r="B128" s="15">
        <v>30.708500000000001</v>
      </c>
      <c r="C128" s="15">
        <v>25.2515</v>
      </c>
      <c r="D128" s="15">
        <v>18.539400000000001</v>
      </c>
      <c r="E128" s="6"/>
      <c r="F128" s="6"/>
      <c r="G128" s="6"/>
      <c r="H128" s="6"/>
      <c r="I128" s="6"/>
      <c r="J128" s="6"/>
    </row>
    <row r="129" spans="1:10" ht="1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</row>
    <row r="130" spans="1:10" ht="15" customHeight="1" x14ac:dyDescent="0.2">
      <c r="A130" s="53" t="s">
        <v>596</v>
      </c>
      <c r="B130" s="53"/>
      <c r="C130" s="53"/>
      <c r="D130" s="53"/>
      <c r="E130" s="53"/>
      <c r="F130" s="53"/>
      <c r="G130" s="53"/>
      <c r="H130" s="53"/>
      <c r="I130" s="53"/>
      <c r="J130" s="53"/>
    </row>
    <row r="131" spans="1:10" ht="15" customHeight="1" x14ac:dyDescent="0.2">
      <c r="A131" s="53" t="s">
        <v>597</v>
      </c>
      <c r="B131" s="53"/>
      <c r="C131" s="53"/>
      <c r="D131" s="53"/>
      <c r="E131" s="53"/>
      <c r="F131" s="53"/>
      <c r="G131" s="53"/>
      <c r="H131" s="53"/>
      <c r="I131" s="53"/>
      <c r="J131" s="53"/>
    </row>
    <row r="132" spans="1:10" ht="15" customHeight="1" x14ac:dyDescent="0.2">
      <c r="A132" s="53" t="s">
        <v>598</v>
      </c>
      <c r="B132" s="53"/>
      <c r="C132" s="53"/>
      <c r="D132" s="53"/>
      <c r="E132" s="53"/>
      <c r="F132" s="53"/>
      <c r="G132" s="53"/>
      <c r="H132" s="53"/>
      <c r="I132" s="53"/>
      <c r="J132" s="53"/>
    </row>
    <row r="133" spans="1:10" ht="15" customHeight="1" x14ac:dyDescent="0.2">
      <c r="A133" s="53" t="s">
        <v>599</v>
      </c>
      <c r="B133" s="53"/>
      <c r="C133" s="53"/>
      <c r="D133" s="53"/>
      <c r="E133" s="53"/>
      <c r="F133" s="53"/>
      <c r="G133" s="53"/>
      <c r="H133" s="53"/>
      <c r="I133" s="53"/>
      <c r="J133" s="53"/>
    </row>
    <row r="134" spans="1:10" ht="15" customHeight="1" x14ac:dyDescent="0.2">
      <c r="A134" s="53" t="s">
        <v>600</v>
      </c>
      <c r="B134" s="53"/>
      <c r="C134" s="53"/>
      <c r="D134" s="53"/>
      <c r="E134" s="53"/>
      <c r="F134" s="53"/>
      <c r="G134" s="53"/>
      <c r="H134" s="53"/>
      <c r="I134" s="53"/>
      <c r="J134" s="53"/>
    </row>
    <row r="135" spans="1:10" ht="1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 spans="1:10" ht="15" customHeight="1" x14ac:dyDescent="0.2">
      <c r="A136" s="51" t="s">
        <v>8</v>
      </c>
      <c r="B136" s="51"/>
      <c r="C136" s="51"/>
      <c r="D136" s="51"/>
      <c r="E136" s="51"/>
      <c r="F136" s="51"/>
      <c r="G136" s="51"/>
      <c r="H136" s="51"/>
      <c r="I136" s="51"/>
      <c r="J136" s="51"/>
    </row>
    <row r="137" spans="1:10" ht="15" customHeight="1" x14ac:dyDescent="0.2">
      <c r="A137" s="6"/>
      <c r="B137" s="6" t="s">
        <v>588</v>
      </c>
      <c r="C137" s="6" t="s">
        <v>589</v>
      </c>
      <c r="D137" s="6" t="s">
        <v>590</v>
      </c>
      <c r="E137" s="6"/>
      <c r="F137" s="1" t="s">
        <v>601</v>
      </c>
      <c r="G137" s="6"/>
      <c r="H137" s="6"/>
      <c r="I137" s="6"/>
      <c r="J137" s="6"/>
    </row>
    <row r="138" spans="1:10" ht="15" customHeight="1" x14ac:dyDescent="0.2">
      <c r="A138" s="6" t="s">
        <v>591</v>
      </c>
      <c r="B138" s="15">
        <v>90</v>
      </c>
      <c r="C138" s="15">
        <v>100</v>
      </c>
      <c r="D138" s="15">
        <v>110</v>
      </c>
      <c r="E138" s="6"/>
      <c r="F138" s="6" t="s">
        <v>13</v>
      </c>
      <c r="G138" s="10">
        <f>SUMPRODUCT(B140:D140,B148:D148)</f>
        <v>1.7899999999999965</v>
      </c>
      <c r="H138" s="6"/>
      <c r="I138" s="6"/>
      <c r="J138" s="6"/>
    </row>
    <row r="139" spans="1:10" ht="15" customHeight="1" x14ac:dyDescent="0.2">
      <c r="A139" s="6" t="s">
        <v>592</v>
      </c>
      <c r="B139" s="15">
        <v>180</v>
      </c>
      <c r="C139" s="15">
        <v>180</v>
      </c>
      <c r="D139" s="15">
        <v>180</v>
      </c>
      <c r="E139" s="6"/>
      <c r="F139" s="6"/>
      <c r="G139" s="6"/>
      <c r="H139" s="6"/>
      <c r="I139" s="6"/>
      <c r="J139" s="6"/>
    </row>
    <row r="140" spans="1:10" ht="15" customHeight="1" x14ac:dyDescent="0.2">
      <c r="A140" s="6" t="s">
        <v>593</v>
      </c>
      <c r="B140" s="15">
        <v>16.329999999999998</v>
      </c>
      <c r="C140" s="15">
        <v>10.3</v>
      </c>
      <c r="D140" s="15">
        <v>6.06</v>
      </c>
      <c r="E140" s="6"/>
      <c r="F140" s="6" t="s">
        <v>553</v>
      </c>
      <c r="G140" s="15">
        <f>SUMPRODUCT(B141:D141,B148:D148)</f>
        <v>-7.6999999999999291E-3</v>
      </c>
      <c r="H140" s="6"/>
      <c r="I140" s="6"/>
      <c r="J140" s="6"/>
    </row>
    <row r="141" spans="1:10" ht="15" customHeight="1" x14ac:dyDescent="0.2">
      <c r="A141" s="6" t="s">
        <v>553</v>
      </c>
      <c r="B141" s="15">
        <v>0.78600000000000003</v>
      </c>
      <c r="C141" s="15">
        <v>0.61509999999999998</v>
      </c>
      <c r="D141" s="15">
        <v>0.4365</v>
      </c>
      <c r="E141" s="6"/>
      <c r="F141" s="6" t="s">
        <v>562</v>
      </c>
      <c r="G141" s="15">
        <f>SUMPRODUCT(B142:D142,B148:D148)</f>
        <v>-3.7000000000000019E-3</v>
      </c>
      <c r="H141" s="6"/>
      <c r="I141" s="6"/>
      <c r="J141" s="6"/>
    </row>
    <row r="142" spans="1:10" ht="15" customHeight="1" x14ac:dyDescent="0.2">
      <c r="A142" s="6" t="s">
        <v>562</v>
      </c>
      <c r="B142" s="15">
        <v>1.38E-2</v>
      </c>
      <c r="C142" s="15">
        <v>1.8100000000000002E-2</v>
      </c>
      <c r="D142" s="15">
        <v>1.8700000000000001E-2</v>
      </c>
      <c r="E142" s="6"/>
      <c r="F142" s="6" t="s">
        <v>594</v>
      </c>
      <c r="G142" s="15">
        <f>SUMPRODUCT(B143:D143,B148:D148)</f>
        <v>1.8952000000000009</v>
      </c>
      <c r="H142" s="6"/>
      <c r="I142" s="6"/>
      <c r="J142" s="6"/>
    </row>
    <row r="143" spans="1:10" ht="15" customHeight="1" x14ac:dyDescent="0.2">
      <c r="A143" s="6" t="s">
        <v>594</v>
      </c>
      <c r="B143" s="15">
        <v>-11.205399999999999</v>
      </c>
      <c r="C143" s="15">
        <v>-12.2607</v>
      </c>
      <c r="D143" s="15">
        <v>-11.4208</v>
      </c>
      <c r="E143" s="6"/>
      <c r="F143" s="6" t="s">
        <v>563</v>
      </c>
      <c r="G143" s="15">
        <f>SUMPRODUCT(B144:D144,B148:D148)</f>
        <v>-5.5610999999999997</v>
      </c>
      <c r="H143" s="6"/>
      <c r="I143" s="6"/>
      <c r="J143" s="6"/>
    </row>
    <row r="144" spans="1:10" ht="15" customHeight="1" x14ac:dyDescent="0.2">
      <c r="A144" s="6" t="s">
        <v>563</v>
      </c>
      <c r="B144" s="15">
        <v>20.4619</v>
      </c>
      <c r="C144" s="15">
        <v>26.8416</v>
      </c>
      <c r="D144" s="15">
        <v>27.6602</v>
      </c>
      <c r="E144" s="6"/>
      <c r="F144" s="6" t="s">
        <v>595</v>
      </c>
      <c r="G144" s="15">
        <f>SUMPRODUCT(B145:D145,B148:D148)</f>
        <v>-1.2550999999999988</v>
      </c>
      <c r="H144" s="6"/>
      <c r="I144" s="6"/>
      <c r="J144" s="6"/>
    </row>
    <row r="145" spans="1:10" ht="15" customHeight="1" x14ac:dyDescent="0.2">
      <c r="A145" s="6" t="s">
        <v>595</v>
      </c>
      <c r="B145" s="15">
        <v>30.708500000000001</v>
      </c>
      <c r="C145" s="15">
        <v>25.2515</v>
      </c>
      <c r="D145" s="15">
        <v>18.539400000000001</v>
      </c>
      <c r="E145" s="6"/>
      <c r="F145" s="6"/>
      <c r="G145" s="6"/>
      <c r="H145" s="6"/>
      <c r="I145" s="6"/>
      <c r="J145" s="6"/>
    </row>
    <row r="146" spans="1:10" ht="15" customHeight="1" x14ac:dyDescent="0.2">
      <c r="A146" s="6"/>
      <c r="B146" s="6"/>
      <c r="C146" s="6"/>
      <c r="D146" s="6"/>
      <c r="E146" s="6"/>
      <c r="F146" s="6" t="s">
        <v>602</v>
      </c>
      <c r="G146" s="15">
        <f>-G140</f>
        <v>7.6999999999999291E-3</v>
      </c>
      <c r="H146" s="6"/>
      <c r="I146" s="6"/>
      <c r="J146" s="6"/>
    </row>
    <row r="147" spans="1:10" ht="15" customHeight="1" x14ac:dyDescent="0.2">
      <c r="A147" s="6"/>
      <c r="B147" s="6"/>
      <c r="C147" s="6"/>
      <c r="D147" s="6"/>
      <c r="E147" s="6"/>
      <c r="F147" s="6" t="s">
        <v>603</v>
      </c>
      <c r="G147" s="6"/>
      <c r="H147" s="6"/>
      <c r="I147" s="6"/>
      <c r="J147" s="6"/>
    </row>
    <row r="148" spans="1:10" ht="15" customHeight="1" x14ac:dyDescent="0.2">
      <c r="A148" s="1" t="s">
        <v>604</v>
      </c>
      <c r="B148" s="7">
        <v>1</v>
      </c>
      <c r="C148" s="7">
        <v>-2</v>
      </c>
      <c r="D148" s="7">
        <v>1</v>
      </c>
      <c r="E148" s="6"/>
      <c r="F148" s="6"/>
      <c r="G148" s="6"/>
      <c r="H148" s="6"/>
      <c r="I148" s="6"/>
      <c r="J148" s="6"/>
    </row>
    <row r="149" spans="1:10" ht="1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</row>
    <row r="150" spans="1:10" ht="15" customHeight="1" x14ac:dyDescent="0.2">
      <c r="A150" s="6" t="s">
        <v>605</v>
      </c>
      <c r="B150" s="10">
        <v>12.18</v>
      </c>
      <c r="C150" s="6"/>
      <c r="D150" s="6"/>
      <c r="E150" s="6"/>
      <c r="F150" s="6"/>
      <c r="G150" s="6"/>
      <c r="H150" s="6"/>
      <c r="I150" s="6"/>
      <c r="J150" s="6"/>
    </row>
    <row r="151" spans="1:10" ht="15" customHeight="1" x14ac:dyDescent="0.2">
      <c r="A151" s="6" t="s">
        <v>606</v>
      </c>
      <c r="B151" s="10">
        <f>B148*B150+C148*C140+D148*D140</f>
        <v>-2.3600000000000021</v>
      </c>
      <c r="C151" s="6"/>
      <c r="D151" s="6"/>
      <c r="E151" s="6"/>
      <c r="F151" s="6"/>
      <c r="G151" s="6"/>
      <c r="H151" s="6"/>
      <c r="I151" s="6"/>
      <c r="J151" s="6"/>
    </row>
    <row r="152" spans="1:10" ht="15" customHeight="1" x14ac:dyDescent="0.2">
      <c r="A152" s="6" t="s">
        <v>607</v>
      </c>
      <c r="B152" s="10">
        <f>-B151</f>
        <v>2.3600000000000021</v>
      </c>
      <c r="C152" s="6"/>
      <c r="D152" s="6"/>
      <c r="E152" s="6"/>
      <c r="F152" s="6"/>
      <c r="G152" s="6"/>
      <c r="H152" s="6"/>
      <c r="I152" s="6"/>
      <c r="J152" s="6"/>
    </row>
    <row r="153" spans="1:10" ht="1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 spans="1:10" ht="1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 spans="1:10" ht="15" customHeight="1" x14ac:dyDescent="0.2">
      <c r="A155" s="53" t="s">
        <v>608</v>
      </c>
      <c r="B155" s="53"/>
      <c r="C155" s="53"/>
      <c r="D155" s="53"/>
      <c r="E155" s="53"/>
      <c r="F155" s="53"/>
      <c r="G155" s="53"/>
      <c r="H155" s="53"/>
      <c r="I155" s="53"/>
      <c r="J155" s="53"/>
    </row>
    <row r="156" spans="1:10" ht="15" customHeight="1" x14ac:dyDescent="0.2">
      <c r="A156" s="53" t="s">
        <v>609</v>
      </c>
      <c r="B156" s="53"/>
      <c r="C156" s="53"/>
      <c r="D156" s="53"/>
      <c r="E156" s="53"/>
      <c r="F156" s="53"/>
      <c r="G156" s="53"/>
      <c r="H156" s="53"/>
      <c r="I156" s="53"/>
      <c r="J156" s="53"/>
    </row>
    <row r="157" spans="1:10" ht="15" customHeight="1" x14ac:dyDescent="0.2">
      <c r="A157" s="53" t="s">
        <v>610</v>
      </c>
      <c r="B157" s="53"/>
      <c r="C157" s="53"/>
      <c r="D157" s="53"/>
      <c r="E157" s="53"/>
      <c r="F157" s="53"/>
      <c r="G157" s="53"/>
      <c r="H157" s="53"/>
      <c r="I157" s="53"/>
      <c r="J157" s="53"/>
    </row>
    <row r="158" spans="1:10" ht="15" customHeight="1" x14ac:dyDescent="0.2">
      <c r="A158" s="53" t="s">
        <v>611</v>
      </c>
      <c r="B158" s="53"/>
      <c r="C158" s="53"/>
      <c r="D158" s="53"/>
      <c r="E158" s="53"/>
      <c r="F158" s="53"/>
      <c r="G158" s="53"/>
      <c r="H158" s="53"/>
      <c r="I158" s="53"/>
      <c r="J158" s="53"/>
    </row>
    <row r="159" spans="1:10" ht="15" customHeight="1" x14ac:dyDescent="0.2">
      <c r="A159" s="53" t="s">
        <v>612</v>
      </c>
      <c r="B159" s="53"/>
      <c r="C159" s="53"/>
      <c r="D159" s="53"/>
      <c r="E159" s="53"/>
      <c r="F159" s="53"/>
      <c r="G159" s="53"/>
      <c r="H159" s="53"/>
      <c r="I159" s="53"/>
      <c r="J159" s="53"/>
    </row>
    <row r="160" spans="1:10" ht="15" customHeight="1" x14ac:dyDescent="0.2">
      <c r="A160" s="53" t="s">
        <v>613</v>
      </c>
      <c r="B160" s="53"/>
      <c r="C160" s="53"/>
      <c r="D160" s="53"/>
      <c r="E160" s="53"/>
      <c r="F160" s="53"/>
      <c r="G160" s="53"/>
      <c r="H160" s="53"/>
      <c r="I160" s="53"/>
      <c r="J160" s="53"/>
    </row>
    <row r="161" spans="1:10" ht="15" customHeight="1" x14ac:dyDescent="0.2">
      <c r="A161" s="53" t="s">
        <v>614</v>
      </c>
      <c r="B161" s="53"/>
      <c r="C161" s="53"/>
      <c r="D161" s="53"/>
      <c r="E161" s="53"/>
      <c r="F161" s="53"/>
      <c r="G161" s="53"/>
      <c r="H161" s="53"/>
      <c r="I161" s="53"/>
      <c r="J161" s="53"/>
    </row>
    <row r="162" spans="1:10" ht="15" customHeight="1" x14ac:dyDescent="0.2">
      <c r="A162" s="53" t="s">
        <v>615</v>
      </c>
      <c r="B162" s="53"/>
      <c r="C162" s="53"/>
      <c r="D162" s="53"/>
      <c r="E162" s="53"/>
      <c r="F162" s="53"/>
      <c r="G162" s="53"/>
      <c r="H162" s="53"/>
      <c r="I162" s="53"/>
      <c r="J162" s="53"/>
    </row>
    <row r="163" spans="1:10" ht="15" customHeight="1" x14ac:dyDescent="0.2">
      <c r="A163" s="53" t="s">
        <v>616</v>
      </c>
      <c r="B163" s="53"/>
      <c r="C163" s="53"/>
      <c r="D163" s="53"/>
      <c r="E163" s="53"/>
      <c r="F163" s="53"/>
      <c r="G163" s="53"/>
      <c r="H163" s="53"/>
      <c r="I163" s="53"/>
      <c r="J163" s="53"/>
    </row>
    <row r="164" spans="1:10" ht="1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</row>
  </sheetData>
  <mergeCells count="62">
    <mergeCell ref="A160:J160"/>
    <mergeCell ref="A161:J161"/>
    <mergeCell ref="A162:J162"/>
    <mergeCell ref="A163:J163"/>
    <mergeCell ref="A4:J4"/>
    <mergeCell ref="A5:J5"/>
    <mergeCell ref="A6:J6"/>
    <mergeCell ref="A7:J7"/>
    <mergeCell ref="A8:J8"/>
    <mergeCell ref="A9:J9"/>
    <mergeCell ref="A30:J30"/>
    <mergeCell ref="A31:J31"/>
    <mergeCell ref="A32:J32"/>
    <mergeCell ref="A33:J33"/>
    <mergeCell ref="A34:J34"/>
    <mergeCell ref="A35:J35"/>
    <mergeCell ref="A155:J155"/>
    <mergeCell ref="A156:J156"/>
    <mergeCell ref="A157:J157"/>
    <mergeCell ref="A158:J158"/>
    <mergeCell ref="A159:J159"/>
    <mergeCell ref="A131:J131"/>
    <mergeCell ref="A132:J132"/>
    <mergeCell ref="A133:J133"/>
    <mergeCell ref="A134:J134"/>
    <mergeCell ref="A136:J136"/>
    <mergeCell ref="A98:J98"/>
    <mergeCell ref="A115:J115"/>
    <mergeCell ref="A117:J117"/>
    <mergeCell ref="A118:J118"/>
    <mergeCell ref="A130:J130"/>
    <mergeCell ref="A92:J92"/>
    <mergeCell ref="A93:J93"/>
    <mergeCell ref="A94:J94"/>
    <mergeCell ref="A95:J95"/>
    <mergeCell ref="A96:J96"/>
    <mergeCell ref="A76:J76"/>
    <mergeCell ref="A77:J77"/>
    <mergeCell ref="A79:J79"/>
    <mergeCell ref="A90:J90"/>
    <mergeCell ref="A91:J91"/>
    <mergeCell ref="A64:J64"/>
    <mergeCell ref="A65:J65"/>
    <mergeCell ref="A67:J67"/>
    <mergeCell ref="A68:J68"/>
    <mergeCell ref="A69:J69"/>
    <mergeCell ref="A45:J45"/>
    <mergeCell ref="A47:J47"/>
    <mergeCell ref="A61:J61"/>
    <mergeCell ref="A62:J62"/>
    <mergeCell ref="A63:J63"/>
    <mergeCell ref="A40:J40"/>
    <mergeCell ref="A41:J41"/>
    <mergeCell ref="A42:J42"/>
    <mergeCell ref="A43:J43"/>
    <mergeCell ref="A44:J44"/>
    <mergeCell ref="A1:J1"/>
    <mergeCell ref="A3:J3"/>
    <mergeCell ref="A11:J11"/>
    <mergeCell ref="A38:J38"/>
    <mergeCell ref="A39:J39"/>
    <mergeCell ref="A36:J36"/>
  </mergeCells>
  <pageMargins left="0.35" right="0.35" top="0.45" bottom="0.45" header="0.2" footer="0.2"/>
  <pageSetup paperSize="9" fitToHeight="0" orientation="landscape"/>
  <headerFooter>
    <oddFooter>&amp;L&amp;"Times New Roman,Regular"&amp;8John C. Hull – 12a edizione&amp;C&amp;"Times New Roman,Regular"&amp;8Ulteriori Domande&amp;R&amp;"Times New Roman,Regular"&amp;8&amp;A |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36878"/>
    <pageSetUpPr fitToPage="1"/>
  </sheetPr>
  <dimension ref="A1:H34"/>
  <sheetViews>
    <sheetView showGridLines="0" zoomScaleNormal="100" workbookViewId="0">
      <pane ySplit="2" topLeftCell="A3" activePane="bottomLeft" state="frozen"/>
      <selection sqref="A1:H1"/>
      <selection pane="bottomLeft" sqref="A1:H1"/>
    </sheetView>
  </sheetViews>
  <sheetFormatPr defaultRowHeight="15" customHeight="1" x14ac:dyDescent="0.2"/>
  <cols>
    <col min="1" max="1" width="26.28515625" style="39" customWidth="1"/>
    <col min="2" max="2" width="13.85546875" style="39" customWidth="1"/>
    <col min="3" max="3" width="12.5703125" style="39" customWidth="1"/>
    <col min="4" max="4" width="15.140625" style="39" customWidth="1"/>
    <col min="5" max="5" width="13.85546875" style="39" customWidth="1"/>
    <col min="6" max="6" width="12.5703125" style="39" customWidth="1"/>
    <col min="7" max="7" width="15.140625" style="39" customWidth="1"/>
    <col min="8" max="8" width="13.85546875" style="39" customWidth="1"/>
    <col min="9" max="16384" width="9.140625" style="39"/>
  </cols>
  <sheetData>
    <row r="1" spans="1:8" ht="15" customHeight="1" x14ac:dyDescent="0.2">
      <c r="A1" s="50" t="s">
        <v>617</v>
      </c>
      <c r="B1" s="51"/>
      <c r="C1" s="51"/>
      <c r="D1" s="51"/>
      <c r="E1" s="51"/>
      <c r="F1" s="51"/>
      <c r="G1" s="51"/>
      <c r="H1" s="51"/>
    </row>
    <row r="2" spans="1:8" ht="15" customHeight="1" x14ac:dyDescent="0.2">
      <c r="A2" s="6"/>
      <c r="B2" s="6"/>
      <c r="C2" s="6"/>
      <c r="D2" s="6"/>
      <c r="E2" s="6"/>
      <c r="F2" s="6"/>
      <c r="G2" s="6"/>
      <c r="H2" s="6"/>
    </row>
    <row r="3" spans="1:8" ht="15" customHeight="1" x14ac:dyDescent="0.2">
      <c r="A3" s="51" t="s">
        <v>618</v>
      </c>
      <c r="B3" s="51"/>
      <c r="C3" s="51"/>
      <c r="D3" s="51"/>
      <c r="E3" s="51"/>
      <c r="F3" s="51"/>
      <c r="G3" s="51"/>
      <c r="H3" s="51"/>
    </row>
    <row r="4" spans="1:8" ht="15" customHeight="1" x14ac:dyDescent="0.2">
      <c r="A4" s="53" t="s">
        <v>619</v>
      </c>
      <c r="B4" s="53"/>
      <c r="C4" s="53"/>
      <c r="D4" s="53"/>
      <c r="E4" s="53"/>
      <c r="F4" s="53"/>
      <c r="G4" s="53"/>
      <c r="H4" s="53"/>
    </row>
    <row r="5" spans="1:8" ht="15" customHeight="1" x14ac:dyDescent="0.2">
      <c r="A5" s="53" t="s">
        <v>620</v>
      </c>
      <c r="B5" s="53"/>
      <c r="C5" s="53"/>
      <c r="D5" s="53"/>
      <c r="E5" s="53"/>
      <c r="F5" s="53"/>
      <c r="G5" s="53"/>
      <c r="H5" s="53"/>
    </row>
    <row r="6" spans="1:8" ht="15" customHeight="1" x14ac:dyDescent="0.2">
      <c r="A6" s="53" t="s">
        <v>621</v>
      </c>
      <c r="B6" s="53"/>
      <c r="C6" s="53"/>
      <c r="D6" s="53"/>
      <c r="E6" s="53"/>
      <c r="F6" s="53"/>
      <c r="G6" s="53"/>
      <c r="H6" s="53"/>
    </row>
    <row r="7" spans="1:8" ht="15" customHeight="1" x14ac:dyDescent="0.2">
      <c r="A7" s="53" t="s">
        <v>622</v>
      </c>
      <c r="B7" s="53"/>
      <c r="C7" s="53"/>
      <c r="D7" s="53"/>
      <c r="E7" s="53"/>
      <c r="F7" s="53"/>
      <c r="G7" s="53"/>
      <c r="H7" s="53"/>
    </row>
    <row r="8" spans="1:8" ht="15" customHeight="1" x14ac:dyDescent="0.2">
      <c r="A8" s="6"/>
      <c r="B8" s="6"/>
      <c r="C8" s="6"/>
      <c r="D8" s="6"/>
      <c r="E8" s="6"/>
      <c r="F8" s="6"/>
      <c r="G8" s="6"/>
      <c r="H8" s="6"/>
    </row>
    <row r="9" spans="1:8" ht="15" customHeight="1" x14ac:dyDescent="0.2">
      <c r="A9" s="51" t="s">
        <v>8</v>
      </c>
      <c r="B9" s="51"/>
      <c r="C9" s="51"/>
      <c r="D9" s="51"/>
      <c r="E9" s="51"/>
      <c r="F9" s="51"/>
      <c r="G9" s="51"/>
      <c r="H9" s="51"/>
    </row>
    <row r="10" spans="1:8" ht="15" customHeight="1" x14ac:dyDescent="0.2">
      <c r="A10" s="53" t="s">
        <v>623</v>
      </c>
      <c r="B10" s="53"/>
      <c r="C10" s="53"/>
      <c r="D10" s="53"/>
      <c r="E10" s="53"/>
      <c r="F10" s="53"/>
      <c r="G10" s="53"/>
      <c r="H10" s="53"/>
    </row>
    <row r="11" spans="1:8" ht="15" customHeight="1" x14ac:dyDescent="0.2">
      <c r="A11" s="53" t="s">
        <v>624</v>
      </c>
      <c r="B11" s="53"/>
      <c r="C11" s="53"/>
      <c r="D11" s="53"/>
      <c r="E11" s="53"/>
      <c r="F11" s="53"/>
      <c r="G11" s="53"/>
      <c r="H11" s="53"/>
    </row>
    <row r="12" spans="1:8" ht="15" customHeight="1" x14ac:dyDescent="0.2">
      <c r="A12" s="53" t="s">
        <v>625</v>
      </c>
      <c r="B12" s="53"/>
      <c r="C12" s="53"/>
      <c r="D12" s="53"/>
      <c r="E12" s="53"/>
      <c r="F12" s="53"/>
      <c r="G12" s="53"/>
      <c r="H12" s="53"/>
    </row>
    <row r="13" spans="1:8" ht="15" customHeight="1" x14ac:dyDescent="0.2">
      <c r="A13" s="53" t="s">
        <v>626</v>
      </c>
      <c r="B13" s="53"/>
      <c r="C13" s="53"/>
      <c r="D13" s="53"/>
      <c r="E13" s="53"/>
      <c r="F13" s="53"/>
      <c r="G13" s="53"/>
      <c r="H13" s="53"/>
    </row>
    <row r="14" spans="1:8" ht="15" customHeight="1" x14ac:dyDescent="0.2">
      <c r="A14" s="53" t="s">
        <v>627</v>
      </c>
      <c r="B14" s="53"/>
      <c r="C14" s="53"/>
      <c r="D14" s="53"/>
      <c r="E14" s="53"/>
      <c r="F14" s="53"/>
      <c r="G14" s="53"/>
      <c r="H14" s="53"/>
    </row>
    <row r="15" spans="1:8" ht="15" customHeight="1" x14ac:dyDescent="0.2">
      <c r="A15" s="53" t="s">
        <v>628</v>
      </c>
      <c r="B15" s="53"/>
      <c r="C15" s="53"/>
      <c r="D15" s="53"/>
      <c r="E15" s="53"/>
      <c r="F15" s="53"/>
      <c r="G15" s="53"/>
      <c r="H15" s="53"/>
    </row>
    <row r="16" spans="1:8" ht="15" customHeight="1" x14ac:dyDescent="0.2">
      <c r="A16" s="53" t="s">
        <v>629</v>
      </c>
      <c r="B16" s="53"/>
      <c r="C16" s="53"/>
      <c r="D16" s="53"/>
      <c r="E16" s="53"/>
      <c r="F16" s="53"/>
      <c r="G16" s="53"/>
      <c r="H16" s="53"/>
    </row>
    <row r="17" spans="1:8" ht="15" customHeight="1" x14ac:dyDescent="0.2">
      <c r="A17" s="53" t="s">
        <v>630</v>
      </c>
      <c r="B17" s="53"/>
      <c r="C17" s="53"/>
      <c r="D17" s="53"/>
      <c r="E17" s="53"/>
      <c r="F17" s="53"/>
      <c r="G17" s="53"/>
      <c r="H17" s="53"/>
    </row>
    <row r="18" spans="1:8" ht="15" customHeight="1" x14ac:dyDescent="0.2">
      <c r="A18" s="53" t="s">
        <v>631</v>
      </c>
      <c r="B18" s="53"/>
      <c r="C18" s="53"/>
      <c r="D18" s="53"/>
      <c r="E18" s="53"/>
      <c r="F18" s="53"/>
      <c r="G18" s="53"/>
      <c r="H18" s="53"/>
    </row>
    <row r="19" spans="1:8" ht="15" customHeight="1" x14ac:dyDescent="0.2">
      <c r="A19" s="53" t="s">
        <v>632</v>
      </c>
      <c r="B19" s="53"/>
      <c r="C19" s="53"/>
      <c r="D19" s="53"/>
      <c r="E19" s="53"/>
      <c r="F19" s="53"/>
      <c r="G19" s="53"/>
      <c r="H19" s="53"/>
    </row>
    <row r="20" spans="1:8" ht="15" customHeight="1" x14ac:dyDescent="0.2">
      <c r="A20" s="6"/>
      <c r="B20" s="6"/>
      <c r="C20" s="6"/>
      <c r="D20" s="6"/>
      <c r="E20" s="6"/>
      <c r="F20" s="6"/>
      <c r="G20" s="6"/>
      <c r="H20" s="6"/>
    </row>
    <row r="21" spans="1:8" ht="15" customHeight="1" x14ac:dyDescent="0.2">
      <c r="A21" s="6"/>
      <c r="B21" s="6"/>
      <c r="C21" s="6"/>
      <c r="D21" s="6"/>
      <c r="E21" s="6"/>
      <c r="F21" s="6"/>
      <c r="G21" s="6"/>
      <c r="H21" s="6"/>
    </row>
    <row r="22" spans="1:8" ht="15" customHeight="1" x14ac:dyDescent="0.2">
      <c r="A22" s="51" t="s">
        <v>633</v>
      </c>
      <c r="B22" s="51"/>
      <c r="C22" s="51"/>
      <c r="D22" s="51"/>
      <c r="E22" s="51"/>
      <c r="F22" s="51"/>
      <c r="G22" s="51"/>
      <c r="H22" s="51"/>
    </row>
    <row r="23" spans="1:8" ht="15" customHeight="1" x14ac:dyDescent="0.2">
      <c r="A23" s="53" t="s">
        <v>634</v>
      </c>
      <c r="B23" s="53"/>
      <c r="C23" s="53"/>
      <c r="D23" s="53"/>
      <c r="E23" s="53"/>
      <c r="F23" s="53"/>
      <c r="G23" s="53"/>
      <c r="H23" s="53"/>
    </row>
    <row r="24" spans="1:8" ht="15" customHeight="1" x14ac:dyDescent="0.2">
      <c r="A24" s="53" t="s">
        <v>635</v>
      </c>
      <c r="B24" s="53"/>
      <c r="C24" s="53"/>
      <c r="D24" s="53"/>
      <c r="E24" s="53"/>
      <c r="F24" s="53"/>
      <c r="G24" s="53"/>
      <c r="H24" s="53"/>
    </row>
    <row r="25" spans="1:8" ht="15" customHeight="1" x14ac:dyDescent="0.2">
      <c r="A25" s="53" t="s">
        <v>636</v>
      </c>
      <c r="B25" s="53"/>
      <c r="C25" s="53"/>
      <c r="D25" s="53"/>
      <c r="E25" s="53"/>
      <c r="F25" s="53"/>
      <c r="G25" s="53"/>
      <c r="H25" s="53"/>
    </row>
    <row r="26" spans="1:8" ht="15" customHeight="1" x14ac:dyDescent="0.2">
      <c r="A26" s="6"/>
      <c r="B26" s="6"/>
      <c r="C26" s="6"/>
      <c r="D26" s="6"/>
      <c r="E26" s="6"/>
      <c r="F26" s="6"/>
      <c r="G26" s="6"/>
      <c r="H26" s="6"/>
    </row>
    <row r="27" spans="1:8" ht="15" customHeight="1" x14ac:dyDescent="0.2">
      <c r="A27" s="51" t="s">
        <v>8</v>
      </c>
      <c r="B27" s="51"/>
      <c r="C27" s="51"/>
      <c r="D27" s="51"/>
      <c r="E27" s="51"/>
      <c r="F27" s="51"/>
      <c r="G27" s="51"/>
      <c r="H27" s="51"/>
    </row>
    <row r="28" spans="1:8" ht="15" customHeight="1" x14ac:dyDescent="0.2">
      <c r="A28" s="53" t="s">
        <v>637</v>
      </c>
      <c r="B28" s="53"/>
      <c r="C28" s="53"/>
      <c r="D28" s="53"/>
      <c r="E28" s="53"/>
      <c r="F28" s="53"/>
      <c r="G28" s="53"/>
      <c r="H28" s="53"/>
    </row>
    <row r="29" spans="1:8" ht="15" customHeight="1" x14ac:dyDescent="0.2">
      <c r="A29" s="53" t="s">
        <v>638</v>
      </c>
      <c r="B29" s="53"/>
      <c r="C29" s="53"/>
      <c r="D29" s="53"/>
      <c r="E29" s="53"/>
      <c r="F29" s="53"/>
      <c r="G29" s="53"/>
      <c r="H29" s="53"/>
    </row>
    <row r="30" spans="1:8" ht="15" customHeight="1" x14ac:dyDescent="0.2">
      <c r="A30" s="53" t="s">
        <v>639</v>
      </c>
      <c r="B30" s="53"/>
      <c r="C30" s="53"/>
      <c r="D30" s="53"/>
      <c r="E30" s="53"/>
      <c r="F30" s="53"/>
      <c r="G30" s="53"/>
      <c r="H30" s="53"/>
    </row>
    <row r="31" spans="1:8" ht="15" customHeight="1" x14ac:dyDescent="0.2">
      <c r="A31" s="6"/>
      <c r="B31" s="6"/>
      <c r="C31" s="6"/>
      <c r="D31" s="6"/>
      <c r="E31" s="6"/>
      <c r="F31" s="6"/>
      <c r="G31" s="6"/>
      <c r="H31" s="6"/>
    </row>
    <row r="32" spans="1:8" ht="15" customHeight="1" x14ac:dyDescent="0.2">
      <c r="A32" s="6"/>
      <c r="B32" s="6"/>
      <c r="C32" s="6"/>
      <c r="D32" s="6"/>
      <c r="E32" s="6"/>
      <c r="F32" s="6"/>
      <c r="G32" s="6"/>
      <c r="H32" s="6"/>
    </row>
    <row r="33" spans="1:8" ht="15" customHeight="1" x14ac:dyDescent="0.2">
      <c r="A33" s="6"/>
      <c r="B33" s="6"/>
      <c r="C33" s="6"/>
      <c r="D33" s="6"/>
      <c r="E33" s="6"/>
      <c r="F33" s="6"/>
      <c r="G33" s="6"/>
      <c r="H33" s="6"/>
    </row>
    <row r="34" spans="1:8" ht="15" customHeight="1" x14ac:dyDescent="0.2">
      <c r="A34" s="6"/>
      <c r="B34" s="6"/>
      <c r="C34" s="6"/>
      <c r="D34" s="6"/>
      <c r="E34" s="6"/>
      <c r="F34" s="6"/>
      <c r="G34" s="6"/>
      <c r="H34" s="6"/>
    </row>
  </sheetData>
  <mergeCells count="25">
    <mergeCell ref="A25:H25"/>
    <mergeCell ref="A27:H27"/>
    <mergeCell ref="A28:H28"/>
    <mergeCell ref="A29:H29"/>
    <mergeCell ref="A30:H30"/>
    <mergeCell ref="A18:H18"/>
    <mergeCell ref="A19:H19"/>
    <mergeCell ref="A22:H22"/>
    <mergeCell ref="A23:H23"/>
    <mergeCell ref="A24:H24"/>
    <mergeCell ref="A13:H13"/>
    <mergeCell ref="A14:H14"/>
    <mergeCell ref="A15:H15"/>
    <mergeCell ref="A16:H16"/>
    <mergeCell ref="A17:H17"/>
    <mergeCell ref="A7:H7"/>
    <mergeCell ref="A9:H9"/>
    <mergeCell ref="A10:H10"/>
    <mergeCell ref="A11:H11"/>
    <mergeCell ref="A12:H12"/>
    <mergeCell ref="A1:H1"/>
    <mergeCell ref="A3:H3"/>
    <mergeCell ref="A4:H4"/>
    <mergeCell ref="A5:H5"/>
    <mergeCell ref="A6:H6"/>
  </mergeCells>
  <pageMargins left="0.35" right="0.35" top="0.45" bottom="0.45" header="0.2" footer="0.2"/>
  <pageSetup paperSize="9" fitToHeight="0" orientation="landscape"/>
  <headerFooter>
    <oddFooter>&amp;L&amp;"Times New Roman,Regular"&amp;8John C. Hull – 12a edizione&amp;C&amp;"Times New Roman,Regular"&amp;8Ulteriori Domande&amp;R&amp;"Times New Roman,Regular"&amp;8&amp;A |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36878"/>
    <pageSetUpPr fitToPage="1"/>
  </sheetPr>
  <dimension ref="A1:H35"/>
  <sheetViews>
    <sheetView showGridLines="0" zoomScaleNormal="100" workbookViewId="0">
      <pane ySplit="2" topLeftCell="A3" activePane="bottomLeft" state="frozen"/>
      <selection sqref="A1:H1"/>
      <selection pane="bottomLeft" sqref="A1:H1"/>
    </sheetView>
  </sheetViews>
  <sheetFormatPr defaultRowHeight="15" customHeight="1" x14ac:dyDescent="0.2"/>
  <cols>
    <col min="1" max="1" width="26.28515625" style="39" customWidth="1"/>
    <col min="2" max="2" width="13.85546875" style="39" customWidth="1"/>
    <col min="3" max="3" width="12.5703125" style="39" customWidth="1"/>
    <col min="4" max="4" width="15.140625" style="39" customWidth="1"/>
    <col min="5" max="5" width="13.85546875" style="39" customWidth="1"/>
    <col min="6" max="6" width="12.5703125" style="39" customWidth="1"/>
    <col min="7" max="7" width="15.140625" style="39" customWidth="1"/>
    <col min="8" max="8" width="13.85546875" style="39" customWidth="1"/>
    <col min="9" max="16384" width="9.140625" style="39"/>
  </cols>
  <sheetData>
    <row r="1" spans="1:8" ht="15" customHeight="1" x14ac:dyDescent="0.2">
      <c r="A1" s="50" t="s">
        <v>640</v>
      </c>
      <c r="B1" s="51"/>
      <c r="C1" s="51"/>
      <c r="D1" s="51"/>
      <c r="E1" s="51"/>
      <c r="F1" s="51"/>
      <c r="G1" s="51"/>
      <c r="H1" s="51"/>
    </row>
    <row r="2" spans="1:8" ht="15" customHeight="1" x14ac:dyDescent="0.2">
      <c r="A2" s="6"/>
      <c r="B2" s="6"/>
      <c r="C2" s="6"/>
      <c r="D2" s="6"/>
      <c r="E2" s="6"/>
      <c r="F2" s="6"/>
      <c r="G2" s="6"/>
      <c r="H2" s="6"/>
    </row>
    <row r="3" spans="1:8" ht="15" customHeight="1" x14ac:dyDescent="0.2">
      <c r="A3" s="51" t="s">
        <v>641</v>
      </c>
      <c r="B3" s="51"/>
      <c r="C3" s="51"/>
      <c r="D3" s="51"/>
      <c r="E3" s="51"/>
      <c r="F3" s="51"/>
      <c r="G3" s="51"/>
      <c r="H3" s="51"/>
    </row>
    <row r="4" spans="1:8" ht="15" customHeight="1" x14ac:dyDescent="0.2">
      <c r="A4" s="53" t="s">
        <v>642</v>
      </c>
      <c r="B4" s="53"/>
      <c r="C4" s="53"/>
      <c r="D4" s="53"/>
      <c r="E4" s="53"/>
      <c r="F4" s="53"/>
      <c r="G4" s="53"/>
      <c r="H4" s="53"/>
    </row>
    <row r="5" spans="1:8" ht="15" customHeight="1" x14ac:dyDescent="0.2">
      <c r="A5" s="53" t="s">
        <v>643</v>
      </c>
      <c r="B5" s="53"/>
      <c r="C5" s="53"/>
      <c r="D5" s="53"/>
      <c r="E5" s="53"/>
      <c r="F5" s="53"/>
      <c r="G5" s="53"/>
      <c r="H5" s="53"/>
    </row>
    <row r="6" spans="1:8" ht="15" customHeight="1" x14ac:dyDescent="0.2">
      <c r="A6" s="53" t="s">
        <v>644</v>
      </c>
      <c r="B6" s="53"/>
      <c r="C6" s="53"/>
      <c r="D6" s="53"/>
      <c r="E6" s="53"/>
      <c r="F6" s="53"/>
      <c r="G6" s="53"/>
      <c r="H6" s="53"/>
    </row>
    <row r="7" spans="1:8" ht="15" customHeight="1" x14ac:dyDescent="0.2">
      <c r="A7" s="53" t="s">
        <v>645</v>
      </c>
      <c r="B7" s="53"/>
      <c r="C7" s="53"/>
      <c r="D7" s="53"/>
      <c r="E7" s="53"/>
      <c r="F7" s="53"/>
      <c r="G7" s="53"/>
      <c r="H7" s="53"/>
    </row>
    <row r="8" spans="1:8" ht="15" customHeight="1" x14ac:dyDescent="0.2">
      <c r="A8" s="53" t="s">
        <v>646</v>
      </c>
      <c r="B8" s="53"/>
      <c r="C8" s="53"/>
      <c r="D8" s="53"/>
      <c r="E8" s="53"/>
      <c r="F8" s="53"/>
      <c r="G8" s="53"/>
      <c r="H8" s="53"/>
    </row>
    <row r="9" spans="1:8" ht="15" customHeight="1" x14ac:dyDescent="0.2">
      <c r="A9" s="53" t="s">
        <v>647</v>
      </c>
      <c r="B9" s="53"/>
      <c r="C9" s="53"/>
      <c r="D9" s="53"/>
      <c r="E9" s="53"/>
      <c r="F9" s="53"/>
      <c r="G9" s="53"/>
      <c r="H9" s="53"/>
    </row>
    <row r="10" spans="1:8" ht="15" customHeight="1" x14ac:dyDescent="0.2">
      <c r="A10" s="53" t="s">
        <v>648</v>
      </c>
      <c r="B10" s="53"/>
      <c r="C10" s="53"/>
      <c r="D10" s="53"/>
      <c r="E10" s="53"/>
      <c r="F10" s="53"/>
      <c r="G10" s="53"/>
      <c r="H10" s="53"/>
    </row>
    <row r="11" spans="1:8" ht="15" customHeight="1" x14ac:dyDescent="0.2">
      <c r="A11" s="53" t="s">
        <v>649</v>
      </c>
      <c r="B11" s="53"/>
      <c r="C11" s="53"/>
      <c r="D11" s="53"/>
      <c r="E11" s="53"/>
      <c r="F11" s="53"/>
      <c r="G11" s="53"/>
      <c r="H11" s="53"/>
    </row>
    <row r="12" spans="1:8" ht="15" customHeight="1" x14ac:dyDescent="0.2">
      <c r="A12" s="53" t="s">
        <v>650</v>
      </c>
      <c r="B12" s="53"/>
      <c r="C12" s="53"/>
      <c r="D12" s="53"/>
      <c r="E12" s="53"/>
      <c r="F12" s="53"/>
      <c r="G12" s="53"/>
      <c r="H12" s="53"/>
    </row>
    <row r="13" spans="1:8" ht="15" customHeight="1" x14ac:dyDescent="0.2">
      <c r="A13" s="53" t="s">
        <v>651</v>
      </c>
      <c r="B13" s="53"/>
      <c r="C13" s="53"/>
      <c r="D13" s="53"/>
      <c r="E13" s="53"/>
      <c r="F13" s="53"/>
      <c r="G13" s="53"/>
      <c r="H13" s="53"/>
    </row>
    <row r="14" spans="1:8" ht="15" customHeight="1" x14ac:dyDescent="0.2">
      <c r="A14" s="53" t="s">
        <v>652</v>
      </c>
      <c r="B14" s="53"/>
      <c r="C14" s="53"/>
      <c r="D14" s="53"/>
      <c r="E14" s="53"/>
      <c r="F14" s="53"/>
      <c r="G14" s="53"/>
      <c r="H14" s="53"/>
    </row>
    <row r="15" spans="1:8" ht="15" customHeight="1" x14ac:dyDescent="0.2">
      <c r="A15" s="6"/>
      <c r="B15" s="6"/>
      <c r="C15" s="6"/>
      <c r="D15" s="6"/>
      <c r="E15" s="6"/>
      <c r="F15" s="6"/>
      <c r="G15" s="6"/>
      <c r="H15" s="6"/>
    </row>
    <row r="16" spans="1:8" ht="15" customHeight="1" x14ac:dyDescent="0.2">
      <c r="A16" s="51" t="s">
        <v>8</v>
      </c>
      <c r="B16" s="51"/>
      <c r="C16" s="51"/>
      <c r="D16" s="51"/>
      <c r="E16" s="51"/>
      <c r="F16" s="51"/>
      <c r="G16" s="51"/>
      <c r="H16" s="51"/>
    </row>
    <row r="17" spans="1:8" ht="15" customHeight="1" x14ac:dyDescent="0.2">
      <c r="A17" s="6" t="s">
        <v>416</v>
      </c>
      <c r="B17" s="15">
        <v>14.266039550933799</v>
      </c>
      <c r="C17" s="6"/>
      <c r="D17" s="6" t="s">
        <v>137</v>
      </c>
      <c r="E17" s="26">
        <v>7.0000000000000007E-2</v>
      </c>
      <c r="F17" s="6"/>
      <c r="G17" s="6"/>
      <c r="H17" s="6"/>
    </row>
    <row r="18" spans="1:8" ht="15" customHeight="1" x14ac:dyDescent="0.2">
      <c r="A18" s="6" t="s">
        <v>418</v>
      </c>
      <c r="B18" s="15">
        <v>63.892097968668637</v>
      </c>
      <c r="C18" s="6"/>
      <c r="D18" s="6" t="s">
        <v>139</v>
      </c>
      <c r="E18" s="26">
        <v>0.03</v>
      </c>
      <c r="F18" s="6"/>
      <c r="G18" s="6"/>
      <c r="H18" s="6"/>
    </row>
    <row r="19" spans="1:8" ht="15" customHeight="1" x14ac:dyDescent="0.2">
      <c r="A19" s="6" t="s">
        <v>653</v>
      </c>
      <c r="B19" s="15">
        <v>508.63062724535575</v>
      </c>
      <c r="C19" s="6"/>
      <c r="D19" s="6" t="s">
        <v>654</v>
      </c>
      <c r="E19" s="15">
        <f>7/12</f>
        <v>0.58333333333333337</v>
      </c>
      <c r="F19" s="6"/>
      <c r="G19" s="6"/>
      <c r="H19" s="6"/>
    </row>
    <row r="20" spans="1:8" ht="15" customHeight="1" x14ac:dyDescent="0.2">
      <c r="A20" s="6" t="s">
        <v>655</v>
      </c>
      <c r="B20" s="15">
        <v>398.12781447452443</v>
      </c>
      <c r="C20" s="6"/>
      <c r="D20" s="6"/>
      <c r="E20" s="6"/>
      <c r="F20" s="6"/>
      <c r="G20" s="6"/>
      <c r="H20" s="6"/>
    </row>
    <row r="21" spans="1:8" ht="15" customHeight="1" x14ac:dyDescent="0.2">
      <c r="A21" s="6"/>
      <c r="B21" s="6"/>
      <c r="C21" s="6"/>
      <c r="D21" s="6"/>
      <c r="E21" s="6"/>
      <c r="F21" s="6"/>
      <c r="G21" s="6"/>
      <c r="H21" s="6"/>
    </row>
    <row r="22" spans="1:8" ht="15" customHeight="1" x14ac:dyDescent="0.2">
      <c r="A22" s="6" t="s">
        <v>656</v>
      </c>
      <c r="B22" s="15">
        <f>(B17-B18)/(B19-B20)</f>
        <v>-0.44909316942594868</v>
      </c>
      <c r="C22" s="6"/>
      <c r="D22" s="6"/>
      <c r="E22" s="6"/>
      <c r="F22" s="6"/>
      <c r="G22" s="6"/>
      <c r="H22" s="6"/>
    </row>
    <row r="23" spans="1:8" ht="15" customHeight="1" x14ac:dyDescent="0.2">
      <c r="A23" s="6"/>
      <c r="B23" s="6"/>
      <c r="C23" s="6"/>
      <c r="D23" s="6"/>
      <c r="E23" s="6"/>
      <c r="F23" s="6"/>
      <c r="G23" s="6"/>
      <c r="H23" s="6"/>
    </row>
    <row r="24" spans="1:8" ht="15" customHeight="1" x14ac:dyDescent="0.2">
      <c r="A24" s="40" t="s">
        <v>657</v>
      </c>
      <c r="B24" s="15">
        <f>EXP((E17-E18)*E19)</f>
        <v>1.0236076852481912</v>
      </c>
      <c r="C24" s="6"/>
      <c r="D24" s="6"/>
      <c r="E24" s="6"/>
      <c r="F24" s="6"/>
      <c r="G24" s="6"/>
      <c r="H24" s="6"/>
    </row>
    <row r="25" spans="1:8" ht="15" customHeight="1" x14ac:dyDescent="0.2">
      <c r="A25" s="6" t="s">
        <v>658</v>
      </c>
      <c r="B25" s="15">
        <f>B24*B22</f>
        <v>-0.4596952196168691</v>
      </c>
      <c r="C25" s="6"/>
      <c r="D25" s="6"/>
      <c r="E25" s="6"/>
      <c r="F25" s="6"/>
      <c r="G25" s="6"/>
      <c r="H25" s="6"/>
    </row>
    <row r="26" spans="1:8" ht="15" customHeight="1" x14ac:dyDescent="0.2">
      <c r="A26" s="6"/>
      <c r="B26" s="6"/>
      <c r="C26" s="6"/>
      <c r="D26" s="6"/>
      <c r="E26" s="6"/>
      <c r="F26" s="6"/>
      <c r="G26" s="6"/>
      <c r="H26" s="6"/>
    </row>
    <row r="27" spans="1:8" ht="15" customHeight="1" x14ac:dyDescent="0.2">
      <c r="A27" s="6" t="s">
        <v>659</v>
      </c>
      <c r="B27" s="15">
        <v>40.12577825347217</v>
      </c>
      <c r="C27" s="6"/>
      <c r="D27" s="6" t="s">
        <v>660</v>
      </c>
      <c r="E27" s="15">
        <f>B22</f>
        <v>-0.44909316942594868</v>
      </c>
      <c r="F27" s="6"/>
      <c r="G27" s="6"/>
      <c r="H27" s="6"/>
    </row>
    <row r="28" spans="1:8" ht="15" customHeight="1" x14ac:dyDescent="0.2">
      <c r="A28" s="6" t="s">
        <v>661</v>
      </c>
      <c r="B28" s="15">
        <v>39.813912214509799</v>
      </c>
      <c r="C28" s="6"/>
      <c r="D28" s="6" t="s">
        <v>662</v>
      </c>
      <c r="E28" s="15">
        <v>-0.44371158307928277</v>
      </c>
      <c r="F28" s="6"/>
      <c r="G28" s="6"/>
      <c r="H28" s="6"/>
    </row>
    <row r="29" spans="1:8" ht="15" customHeight="1" x14ac:dyDescent="0.2">
      <c r="A29" s="6" t="s">
        <v>663</v>
      </c>
      <c r="B29" s="15">
        <v>36.704150161458131</v>
      </c>
      <c r="C29" s="6"/>
      <c r="D29" s="6" t="s">
        <v>664</v>
      </c>
      <c r="E29" s="15">
        <v>-0.44202031906049644</v>
      </c>
      <c r="F29" s="6"/>
      <c r="G29" s="6"/>
      <c r="H29" s="6"/>
    </row>
    <row r="30" spans="1:8" ht="15" customHeight="1" x14ac:dyDescent="0.2">
      <c r="A30" s="6"/>
      <c r="B30" s="15">
        <f>B27+(B29-B28)</f>
        <v>37.016016200420502</v>
      </c>
      <c r="C30" s="6"/>
      <c r="D30" s="6"/>
      <c r="E30" s="15">
        <f>E27+(E29-E28)</f>
        <v>-0.44740190540716235</v>
      </c>
      <c r="F30" s="6"/>
      <c r="G30" s="6"/>
      <c r="H30" s="6"/>
    </row>
    <row r="31" spans="1:8" ht="15" customHeight="1" x14ac:dyDescent="0.2">
      <c r="A31" s="6"/>
      <c r="B31" s="6"/>
      <c r="C31" s="6"/>
      <c r="D31" s="6"/>
      <c r="E31" s="6"/>
      <c r="F31" s="6"/>
      <c r="G31" s="6"/>
      <c r="H31" s="6"/>
    </row>
    <row r="32" spans="1:8" ht="15" customHeight="1" x14ac:dyDescent="0.2">
      <c r="A32" s="53" t="s">
        <v>665</v>
      </c>
      <c r="B32" s="53"/>
      <c r="C32" s="53"/>
      <c r="D32" s="53"/>
      <c r="E32" s="53"/>
      <c r="F32" s="53"/>
      <c r="G32" s="53"/>
      <c r="H32" s="53"/>
    </row>
    <row r="33" spans="1:8" ht="15" customHeight="1" x14ac:dyDescent="0.2">
      <c r="A33" s="6"/>
      <c r="B33" s="6"/>
      <c r="C33" s="6"/>
      <c r="D33" s="6"/>
      <c r="E33" s="6"/>
      <c r="F33" s="6"/>
      <c r="G33" s="6"/>
      <c r="H33" s="6"/>
    </row>
    <row r="34" spans="1:8" ht="15" customHeight="1" x14ac:dyDescent="0.2">
      <c r="A34" s="6"/>
      <c r="B34" s="6"/>
      <c r="C34" s="6"/>
      <c r="D34" s="6"/>
      <c r="E34" s="6"/>
      <c r="F34" s="6"/>
      <c r="G34" s="6"/>
      <c r="H34" s="6"/>
    </row>
    <row r="35" spans="1:8" ht="15" customHeight="1" x14ac:dyDescent="0.2">
      <c r="A35" s="6"/>
      <c r="B35" s="6"/>
      <c r="C35" s="6"/>
      <c r="D35" s="6"/>
      <c r="E35" s="6"/>
      <c r="F35" s="6"/>
      <c r="G35" s="6"/>
      <c r="H35" s="6"/>
    </row>
  </sheetData>
  <mergeCells count="15">
    <mergeCell ref="A12:H12"/>
    <mergeCell ref="A13:H13"/>
    <mergeCell ref="A14:H14"/>
    <mergeCell ref="A16:H16"/>
    <mergeCell ref="A32:H32"/>
    <mergeCell ref="A7:H7"/>
    <mergeCell ref="A8:H8"/>
    <mergeCell ref="A9:H9"/>
    <mergeCell ref="A10:H10"/>
    <mergeCell ref="A11:H11"/>
    <mergeCell ref="A1:H1"/>
    <mergeCell ref="A3:H3"/>
    <mergeCell ref="A4:H4"/>
    <mergeCell ref="A5:H5"/>
    <mergeCell ref="A6:H6"/>
  </mergeCells>
  <pageMargins left="0.35" right="0.35" top="0.45" bottom="0.45" header="0.2" footer="0.2"/>
  <pageSetup paperSize="9" fitToHeight="0" orientation="landscape"/>
  <headerFooter>
    <oddFooter>&amp;L&amp;"Times New Roman,Regular"&amp;8John C. Hull – 12a edizione&amp;C&amp;"Times New Roman,Regular"&amp;8Ulteriori Domande&amp;R&amp;"Times New Roman,Regular"&amp;8&amp;A |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19</vt:i4>
      </vt:variant>
      <vt:variant>
        <vt:lpstr>Intervalli denominati</vt:lpstr>
      </vt:variant>
      <vt:variant>
        <vt:i4>38</vt:i4>
      </vt:variant>
    </vt:vector>
  </HeadingPairs>
  <TitlesOfParts>
    <vt:vector size="57" baseType="lpstr">
      <vt:lpstr>1</vt:lpstr>
      <vt:lpstr>2</vt:lpstr>
      <vt:lpstr>3</vt:lpstr>
      <vt:lpstr>4</vt:lpstr>
      <vt:lpstr>5</vt:lpstr>
      <vt:lpstr>6</vt:lpstr>
      <vt:lpstr>7</vt:lpstr>
      <vt:lpstr>8</vt:lpstr>
      <vt:lpstr>10</vt:lpstr>
      <vt:lpstr>11</vt:lpstr>
      <vt:lpstr>12</vt:lpstr>
      <vt:lpstr>13</vt:lpstr>
      <vt:lpstr>15</vt:lpstr>
      <vt:lpstr>16</vt:lpstr>
      <vt:lpstr>17</vt:lpstr>
      <vt:lpstr>18</vt:lpstr>
      <vt:lpstr>19</vt:lpstr>
      <vt:lpstr>20</vt:lpstr>
      <vt:lpstr>21</vt:lpstr>
      <vt:lpstr>'1'!Area_stampa</vt:lpstr>
      <vt:lpstr>'10'!Area_stampa</vt:lpstr>
      <vt:lpstr>'11'!Area_stampa</vt:lpstr>
      <vt:lpstr>'12'!Area_stampa</vt:lpstr>
      <vt:lpstr>'13'!Area_stampa</vt:lpstr>
      <vt:lpstr>'15'!Area_stampa</vt:lpstr>
      <vt:lpstr>'16'!Area_stampa</vt:lpstr>
      <vt:lpstr>'17'!Area_stampa</vt:lpstr>
      <vt:lpstr>'18'!Area_stampa</vt:lpstr>
      <vt:lpstr>'19'!Area_stampa</vt:lpstr>
      <vt:lpstr>'2'!Area_stampa</vt:lpstr>
      <vt:lpstr>'20'!Area_stampa</vt:lpstr>
      <vt:lpstr>'21'!Area_stampa</vt:lpstr>
      <vt:lpstr>'3'!Area_stampa</vt:lpstr>
      <vt:lpstr>'4'!Area_stampa</vt:lpstr>
      <vt:lpstr>'5'!Area_stampa</vt:lpstr>
      <vt:lpstr>'6'!Area_stampa</vt:lpstr>
      <vt:lpstr>'7'!Area_stampa</vt:lpstr>
      <vt:lpstr>'8'!Area_stampa</vt:lpstr>
      <vt:lpstr>'1'!Titoli_stampa</vt:lpstr>
      <vt:lpstr>'10'!Titoli_stampa</vt:lpstr>
      <vt:lpstr>'11'!Titoli_stampa</vt:lpstr>
      <vt:lpstr>'12'!Titoli_stampa</vt:lpstr>
      <vt:lpstr>'13'!Titoli_stampa</vt:lpstr>
      <vt:lpstr>'15'!Titoli_stampa</vt:lpstr>
      <vt:lpstr>'16'!Titoli_stampa</vt:lpstr>
      <vt:lpstr>'17'!Titoli_stampa</vt:lpstr>
      <vt:lpstr>'18'!Titoli_stampa</vt:lpstr>
      <vt:lpstr>'19'!Titoli_stampa</vt:lpstr>
      <vt:lpstr>'2'!Titoli_stampa</vt:lpstr>
      <vt:lpstr>'20'!Titoli_stampa</vt:lpstr>
      <vt:lpstr>'21'!Titoli_stampa</vt:lpstr>
      <vt:lpstr>'3'!Titoli_stampa</vt:lpstr>
      <vt:lpstr>'4'!Titoli_stampa</vt:lpstr>
      <vt:lpstr>'5'!Titoli_stampa</vt:lpstr>
      <vt:lpstr>'6'!Titoli_stampa</vt:lpstr>
      <vt:lpstr>'7'!Titoli_stampa</vt:lpstr>
      <vt:lpstr>'8'!Titoli_stampa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Ulteriori Domande</dc:title>
  <dc:subject>Opzioni, Futures e Altri Derivati, 12a edizione</dc:subject>
  <dc:creator>John C. Hull</dc:creator>
  <cp:keywords>Hull; 12a edizione; Manuale del Docente; Ulteriori Domande</cp:keywords>
  <dc:description>Edizione italiana a cura di Emilio Barone. Materiale a supporto del Manuale del Docente.</dc:description>
  <cp:lastModifiedBy>Emilio Barone</cp:lastModifiedBy>
  <dcterms:created xsi:type="dcterms:W3CDTF">2026-10-21T16:54:05Z</dcterms:created>
  <dcterms:modified xsi:type="dcterms:W3CDTF">2026-10-21T17:26:51Z</dcterms:modified>
  <cp:category>Manuale del Docente</cp:category>
  <dc:language>it-IT</dc:language>
</cp:coreProperties>
</file>