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ss\Desktop\THESIS\data\external\Factors\"/>
    </mc:Choice>
  </mc:AlternateContent>
  <xr:revisionPtr revIDLastSave="0" documentId="13_ncr:1_{E097758B-AF54-4853-8696-35D98DDCD955}" xr6:coauthVersionLast="47" xr6:coauthVersionMax="47" xr10:uidLastSave="{00000000-0000-0000-0000-000000000000}"/>
  <bookViews>
    <workbookView xWindow="1320" yWindow="228" windowWidth="20784" windowHeight="12912" activeTab="5" xr2:uid="{1491422B-A745-4776-BC04-8619F2D844AE}"/>
  </bookViews>
  <sheets>
    <sheet name="EU" sheetId="1" r:id="rId1"/>
    <sheet name="BAB" sheetId="3" r:id="rId2"/>
    <sheet name="Fung_Hsieh" sheetId="4" r:id="rId3"/>
    <sheet name="RS" sheetId="5" r:id="rId4"/>
    <sheet name="RI_RB" sheetId="6" r:id="rId5"/>
    <sheet name="US" sheetId="2" r:id="rId6"/>
  </sheets>
  <definedNames>
    <definedName name="SpreadsheetBuilder_1" hidden="1">RS!$A$1:$D$7</definedName>
    <definedName name="SpreadsheetBuilder_2" hidden="1">RS!$A$1:$D$7</definedName>
    <definedName name="SpreadsheetBuilder_3" hidden="1">RI_RB!$A$7:$G$13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5" i="6" l="1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C67" i="6"/>
  <c r="C68" i="6"/>
  <c r="C69" i="6"/>
  <c r="C70" i="6"/>
  <c r="C71" i="6"/>
  <c r="C72" i="6"/>
  <c r="C73" i="6"/>
  <c r="C74" i="6"/>
  <c r="C75" i="6"/>
  <c r="C76" i="6"/>
  <c r="C77" i="6"/>
  <c r="C78" i="6"/>
  <c r="C79" i="6"/>
  <c r="C80" i="6"/>
  <c r="C81" i="6"/>
  <c r="C82" i="6"/>
  <c r="C83" i="6"/>
  <c r="C84" i="6"/>
  <c r="C85" i="6"/>
  <c r="C86" i="6"/>
  <c r="C87" i="6"/>
  <c r="C88" i="6"/>
  <c r="C89" i="6"/>
  <c r="C90" i="6"/>
  <c r="C91" i="6"/>
  <c r="C92" i="6"/>
  <c r="C93" i="6"/>
  <c r="C94" i="6"/>
  <c r="C95" i="6"/>
  <c r="C96" i="6"/>
  <c r="C97" i="6"/>
  <c r="C98" i="6"/>
  <c r="C99" i="6"/>
  <c r="C100" i="6"/>
  <c r="C101" i="6"/>
  <c r="C102" i="6"/>
  <c r="C103" i="6"/>
  <c r="C104" i="6"/>
  <c r="C105" i="6"/>
  <c r="C106" i="6"/>
  <c r="C107" i="6"/>
  <c r="C108" i="6"/>
  <c r="C109" i="6"/>
  <c r="C110" i="6"/>
  <c r="C111" i="6"/>
  <c r="C112" i="6"/>
  <c r="C113" i="6"/>
  <c r="C114" i="6"/>
  <c r="C115" i="6"/>
  <c r="C116" i="6"/>
  <c r="C117" i="6"/>
  <c r="C118" i="6"/>
  <c r="C119" i="6"/>
  <c r="C120" i="6"/>
  <c r="C121" i="6"/>
  <c r="C122" i="6"/>
  <c r="C123" i="6"/>
  <c r="C124" i="6"/>
  <c r="C125" i="6"/>
  <c r="C126" i="6"/>
  <c r="C127" i="6"/>
  <c r="C128" i="6"/>
  <c r="C129" i="6"/>
  <c r="C130" i="6"/>
  <c r="C131" i="6"/>
  <c r="C132" i="6"/>
  <c r="C133" i="6"/>
  <c r="C134" i="6"/>
  <c r="C135" i="6"/>
  <c r="C136" i="6"/>
  <c r="C137" i="6"/>
  <c r="C138" i="6"/>
  <c r="C139" i="6"/>
  <c r="C140" i="6"/>
  <c r="C141" i="6"/>
  <c r="C142" i="6"/>
  <c r="C143" i="6"/>
  <c r="C144" i="6"/>
  <c r="C145" i="6"/>
  <c r="C146" i="6"/>
  <c r="C147" i="6"/>
  <c r="C148" i="6"/>
  <c r="C149" i="6"/>
  <c r="C150" i="6"/>
  <c r="C151" i="6"/>
  <c r="C152" i="6"/>
  <c r="C153" i="6"/>
  <c r="C154" i="6"/>
  <c r="C155" i="6"/>
  <c r="C156" i="6"/>
  <c r="C157" i="6"/>
  <c r="C158" i="6"/>
  <c r="C159" i="6"/>
  <c r="C160" i="6"/>
  <c r="C161" i="6"/>
  <c r="C162" i="6"/>
  <c r="C163" i="6"/>
  <c r="C164" i="6"/>
  <c r="C165" i="6"/>
  <c r="C166" i="6"/>
  <c r="C167" i="6"/>
  <c r="C168" i="6"/>
  <c r="C169" i="6"/>
  <c r="C170" i="6"/>
  <c r="C171" i="6"/>
  <c r="C172" i="6"/>
  <c r="C173" i="6"/>
  <c r="C174" i="6"/>
  <c r="C175" i="6"/>
  <c r="C176" i="6"/>
  <c r="C177" i="6"/>
  <c r="C178" i="6"/>
  <c r="C179" i="6"/>
  <c r="C180" i="6"/>
  <c r="C181" i="6"/>
  <c r="C182" i="6"/>
  <c r="C183" i="6"/>
  <c r="C184" i="6"/>
  <c r="C185" i="6"/>
  <c r="C186" i="6"/>
  <c r="C187" i="6"/>
  <c r="C188" i="6"/>
  <c r="C189" i="6"/>
  <c r="C190" i="6"/>
  <c r="C191" i="6"/>
  <c r="C192" i="6"/>
  <c r="C193" i="6"/>
  <c r="C194" i="6"/>
  <c r="C195" i="6"/>
  <c r="C196" i="6"/>
  <c r="C197" i="6"/>
  <c r="C198" i="6"/>
  <c r="C199" i="6"/>
  <c r="C200" i="6"/>
  <c r="C201" i="6"/>
  <c r="C202" i="6"/>
  <c r="C203" i="6"/>
  <c r="C204" i="6"/>
  <c r="C205" i="6"/>
  <c r="C206" i="6"/>
  <c r="C207" i="6"/>
  <c r="C208" i="6"/>
  <c r="C209" i="6"/>
  <c r="C210" i="6"/>
  <c r="C211" i="6"/>
  <c r="C212" i="6"/>
  <c r="C213" i="6"/>
  <c r="C214" i="6"/>
  <c r="C215" i="6"/>
  <c r="C216" i="6"/>
  <c r="C217" i="6"/>
  <c r="C218" i="6"/>
  <c r="C219" i="6"/>
  <c r="C220" i="6"/>
  <c r="C221" i="6"/>
  <c r="C222" i="6"/>
  <c r="C223" i="6"/>
  <c r="C224" i="6"/>
  <c r="C225" i="6"/>
  <c r="C226" i="6"/>
  <c r="C227" i="6"/>
  <c r="C228" i="6"/>
  <c r="C229" i="6"/>
  <c r="C230" i="6"/>
  <c r="C231" i="6"/>
  <c r="C232" i="6"/>
  <c r="C233" i="6"/>
  <c r="C234" i="6"/>
  <c r="C235" i="6"/>
  <c r="C236" i="6"/>
  <c r="C237" i="6"/>
  <c r="C238" i="6"/>
  <c r="C239" i="6"/>
  <c r="C240" i="6"/>
  <c r="C241" i="6"/>
  <c r="C242" i="6"/>
  <c r="C243" i="6"/>
  <c r="C244" i="6"/>
  <c r="C245" i="6"/>
  <c r="C246" i="6"/>
  <c r="C247" i="6"/>
  <c r="C248" i="6"/>
  <c r="C249" i="6"/>
  <c r="C250" i="6"/>
  <c r="C251" i="6"/>
  <c r="C252" i="6"/>
  <c r="C253" i="6"/>
  <c r="C254" i="6"/>
  <c r="C255" i="6"/>
  <c r="C256" i="6"/>
  <c r="C257" i="6"/>
  <c r="C258" i="6"/>
  <c r="C259" i="6"/>
  <c r="C260" i="6"/>
  <c r="C261" i="6"/>
  <c r="C262" i="6"/>
  <c r="C263" i="6"/>
  <c r="C264" i="6"/>
  <c r="C265" i="6"/>
  <c r="C266" i="6"/>
  <c r="C267" i="6"/>
  <c r="C268" i="6"/>
  <c r="C269" i="6"/>
  <c r="C270" i="6"/>
  <c r="C271" i="6"/>
  <c r="C272" i="6"/>
  <c r="C273" i="6"/>
  <c r="C274" i="6"/>
  <c r="C275" i="6"/>
  <c r="C276" i="6"/>
  <c r="C277" i="6"/>
  <c r="C14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93" i="6"/>
  <c r="B94" i="6"/>
  <c r="B95" i="6"/>
  <c r="B96" i="6"/>
  <c r="B97" i="6"/>
  <c r="B98" i="6"/>
  <c r="B99" i="6"/>
  <c r="B100" i="6"/>
  <c r="B101" i="6"/>
  <c r="B102" i="6"/>
  <c r="B103" i="6"/>
  <c r="B104" i="6"/>
  <c r="B105" i="6"/>
  <c r="B106" i="6"/>
  <c r="B107" i="6"/>
  <c r="B108" i="6"/>
  <c r="B109" i="6"/>
  <c r="B110" i="6"/>
  <c r="B111" i="6"/>
  <c r="B112" i="6"/>
  <c r="B113" i="6"/>
  <c r="B114" i="6"/>
  <c r="B115" i="6"/>
  <c r="B116" i="6"/>
  <c r="B117" i="6"/>
  <c r="B118" i="6"/>
  <c r="B119" i="6"/>
  <c r="B120" i="6"/>
  <c r="B121" i="6"/>
  <c r="B122" i="6"/>
  <c r="B123" i="6"/>
  <c r="B124" i="6"/>
  <c r="B125" i="6"/>
  <c r="B126" i="6"/>
  <c r="B127" i="6"/>
  <c r="B128" i="6"/>
  <c r="B129" i="6"/>
  <c r="B130" i="6"/>
  <c r="B131" i="6"/>
  <c r="B132" i="6"/>
  <c r="B133" i="6"/>
  <c r="B134" i="6"/>
  <c r="B135" i="6"/>
  <c r="B136" i="6"/>
  <c r="B137" i="6"/>
  <c r="B138" i="6"/>
  <c r="B139" i="6"/>
  <c r="B140" i="6"/>
  <c r="B141" i="6"/>
  <c r="B142" i="6"/>
  <c r="B143" i="6"/>
  <c r="B144" i="6"/>
  <c r="B145" i="6"/>
  <c r="B146" i="6"/>
  <c r="B147" i="6"/>
  <c r="B148" i="6"/>
  <c r="B149" i="6"/>
  <c r="B150" i="6"/>
  <c r="B151" i="6"/>
  <c r="B152" i="6"/>
  <c r="B153" i="6"/>
  <c r="B154" i="6"/>
  <c r="B155" i="6"/>
  <c r="B156" i="6"/>
  <c r="B157" i="6"/>
  <c r="B158" i="6"/>
  <c r="B159" i="6"/>
  <c r="B160" i="6"/>
  <c r="B161" i="6"/>
  <c r="B162" i="6"/>
  <c r="B163" i="6"/>
  <c r="B164" i="6"/>
  <c r="B165" i="6"/>
  <c r="B166" i="6"/>
  <c r="B167" i="6"/>
  <c r="B168" i="6"/>
  <c r="B169" i="6"/>
  <c r="B170" i="6"/>
  <c r="B171" i="6"/>
  <c r="B172" i="6"/>
  <c r="B173" i="6"/>
  <c r="B174" i="6"/>
  <c r="B175" i="6"/>
  <c r="B176" i="6"/>
  <c r="B177" i="6"/>
  <c r="B178" i="6"/>
  <c r="B179" i="6"/>
  <c r="B180" i="6"/>
  <c r="B181" i="6"/>
  <c r="B182" i="6"/>
  <c r="B183" i="6"/>
  <c r="B184" i="6"/>
  <c r="B185" i="6"/>
  <c r="B186" i="6"/>
  <c r="B187" i="6"/>
  <c r="B188" i="6"/>
  <c r="B189" i="6"/>
  <c r="B190" i="6"/>
  <c r="B191" i="6"/>
  <c r="B192" i="6"/>
  <c r="B193" i="6"/>
  <c r="B194" i="6"/>
  <c r="B195" i="6"/>
  <c r="B196" i="6"/>
  <c r="B197" i="6"/>
  <c r="B198" i="6"/>
  <c r="B199" i="6"/>
  <c r="B200" i="6"/>
  <c r="B201" i="6"/>
  <c r="B202" i="6"/>
  <c r="B203" i="6"/>
  <c r="B204" i="6"/>
  <c r="B205" i="6"/>
  <c r="B206" i="6"/>
  <c r="B207" i="6"/>
  <c r="B208" i="6"/>
  <c r="B209" i="6"/>
  <c r="B210" i="6"/>
  <c r="B211" i="6"/>
  <c r="B212" i="6"/>
  <c r="B213" i="6"/>
  <c r="B214" i="6"/>
  <c r="B215" i="6"/>
  <c r="B216" i="6"/>
  <c r="B217" i="6"/>
  <c r="B218" i="6"/>
  <c r="B219" i="6"/>
  <c r="B220" i="6"/>
  <c r="B221" i="6"/>
  <c r="B222" i="6"/>
  <c r="B223" i="6"/>
  <c r="B224" i="6"/>
  <c r="B225" i="6"/>
  <c r="B226" i="6"/>
  <c r="B227" i="6"/>
  <c r="B228" i="6"/>
  <c r="B229" i="6"/>
  <c r="B230" i="6"/>
  <c r="B231" i="6"/>
  <c r="B232" i="6"/>
  <c r="B233" i="6"/>
  <c r="B234" i="6"/>
  <c r="B235" i="6"/>
  <c r="B236" i="6"/>
  <c r="B237" i="6"/>
  <c r="B238" i="6"/>
  <c r="B239" i="6"/>
  <c r="B240" i="6"/>
  <c r="B241" i="6"/>
  <c r="B242" i="6"/>
  <c r="B243" i="6"/>
  <c r="B244" i="6"/>
  <c r="B245" i="6"/>
  <c r="B246" i="6"/>
  <c r="B247" i="6"/>
  <c r="B248" i="6"/>
  <c r="B249" i="6"/>
  <c r="B250" i="6"/>
  <c r="B251" i="6"/>
  <c r="B252" i="6"/>
  <c r="B253" i="6"/>
  <c r="B254" i="6"/>
  <c r="B255" i="6"/>
  <c r="B256" i="6"/>
  <c r="B257" i="6"/>
  <c r="B258" i="6"/>
  <c r="B259" i="6"/>
  <c r="B260" i="6"/>
  <c r="B261" i="6"/>
  <c r="B262" i="6"/>
  <c r="B263" i="6"/>
  <c r="B264" i="6"/>
  <c r="B265" i="6"/>
  <c r="B266" i="6"/>
  <c r="B267" i="6"/>
  <c r="B268" i="6"/>
  <c r="B269" i="6"/>
  <c r="B270" i="6"/>
  <c r="B271" i="6"/>
  <c r="B272" i="6"/>
  <c r="B273" i="6"/>
  <c r="B274" i="6"/>
  <c r="B275" i="6"/>
  <c r="B276" i="6"/>
  <c r="B277" i="6"/>
  <c r="B15" i="6"/>
  <c r="B14" i="6"/>
  <c r="B3" i="6" a="1"/>
  <c r="B3" i="6"/>
  <c r="B4" i="6" a="1"/>
  <c r="B4" i="6"/>
  <c r="B2" i="6" a="1"/>
  <c r="B2" i="6"/>
  <c r="B1" i="6" a="1"/>
  <c r="B1" i="6" l="1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B33" i="5"/>
  <c r="B34" i="5"/>
  <c r="B35" i="5"/>
  <c r="B36" i="5"/>
  <c r="B37" i="5"/>
  <c r="B38" i="5"/>
  <c r="B39" i="5"/>
  <c r="B40" i="5"/>
  <c r="B41" i="5"/>
  <c r="B42" i="5"/>
  <c r="B43" i="5"/>
  <c r="B44" i="5"/>
  <c r="B45" i="5"/>
  <c r="B46" i="5"/>
  <c r="B47" i="5"/>
  <c r="B48" i="5"/>
  <c r="B49" i="5"/>
  <c r="B50" i="5"/>
  <c r="B51" i="5"/>
  <c r="B52" i="5"/>
  <c r="B53" i="5"/>
  <c r="B54" i="5"/>
  <c r="B55" i="5"/>
  <c r="B56" i="5"/>
  <c r="B57" i="5"/>
  <c r="B58" i="5"/>
  <c r="B59" i="5"/>
  <c r="B60" i="5"/>
  <c r="B61" i="5"/>
  <c r="B62" i="5"/>
  <c r="B63" i="5"/>
  <c r="B64" i="5"/>
  <c r="B65" i="5"/>
  <c r="B66" i="5"/>
  <c r="B67" i="5"/>
  <c r="B68" i="5"/>
  <c r="B69" i="5"/>
  <c r="B70" i="5"/>
  <c r="B71" i="5"/>
  <c r="B72" i="5"/>
  <c r="B73" i="5"/>
  <c r="B74" i="5"/>
  <c r="B75" i="5"/>
  <c r="B76" i="5"/>
  <c r="B77" i="5"/>
  <c r="B78" i="5"/>
  <c r="B79" i="5"/>
  <c r="B80" i="5"/>
  <c r="B81" i="5"/>
  <c r="B82" i="5"/>
  <c r="B83" i="5"/>
  <c r="B84" i="5"/>
  <c r="B85" i="5"/>
  <c r="B86" i="5"/>
  <c r="B87" i="5"/>
  <c r="B88" i="5"/>
  <c r="B89" i="5"/>
  <c r="B90" i="5"/>
  <c r="B91" i="5"/>
  <c r="B92" i="5"/>
  <c r="B93" i="5"/>
  <c r="B94" i="5"/>
  <c r="B95" i="5"/>
  <c r="B96" i="5"/>
  <c r="B97" i="5"/>
  <c r="B98" i="5"/>
  <c r="B99" i="5"/>
  <c r="B100" i="5"/>
  <c r="B101" i="5"/>
  <c r="B102" i="5"/>
  <c r="B103" i="5"/>
  <c r="B104" i="5"/>
  <c r="B105" i="5"/>
  <c r="B106" i="5"/>
  <c r="B107" i="5"/>
  <c r="B108" i="5"/>
  <c r="B109" i="5"/>
  <c r="B110" i="5"/>
  <c r="B111" i="5"/>
  <c r="B112" i="5"/>
  <c r="B113" i="5"/>
  <c r="B114" i="5"/>
  <c r="B115" i="5"/>
  <c r="B116" i="5"/>
  <c r="B117" i="5"/>
  <c r="B118" i="5"/>
  <c r="B119" i="5"/>
  <c r="B120" i="5"/>
  <c r="B121" i="5"/>
  <c r="B122" i="5"/>
  <c r="B123" i="5"/>
  <c r="B124" i="5"/>
  <c r="B125" i="5"/>
  <c r="B126" i="5"/>
  <c r="B127" i="5"/>
  <c r="B128" i="5"/>
  <c r="B129" i="5"/>
  <c r="B130" i="5"/>
  <c r="B131" i="5"/>
  <c r="B132" i="5"/>
  <c r="B133" i="5"/>
  <c r="B134" i="5"/>
  <c r="B135" i="5"/>
  <c r="B136" i="5"/>
  <c r="B137" i="5"/>
  <c r="B138" i="5"/>
  <c r="B139" i="5"/>
  <c r="B140" i="5"/>
  <c r="B141" i="5"/>
  <c r="B142" i="5"/>
  <c r="B143" i="5"/>
  <c r="B144" i="5"/>
  <c r="B145" i="5"/>
  <c r="B146" i="5"/>
  <c r="B147" i="5"/>
  <c r="B148" i="5"/>
  <c r="B149" i="5"/>
  <c r="B150" i="5"/>
  <c r="B151" i="5"/>
  <c r="B152" i="5"/>
  <c r="B153" i="5"/>
  <c r="B154" i="5"/>
  <c r="B155" i="5"/>
  <c r="B156" i="5"/>
  <c r="B157" i="5"/>
  <c r="B158" i="5"/>
  <c r="B159" i="5"/>
  <c r="B160" i="5"/>
  <c r="B161" i="5"/>
  <c r="B162" i="5"/>
  <c r="B163" i="5"/>
  <c r="B164" i="5"/>
  <c r="B165" i="5"/>
  <c r="B166" i="5"/>
  <c r="B167" i="5"/>
  <c r="B168" i="5"/>
  <c r="B169" i="5"/>
  <c r="B170" i="5"/>
  <c r="B171" i="5"/>
  <c r="B172" i="5"/>
  <c r="B173" i="5"/>
  <c r="B174" i="5"/>
  <c r="B175" i="5"/>
  <c r="B176" i="5"/>
  <c r="B177" i="5"/>
  <c r="B178" i="5"/>
  <c r="B179" i="5"/>
  <c r="B180" i="5"/>
  <c r="B181" i="5"/>
  <c r="B182" i="5"/>
  <c r="B183" i="5"/>
  <c r="B184" i="5"/>
  <c r="B185" i="5"/>
  <c r="B186" i="5"/>
  <c r="B187" i="5"/>
  <c r="B188" i="5"/>
  <c r="B189" i="5"/>
  <c r="B190" i="5"/>
  <c r="B191" i="5"/>
  <c r="B192" i="5"/>
  <c r="B193" i="5"/>
  <c r="B194" i="5"/>
  <c r="B195" i="5"/>
  <c r="B196" i="5"/>
  <c r="B197" i="5"/>
  <c r="B198" i="5"/>
  <c r="B199" i="5"/>
  <c r="B200" i="5"/>
  <c r="B201" i="5"/>
  <c r="B202" i="5"/>
  <c r="B203" i="5"/>
  <c r="B204" i="5"/>
  <c r="B205" i="5"/>
  <c r="B206" i="5"/>
  <c r="B207" i="5"/>
  <c r="B208" i="5"/>
  <c r="B209" i="5"/>
  <c r="B210" i="5"/>
  <c r="B211" i="5"/>
  <c r="B212" i="5"/>
  <c r="B213" i="5"/>
  <c r="B214" i="5"/>
  <c r="B215" i="5"/>
  <c r="B216" i="5"/>
  <c r="B217" i="5"/>
  <c r="B218" i="5"/>
  <c r="B219" i="5"/>
  <c r="B220" i="5"/>
  <c r="B221" i="5"/>
  <c r="B222" i="5"/>
  <c r="B223" i="5"/>
  <c r="B224" i="5"/>
  <c r="B225" i="5"/>
  <c r="B226" i="5"/>
  <c r="B227" i="5"/>
  <c r="B228" i="5"/>
  <c r="B229" i="5"/>
  <c r="B230" i="5"/>
  <c r="B231" i="5"/>
  <c r="B232" i="5"/>
  <c r="B233" i="5"/>
  <c r="B234" i="5"/>
  <c r="B235" i="5"/>
  <c r="B236" i="5"/>
  <c r="B237" i="5"/>
  <c r="B238" i="5"/>
  <c r="B239" i="5"/>
  <c r="B240" i="5"/>
  <c r="B241" i="5"/>
  <c r="B242" i="5"/>
  <c r="B243" i="5"/>
  <c r="B244" i="5"/>
  <c r="B245" i="5"/>
  <c r="B246" i="5"/>
  <c r="B247" i="5"/>
  <c r="B248" i="5"/>
  <c r="B249" i="5"/>
  <c r="B250" i="5"/>
  <c r="B251" i="5"/>
  <c r="B252" i="5"/>
  <c r="B253" i="5"/>
  <c r="B254" i="5"/>
  <c r="B255" i="5"/>
  <c r="B256" i="5"/>
  <c r="B257" i="5"/>
  <c r="B258" i="5"/>
  <c r="B259" i="5"/>
  <c r="B260" i="5"/>
  <c r="B261" i="5"/>
  <c r="B262" i="5"/>
  <c r="B263" i="5"/>
  <c r="B264" i="5"/>
  <c r="B265" i="5"/>
  <c r="B266" i="5"/>
  <c r="B267" i="5"/>
  <c r="B268" i="5"/>
  <c r="B269" i="5"/>
  <c r="B270" i="5"/>
  <c r="B271" i="5"/>
  <c r="B8" i="5"/>
  <c r="B7" i="5"/>
  <c r="K14" i="1" l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13" i="1"/>
  <c r="L14" i="1"/>
  <c r="M14" i="1"/>
  <c r="N14" i="1"/>
  <c r="O14" i="1"/>
  <c r="P14" i="1"/>
  <c r="L15" i="1"/>
  <c r="M15" i="1"/>
  <c r="N15" i="1"/>
  <c r="O15" i="1"/>
  <c r="P15" i="1"/>
  <c r="L16" i="1"/>
  <c r="M16" i="1"/>
  <c r="N16" i="1"/>
  <c r="O16" i="1"/>
  <c r="P16" i="1"/>
  <c r="L17" i="1"/>
  <c r="M17" i="1"/>
  <c r="N17" i="1"/>
  <c r="O17" i="1"/>
  <c r="P17" i="1"/>
  <c r="L18" i="1"/>
  <c r="M18" i="1"/>
  <c r="N18" i="1"/>
  <c r="O18" i="1"/>
  <c r="P18" i="1"/>
  <c r="L19" i="1"/>
  <c r="M19" i="1"/>
  <c r="N19" i="1"/>
  <c r="O19" i="1"/>
  <c r="P19" i="1"/>
  <c r="L20" i="1"/>
  <c r="M20" i="1"/>
  <c r="N20" i="1"/>
  <c r="O20" i="1"/>
  <c r="P20" i="1"/>
  <c r="L21" i="1"/>
  <c r="M21" i="1"/>
  <c r="N21" i="1"/>
  <c r="O21" i="1"/>
  <c r="L22" i="1"/>
  <c r="M22" i="1"/>
  <c r="N22" i="1"/>
  <c r="O22" i="1"/>
  <c r="P22" i="1"/>
  <c r="L23" i="1"/>
  <c r="M23" i="1"/>
  <c r="N23" i="1"/>
  <c r="O23" i="1"/>
  <c r="P23" i="1"/>
  <c r="L24" i="1"/>
  <c r="M24" i="1"/>
  <c r="N24" i="1"/>
  <c r="O24" i="1"/>
  <c r="P24" i="1"/>
  <c r="L25" i="1"/>
  <c r="M25" i="1"/>
  <c r="N25" i="1"/>
  <c r="O25" i="1"/>
  <c r="P25" i="1"/>
  <c r="L26" i="1"/>
  <c r="M26" i="1"/>
  <c r="N26" i="1"/>
  <c r="O26" i="1"/>
  <c r="P26" i="1"/>
  <c r="L27" i="1"/>
  <c r="M27" i="1"/>
  <c r="N27" i="1"/>
  <c r="O27" i="1"/>
  <c r="P27" i="1"/>
  <c r="L28" i="1"/>
  <c r="M28" i="1"/>
  <c r="N28" i="1"/>
  <c r="O28" i="1"/>
  <c r="P28" i="1"/>
  <c r="L29" i="1"/>
  <c r="M29" i="1"/>
  <c r="N29" i="1"/>
  <c r="O29" i="1"/>
  <c r="P29" i="1"/>
  <c r="L30" i="1"/>
  <c r="M30" i="1"/>
  <c r="N30" i="1"/>
  <c r="O30" i="1"/>
  <c r="P30" i="1"/>
  <c r="L31" i="1"/>
  <c r="M31" i="1"/>
  <c r="N31" i="1"/>
  <c r="O31" i="1"/>
  <c r="P31" i="1"/>
  <c r="L32" i="1"/>
  <c r="M32" i="1"/>
  <c r="N32" i="1"/>
  <c r="O32" i="1"/>
  <c r="P32" i="1"/>
  <c r="L33" i="1"/>
  <c r="M33" i="1"/>
  <c r="N33" i="1"/>
  <c r="O33" i="1"/>
  <c r="P33" i="1"/>
  <c r="L34" i="1"/>
  <c r="M34" i="1"/>
  <c r="N34" i="1"/>
  <c r="O34" i="1"/>
  <c r="P34" i="1"/>
  <c r="L35" i="1"/>
  <c r="M35" i="1"/>
  <c r="N35" i="1"/>
  <c r="O35" i="1"/>
  <c r="P35" i="1"/>
  <c r="L36" i="1"/>
  <c r="M36" i="1"/>
  <c r="N36" i="1"/>
  <c r="O36" i="1"/>
  <c r="P36" i="1"/>
  <c r="L37" i="1"/>
  <c r="M37" i="1"/>
  <c r="N37" i="1"/>
  <c r="O37" i="1"/>
  <c r="P37" i="1"/>
  <c r="L38" i="1"/>
  <c r="M38" i="1"/>
  <c r="N38" i="1"/>
  <c r="O38" i="1"/>
  <c r="P38" i="1"/>
  <c r="L39" i="1"/>
  <c r="M39" i="1"/>
  <c r="N39" i="1"/>
  <c r="O39" i="1"/>
  <c r="P39" i="1"/>
  <c r="L40" i="1"/>
  <c r="M40" i="1"/>
  <c r="N40" i="1"/>
  <c r="O40" i="1"/>
  <c r="P40" i="1"/>
  <c r="L41" i="1"/>
  <c r="M41" i="1"/>
  <c r="N41" i="1"/>
  <c r="O41" i="1"/>
  <c r="P41" i="1"/>
  <c r="L42" i="1"/>
  <c r="M42" i="1"/>
  <c r="N42" i="1"/>
  <c r="O42" i="1"/>
  <c r="P42" i="1"/>
  <c r="L43" i="1"/>
  <c r="M43" i="1"/>
  <c r="N43" i="1"/>
  <c r="O43" i="1"/>
  <c r="P43" i="1"/>
  <c r="L44" i="1"/>
  <c r="M44" i="1"/>
  <c r="N44" i="1"/>
  <c r="O44" i="1"/>
  <c r="P44" i="1"/>
  <c r="L45" i="1"/>
  <c r="M45" i="1"/>
  <c r="N45" i="1"/>
  <c r="O45" i="1"/>
  <c r="P45" i="1"/>
  <c r="L46" i="1"/>
  <c r="M46" i="1"/>
  <c r="N46" i="1"/>
  <c r="O46" i="1"/>
  <c r="P46" i="1"/>
  <c r="L47" i="1"/>
  <c r="M47" i="1"/>
  <c r="N47" i="1"/>
  <c r="O47" i="1"/>
  <c r="P47" i="1"/>
  <c r="L48" i="1"/>
  <c r="M48" i="1"/>
  <c r="N48" i="1"/>
  <c r="O48" i="1"/>
  <c r="P48" i="1"/>
  <c r="L49" i="1"/>
  <c r="M49" i="1"/>
  <c r="N49" i="1"/>
  <c r="O49" i="1"/>
  <c r="P49" i="1"/>
  <c r="L50" i="1"/>
  <c r="M50" i="1"/>
  <c r="N50" i="1"/>
  <c r="O50" i="1"/>
  <c r="P50" i="1"/>
  <c r="L51" i="1"/>
  <c r="M51" i="1"/>
  <c r="N51" i="1"/>
  <c r="O51" i="1"/>
  <c r="P51" i="1"/>
  <c r="L52" i="1"/>
  <c r="M52" i="1"/>
  <c r="N52" i="1"/>
  <c r="O52" i="1"/>
  <c r="P52" i="1"/>
  <c r="L53" i="1"/>
  <c r="M53" i="1"/>
  <c r="N53" i="1"/>
  <c r="O53" i="1"/>
  <c r="P53" i="1"/>
  <c r="L54" i="1"/>
  <c r="M54" i="1"/>
  <c r="N54" i="1"/>
  <c r="O54" i="1"/>
  <c r="P54" i="1"/>
  <c r="L55" i="1"/>
  <c r="M55" i="1"/>
  <c r="N55" i="1"/>
  <c r="O55" i="1"/>
  <c r="P55" i="1"/>
  <c r="L56" i="1"/>
  <c r="M56" i="1"/>
  <c r="N56" i="1"/>
  <c r="O56" i="1"/>
  <c r="P56" i="1"/>
  <c r="L57" i="1"/>
  <c r="M57" i="1"/>
  <c r="N57" i="1"/>
  <c r="O57" i="1"/>
  <c r="P57" i="1"/>
  <c r="L58" i="1"/>
  <c r="M58" i="1"/>
  <c r="N58" i="1"/>
  <c r="O58" i="1"/>
  <c r="P58" i="1"/>
  <c r="L59" i="1"/>
  <c r="M59" i="1"/>
  <c r="N59" i="1"/>
  <c r="O59" i="1"/>
  <c r="P59" i="1"/>
  <c r="L60" i="1"/>
  <c r="M60" i="1"/>
  <c r="N60" i="1"/>
  <c r="O60" i="1"/>
  <c r="P60" i="1"/>
  <c r="L61" i="1"/>
  <c r="M61" i="1"/>
  <c r="N61" i="1"/>
  <c r="O61" i="1"/>
  <c r="P61" i="1"/>
  <c r="L62" i="1"/>
  <c r="M62" i="1"/>
  <c r="N62" i="1"/>
  <c r="O62" i="1"/>
  <c r="P62" i="1"/>
  <c r="L63" i="1"/>
  <c r="M63" i="1"/>
  <c r="N63" i="1"/>
  <c r="O63" i="1"/>
  <c r="P63" i="1"/>
  <c r="L64" i="1"/>
  <c r="M64" i="1"/>
  <c r="N64" i="1"/>
  <c r="O64" i="1"/>
  <c r="P64" i="1"/>
  <c r="L65" i="1"/>
  <c r="M65" i="1"/>
  <c r="N65" i="1"/>
  <c r="O65" i="1"/>
  <c r="P65" i="1"/>
  <c r="L66" i="1"/>
  <c r="M66" i="1"/>
  <c r="N66" i="1"/>
  <c r="O66" i="1"/>
  <c r="P66" i="1"/>
  <c r="L67" i="1"/>
  <c r="M67" i="1"/>
  <c r="N67" i="1"/>
  <c r="O67" i="1"/>
  <c r="P67" i="1"/>
  <c r="L68" i="1"/>
  <c r="M68" i="1"/>
  <c r="N68" i="1"/>
  <c r="O68" i="1"/>
  <c r="P68" i="1"/>
  <c r="L69" i="1"/>
  <c r="M69" i="1"/>
  <c r="N69" i="1"/>
  <c r="O69" i="1"/>
  <c r="P69" i="1"/>
  <c r="L70" i="1"/>
  <c r="M70" i="1"/>
  <c r="N70" i="1"/>
  <c r="O70" i="1"/>
  <c r="P70" i="1"/>
  <c r="L71" i="1"/>
  <c r="M71" i="1"/>
  <c r="N71" i="1"/>
  <c r="O71" i="1"/>
  <c r="P71" i="1"/>
  <c r="L72" i="1"/>
  <c r="M72" i="1"/>
  <c r="N72" i="1"/>
  <c r="O72" i="1"/>
  <c r="P72" i="1"/>
  <c r="L73" i="1"/>
  <c r="M73" i="1"/>
  <c r="N73" i="1"/>
  <c r="O73" i="1"/>
  <c r="P73" i="1"/>
  <c r="L74" i="1"/>
  <c r="M74" i="1"/>
  <c r="N74" i="1"/>
  <c r="O74" i="1"/>
  <c r="P74" i="1"/>
  <c r="L75" i="1"/>
  <c r="M75" i="1"/>
  <c r="N75" i="1"/>
  <c r="O75" i="1"/>
  <c r="P75" i="1"/>
  <c r="L76" i="1"/>
  <c r="M76" i="1"/>
  <c r="N76" i="1"/>
  <c r="O76" i="1"/>
  <c r="P76" i="1"/>
  <c r="L77" i="1"/>
  <c r="M77" i="1"/>
  <c r="N77" i="1"/>
  <c r="O77" i="1"/>
  <c r="P77" i="1"/>
  <c r="L78" i="1"/>
  <c r="M78" i="1"/>
  <c r="N78" i="1"/>
  <c r="O78" i="1"/>
  <c r="P78" i="1"/>
  <c r="L79" i="1"/>
  <c r="M79" i="1"/>
  <c r="N79" i="1"/>
  <c r="O79" i="1"/>
  <c r="P79" i="1"/>
  <c r="L80" i="1"/>
  <c r="M80" i="1"/>
  <c r="N80" i="1"/>
  <c r="O80" i="1"/>
  <c r="P80" i="1"/>
  <c r="L81" i="1"/>
  <c r="M81" i="1"/>
  <c r="N81" i="1"/>
  <c r="O81" i="1"/>
  <c r="P81" i="1"/>
  <c r="L82" i="1"/>
  <c r="M82" i="1"/>
  <c r="N82" i="1"/>
  <c r="O82" i="1"/>
  <c r="P82" i="1"/>
  <c r="L83" i="1"/>
  <c r="M83" i="1"/>
  <c r="N83" i="1"/>
  <c r="O83" i="1"/>
  <c r="P83" i="1"/>
  <c r="L84" i="1"/>
  <c r="M84" i="1"/>
  <c r="N84" i="1"/>
  <c r="O84" i="1"/>
  <c r="P84" i="1"/>
  <c r="L85" i="1"/>
  <c r="M85" i="1"/>
  <c r="N85" i="1"/>
  <c r="O85" i="1"/>
  <c r="P85" i="1"/>
  <c r="L86" i="1"/>
  <c r="M86" i="1"/>
  <c r="N86" i="1"/>
  <c r="O86" i="1"/>
  <c r="P86" i="1"/>
  <c r="L87" i="1"/>
  <c r="M87" i="1"/>
  <c r="N87" i="1"/>
  <c r="O87" i="1"/>
  <c r="P87" i="1"/>
  <c r="L88" i="1"/>
  <c r="M88" i="1"/>
  <c r="N88" i="1"/>
  <c r="O88" i="1"/>
  <c r="P88" i="1"/>
  <c r="L89" i="1"/>
  <c r="M89" i="1"/>
  <c r="N89" i="1"/>
  <c r="O89" i="1"/>
  <c r="P89" i="1"/>
  <c r="L90" i="1"/>
  <c r="M90" i="1"/>
  <c r="N90" i="1"/>
  <c r="O90" i="1"/>
  <c r="P90" i="1"/>
  <c r="L91" i="1"/>
  <c r="M91" i="1"/>
  <c r="N91" i="1"/>
  <c r="O91" i="1"/>
  <c r="P91" i="1"/>
  <c r="L92" i="1"/>
  <c r="M92" i="1"/>
  <c r="N92" i="1"/>
  <c r="O92" i="1"/>
  <c r="P92" i="1"/>
  <c r="L93" i="1"/>
  <c r="M93" i="1"/>
  <c r="N93" i="1"/>
  <c r="O93" i="1"/>
  <c r="P93" i="1"/>
  <c r="L94" i="1"/>
  <c r="M94" i="1"/>
  <c r="N94" i="1"/>
  <c r="O94" i="1"/>
  <c r="P94" i="1"/>
  <c r="L95" i="1"/>
  <c r="M95" i="1"/>
  <c r="N95" i="1"/>
  <c r="O95" i="1"/>
  <c r="P95" i="1"/>
  <c r="L96" i="1"/>
  <c r="M96" i="1"/>
  <c r="N96" i="1"/>
  <c r="O96" i="1"/>
  <c r="P96" i="1"/>
  <c r="L97" i="1"/>
  <c r="M97" i="1"/>
  <c r="N97" i="1"/>
  <c r="O97" i="1"/>
  <c r="P97" i="1"/>
  <c r="L98" i="1"/>
  <c r="M98" i="1"/>
  <c r="N98" i="1"/>
  <c r="O98" i="1"/>
  <c r="P98" i="1"/>
  <c r="L99" i="1"/>
  <c r="M99" i="1"/>
  <c r="N99" i="1"/>
  <c r="O99" i="1"/>
  <c r="P99" i="1"/>
  <c r="L100" i="1"/>
  <c r="M100" i="1"/>
  <c r="N100" i="1"/>
  <c r="O100" i="1"/>
  <c r="P100" i="1"/>
  <c r="L101" i="1"/>
  <c r="M101" i="1"/>
  <c r="N101" i="1"/>
  <c r="O101" i="1"/>
  <c r="P101" i="1"/>
  <c r="L102" i="1"/>
  <c r="M102" i="1"/>
  <c r="N102" i="1"/>
  <c r="O102" i="1"/>
  <c r="P102" i="1"/>
  <c r="L103" i="1"/>
  <c r="M103" i="1"/>
  <c r="N103" i="1"/>
  <c r="O103" i="1"/>
  <c r="P103" i="1"/>
  <c r="L104" i="1"/>
  <c r="M104" i="1"/>
  <c r="N104" i="1"/>
  <c r="O104" i="1"/>
  <c r="P104" i="1"/>
  <c r="L105" i="1"/>
  <c r="M105" i="1"/>
  <c r="N105" i="1"/>
  <c r="O105" i="1"/>
  <c r="P105" i="1"/>
  <c r="L106" i="1"/>
  <c r="M106" i="1"/>
  <c r="N106" i="1"/>
  <c r="O106" i="1"/>
  <c r="P106" i="1"/>
  <c r="L107" i="1"/>
  <c r="M107" i="1"/>
  <c r="N107" i="1"/>
  <c r="O107" i="1"/>
  <c r="P107" i="1"/>
  <c r="L108" i="1"/>
  <c r="M108" i="1"/>
  <c r="N108" i="1"/>
  <c r="O108" i="1"/>
  <c r="P108" i="1"/>
  <c r="L109" i="1"/>
  <c r="M109" i="1"/>
  <c r="N109" i="1"/>
  <c r="O109" i="1"/>
  <c r="P109" i="1"/>
  <c r="L110" i="1"/>
  <c r="M110" i="1"/>
  <c r="N110" i="1"/>
  <c r="O110" i="1"/>
  <c r="P110" i="1"/>
  <c r="L111" i="1"/>
  <c r="M111" i="1"/>
  <c r="N111" i="1"/>
  <c r="O111" i="1"/>
  <c r="P111" i="1"/>
  <c r="L112" i="1"/>
  <c r="M112" i="1"/>
  <c r="N112" i="1"/>
  <c r="O112" i="1"/>
  <c r="P112" i="1"/>
  <c r="L113" i="1"/>
  <c r="M113" i="1"/>
  <c r="N113" i="1"/>
  <c r="O113" i="1"/>
  <c r="P113" i="1"/>
  <c r="L114" i="1"/>
  <c r="M114" i="1"/>
  <c r="N114" i="1"/>
  <c r="O114" i="1"/>
  <c r="P114" i="1"/>
  <c r="L115" i="1"/>
  <c r="M115" i="1"/>
  <c r="N115" i="1"/>
  <c r="O115" i="1"/>
  <c r="P115" i="1"/>
  <c r="L116" i="1"/>
  <c r="M116" i="1"/>
  <c r="N116" i="1"/>
  <c r="O116" i="1"/>
  <c r="P116" i="1"/>
  <c r="L117" i="1"/>
  <c r="M117" i="1"/>
  <c r="N117" i="1"/>
  <c r="O117" i="1"/>
  <c r="P117" i="1"/>
  <c r="L118" i="1"/>
  <c r="M118" i="1"/>
  <c r="N118" i="1"/>
  <c r="O118" i="1"/>
  <c r="P118" i="1"/>
  <c r="L119" i="1"/>
  <c r="M119" i="1"/>
  <c r="N119" i="1"/>
  <c r="O119" i="1"/>
  <c r="P119" i="1"/>
  <c r="L120" i="1"/>
  <c r="M120" i="1"/>
  <c r="N120" i="1"/>
  <c r="O120" i="1"/>
  <c r="P120" i="1"/>
  <c r="L121" i="1"/>
  <c r="M121" i="1"/>
  <c r="N121" i="1"/>
  <c r="O121" i="1"/>
  <c r="P121" i="1"/>
  <c r="L122" i="1"/>
  <c r="M122" i="1"/>
  <c r="N122" i="1"/>
  <c r="O122" i="1"/>
  <c r="P122" i="1"/>
  <c r="L123" i="1"/>
  <c r="M123" i="1"/>
  <c r="N123" i="1"/>
  <c r="O123" i="1"/>
  <c r="P123" i="1"/>
  <c r="L124" i="1"/>
  <c r="M124" i="1"/>
  <c r="N124" i="1"/>
  <c r="O124" i="1"/>
  <c r="P124" i="1"/>
  <c r="L125" i="1"/>
  <c r="M125" i="1"/>
  <c r="N125" i="1"/>
  <c r="O125" i="1"/>
  <c r="P125" i="1"/>
  <c r="L126" i="1"/>
  <c r="M126" i="1"/>
  <c r="N126" i="1"/>
  <c r="O126" i="1"/>
  <c r="P126" i="1"/>
  <c r="L127" i="1"/>
  <c r="M127" i="1"/>
  <c r="N127" i="1"/>
  <c r="O127" i="1"/>
  <c r="P127" i="1"/>
  <c r="L128" i="1"/>
  <c r="M128" i="1"/>
  <c r="N128" i="1"/>
  <c r="O128" i="1"/>
  <c r="P128" i="1"/>
  <c r="L129" i="1"/>
  <c r="M129" i="1"/>
  <c r="N129" i="1"/>
  <c r="O129" i="1"/>
  <c r="P129" i="1"/>
  <c r="L130" i="1"/>
  <c r="M130" i="1"/>
  <c r="N130" i="1"/>
  <c r="O130" i="1"/>
  <c r="P130" i="1"/>
  <c r="L131" i="1"/>
  <c r="M131" i="1"/>
  <c r="N131" i="1"/>
  <c r="O131" i="1"/>
  <c r="P131" i="1"/>
  <c r="L132" i="1"/>
  <c r="M132" i="1"/>
  <c r="N132" i="1"/>
  <c r="O132" i="1"/>
  <c r="P132" i="1"/>
  <c r="L133" i="1"/>
  <c r="M133" i="1"/>
  <c r="N133" i="1"/>
  <c r="O133" i="1"/>
  <c r="P133" i="1"/>
  <c r="L134" i="1"/>
  <c r="M134" i="1"/>
  <c r="N134" i="1"/>
  <c r="O134" i="1"/>
  <c r="P134" i="1"/>
  <c r="L135" i="1"/>
  <c r="M135" i="1"/>
  <c r="N135" i="1"/>
  <c r="O135" i="1"/>
  <c r="P135" i="1"/>
  <c r="L136" i="1"/>
  <c r="M136" i="1"/>
  <c r="N136" i="1"/>
  <c r="O136" i="1"/>
  <c r="P136" i="1"/>
  <c r="L137" i="1"/>
  <c r="M137" i="1"/>
  <c r="N137" i="1"/>
  <c r="O137" i="1"/>
  <c r="P137" i="1"/>
  <c r="L138" i="1"/>
  <c r="M138" i="1"/>
  <c r="N138" i="1"/>
  <c r="O138" i="1"/>
  <c r="P138" i="1"/>
  <c r="L139" i="1"/>
  <c r="M139" i="1"/>
  <c r="N139" i="1"/>
  <c r="O139" i="1"/>
  <c r="P139" i="1"/>
  <c r="L140" i="1"/>
  <c r="M140" i="1"/>
  <c r="N140" i="1"/>
  <c r="O140" i="1"/>
  <c r="P140" i="1"/>
  <c r="L141" i="1"/>
  <c r="M141" i="1"/>
  <c r="N141" i="1"/>
  <c r="O141" i="1"/>
  <c r="P141" i="1"/>
  <c r="L142" i="1"/>
  <c r="M142" i="1"/>
  <c r="N142" i="1"/>
  <c r="O142" i="1"/>
  <c r="P142" i="1"/>
  <c r="L143" i="1"/>
  <c r="M143" i="1"/>
  <c r="N143" i="1"/>
  <c r="O143" i="1"/>
  <c r="P143" i="1"/>
  <c r="L144" i="1"/>
  <c r="M144" i="1"/>
  <c r="N144" i="1"/>
  <c r="O144" i="1"/>
  <c r="P144" i="1"/>
  <c r="L145" i="1"/>
  <c r="M145" i="1"/>
  <c r="N145" i="1"/>
  <c r="O145" i="1"/>
  <c r="P145" i="1"/>
  <c r="L146" i="1"/>
  <c r="M146" i="1"/>
  <c r="N146" i="1"/>
  <c r="O146" i="1"/>
  <c r="P146" i="1"/>
  <c r="L147" i="1"/>
  <c r="M147" i="1"/>
  <c r="N147" i="1"/>
  <c r="O147" i="1"/>
  <c r="P147" i="1"/>
  <c r="L148" i="1"/>
  <c r="M148" i="1"/>
  <c r="N148" i="1"/>
  <c r="O148" i="1"/>
  <c r="P148" i="1"/>
  <c r="L149" i="1"/>
  <c r="M149" i="1"/>
  <c r="N149" i="1"/>
  <c r="O149" i="1"/>
  <c r="P149" i="1"/>
  <c r="L150" i="1"/>
  <c r="M150" i="1"/>
  <c r="N150" i="1"/>
  <c r="O150" i="1"/>
  <c r="P150" i="1"/>
  <c r="L151" i="1"/>
  <c r="M151" i="1"/>
  <c r="N151" i="1"/>
  <c r="O151" i="1"/>
  <c r="P151" i="1"/>
  <c r="L152" i="1"/>
  <c r="M152" i="1"/>
  <c r="N152" i="1"/>
  <c r="O152" i="1"/>
  <c r="P152" i="1"/>
  <c r="L153" i="1"/>
  <c r="M153" i="1"/>
  <c r="N153" i="1"/>
  <c r="O153" i="1"/>
  <c r="P153" i="1"/>
  <c r="L154" i="1"/>
  <c r="M154" i="1"/>
  <c r="N154" i="1"/>
  <c r="O154" i="1"/>
  <c r="P154" i="1"/>
  <c r="L155" i="1"/>
  <c r="M155" i="1"/>
  <c r="N155" i="1"/>
  <c r="O155" i="1"/>
  <c r="P155" i="1"/>
  <c r="L156" i="1"/>
  <c r="M156" i="1"/>
  <c r="N156" i="1"/>
  <c r="O156" i="1"/>
  <c r="P156" i="1"/>
  <c r="L157" i="1"/>
  <c r="M157" i="1"/>
  <c r="N157" i="1"/>
  <c r="O157" i="1"/>
  <c r="P157" i="1"/>
  <c r="L158" i="1"/>
  <c r="M158" i="1"/>
  <c r="N158" i="1"/>
  <c r="O158" i="1"/>
  <c r="P158" i="1"/>
  <c r="L159" i="1"/>
  <c r="M159" i="1"/>
  <c r="N159" i="1"/>
  <c r="O159" i="1"/>
  <c r="P159" i="1"/>
  <c r="L160" i="1"/>
  <c r="M160" i="1"/>
  <c r="N160" i="1"/>
  <c r="O160" i="1"/>
  <c r="P160" i="1"/>
  <c r="L161" i="1"/>
  <c r="M161" i="1"/>
  <c r="N161" i="1"/>
  <c r="O161" i="1"/>
  <c r="P161" i="1"/>
  <c r="L162" i="1"/>
  <c r="M162" i="1"/>
  <c r="N162" i="1"/>
  <c r="O162" i="1"/>
  <c r="P162" i="1"/>
  <c r="L163" i="1"/>
  <c r="M163" i="1"/>
  <c r="N163" i="1"/>
  <c r="O163" i="1"/>
  <c r="P163" i="1"/>
  <c r="L164" i="1"/>
  <c r="M164" i="1"/>
  <c r="N164" i="1"/>
  <c r="O164" i="1"/>
  <c r="P164" i="1"/>
  <c r="L165" i="1"/>
  <c r="M165" i="1"/>
  <c r="N165" i="1"/>
  <c r="O165" i="1"/>
  <c r="P165" i="1"/>
  <c r="L166" i="1"/>
  <c r="M166" i="1"/>
  <c r="N166" i="1"/>
  <c r="O166" i="1"/>
  <c r="P166" i="1"/>
  <c r="L167" i="1"/>
  <c r="M167" i="1"/>
  <c r="N167" i="1"/>
  <c r="O167" i="1"/>
  <c r="P167" i="1"/>
  <c r="L168" i="1"/>
  <c r="M168" i="1"/>
  <c r="N168" i="1"/>
  <c r="O168" i="1"/>
  <c r="P168" i="1"/>
  <c r="L169" i="1"/>
  <c r="M169" i="1"/>
  <c r="N169" i="1"/>
  <c r="O169" i="1"/>
  <c r="P169" i="1"/>
  <c r="L170" i="1"/>
  <c r="M170" i="1"/>
  <c r="N170" i="1"/>
  <c r="O170" i="1"/>
  <c r="P170" i="1"/>
  <c r="L171" i="1"/>
  <c r="M171" i="1"/>
  <c r="N171" i="1"/>
  <c r="O171" i="1"/>
  <c r="P171" i="1"/>
  <c r="L172" i="1"/>
  <c r="M172" i="1"/>
  <c r="N172" i="1"/>
  <c r="O172" i="1"/>
  <c r="P172" i="1"/>
  <c r="L173" i="1"/>
  <c r="M173" i="1"/>
  <c r="N173" i="1"/>
  <c r="O173" i="1"/>
  <c r="P173" i="1"/>
  <c r="L174" i="1"/>
  <c r="M174" i="1"/>
  <c r="N174" i="1"/>
  <c r="O174" i="1"/>
  <c r="P174" i="1"/>
  <c r="L175" i="1"/>
  <c r="M175" i="1"/>
  <c r="N175" i="1"/>
  <c r="O175" i="1"/>
  <c r="P175" i="1"/>
  <c r="L176" i="1"/>
  <c r="M176" i="1"/>
  <c r="N176" i="1"/>
  <c r="O176" i="1"/>
  <c r="P176" i="1"/>
  <c r="L177" i="1"/>
  <c r="M177" i="1"/>
  <c r="N177" i="1"/>
  <c r="O177" i="1"/>
  <c r="P177" i="1"/>
  <c r="L178" i="1"/>
  <c r="M178" i="1"/>
  <c r="N178" i="1"/>
  <c r="O178" i="1"/>
  <c r="P178" i="1"/>
  <c r="L179" i="1"/>
  <c r="M179" i="1"/>
  <c r="N179" i="1"/>
  <c r="O179" i="1"/>
  <c r="P179" i="1"/>
  <c r="L180" i="1"/>
  <c r="M180" i="1"/>
  <c r="N180" i="1"/>
  <c r="O180" i="1"/>
  <c r="P180" i="1"/>
  <c r="L181" i="1"/>
  <c r="M181" i="1"/>
  <c r="N181" i="1"/>
  <c r="O181" i="1"/>
  <c r="P181" i="1"/>
  <c r="L182" i="1"/>
  <c r="M182" i="1"/>
  <c r="N182" i="1"/>
  <c r="O182" i="1"/>
  <c r="P182" i="1"/>
  <c r="L183" i="1"/>
  <c r="M183" i="1"/>
  <c r="N183" i="1"/>
  <c r="O183" i="1"/>
  <c r="P183" i="1"/>
  <c r="L184" i="1"/>
  <c r="M184" i="1"/>
  <c r="N184" i="1"/>
  <c r="O184" i="1"/>
  <c r="P184" i="1"/>
  <c r="L185" i="1"/>
  <c r="M185" i="1"/>
  <c r="N185" i="1"/>
  <c r="O185" i="1"/>
  <c r="P185" i="1"/>
  <c r="L186" i="1"/>
  <c r="M186" i="1"/>
  <c r="N186" i="1"/>
  <c r="O186" i="1"/>
  <c r="P186" i="1"/>
  <c r="L187" i="1"/>
  <c r="M187" i="1"/>
  <c r="N187" i="1"/>
  <c r="O187" i="1"/>
  <c r="P187" i="1"/>
  <c r="L188" i="1"/>
  <c r="M188" i="1"/>
  <c r="N188" i="1"/>
  <c r="O188" i="1"/>
  <c r="P188" i="1"/>
  <c r="L189" i="1"/>
  <c r="M189" i="1"/>
  <c r="N189" i="1"/>
  <c r="O189" i="1"/>
  <c r="P189" i="1"/>
  <c r="L190" i="1"/>
  <c r="M190" i="1"/>
  <c r="N190" i="1"/>
  <c r="O190" i="1"/>
  <c r="P190" i="1"/>
  <c r="L191" i="1"/>
  <c r="M191" i="1"/>
  <c r="N191" i="1"/>
  <c r="O191" i="1"/>
  <c r="P191" i="1"/>
  <c r="L192" i="1"/>
  <c r="M192" i="1"/>
  <c r="N192" i="1"/>
  <c r="O192" i="1"/>
  <c r="P192" i="1"/>
  <c r="L193" i="1"/>
  <c r="M193" i="1"/>
  <c r="N193" i="1"/>
  <c r="O193" i="1"/>
  <c r="P193" i="1"/>
  <c r="L194" i="1"/>
  <c r="M194" i="1"/>
  <c r="N194" i="1"/>
  <c r="O194" i="1"/>
  <c r="P194" i="1"/>
  <c r="L195" i="1"/>
  <c r="M195" i="1"/>
  <c r="N195" i="1"/>
  <c r="O195" i="1"/>
  <c r="P195" i="1"/>
  <c r="L196" i="1"/>
  <c r="M196" i="1"/>
  <c r="N196" i="1"/>
  <c r="O196" i="1"/>
  <c r="P196" i="1"/>
  <c r="L197" i="1"/>
  <c r="M197" i="1"/>
  <c r="N197" i="1"/>
  <c r="O197" i="1"/>
  <c r="P197" i="1"/>
  <c r="L198" i="1"/>
  <c r="M198" i="1"/>
  <c r="N198" i="1"/>
  <c r="O198" i="1"/>
  <c r="P198" i="1"/>
  <c r="L199" i="1"/>
  <c r="M199" i="1"/>
  <c r="N199" i="1"/>
  <c r="O199" i="1"/>
  <c r="P199" i="1"/>
  <c r="L200" i="1"/>
  <c r="M200" i="1"/>
  <c r="N200" i="1"/>
  <c r="O200" i="1"/>
  <c r="P200" i="1"/>
  <c r="L201" i="1"/>
  <c r="M201" i="1"/>
  <c r="N201" i="1"/>
  <c r="O201" i="1"/>
  <c r="P201" i="1"/>
  <c r="L202" i="1"/>
  <c r="M202" i="1"/>
  <c r="N202" i="1"/>
  <c r="O202" i="1"/>
  <c r="P202" i="1"/>
  <c r="L203" i="1"/>
  <c r="M203" i="1"/>
  <c r="N203" i="1"/>
  <c r="O203" i="1"/>
  <c r="P203" i="1"/>
  <c r="L204" i="1"/>
  <c r="M204" i="1"/>
  <c r="N204" i="1"/>
  <c r="O204" i="1"/>
  <c r="P204" i="1"/>
  <c r="L205" i="1"/>
  <c r="M205" i="1"/>
  <c r="N205" i="1"/>
  <c r="O205" i="1"/>
  <c r="P205" i="1"/>
  <c r="L206" i="1"/>
  <c r="M206" i="1"/>
  <c r="N206" i="1"/>
  <c r="O206" i="1"/>
  <c r="P206" i="1"/>
  <c r="L207" i="1"/>
  <c r="M207" i="1"/>
  <c r="N207" i="1"/>
  <c r="O207" i="1"/>
  <c r="P207" i="1"/>
  <c r="L208" i="1"/>
  <c r="M208" i="1"/>
  <c r="N208" i="1"/>
  <c r="O208" i="1"/>
  <c r="P208" i="1"/>
  <c r="L209" i="1"/>
  <c r="M209" i="1"/>
  <c r="N209" i="1"/>
  <c r="O209" i="1"/>
  <c r="P209" i="1"/>
  <c r="L210" i="1"/>
  <c r="M210" i="1"/>
  <c r="N210" i="1"/>
  <c r="O210" i="1"/>
  <c r="P210" i="1"/>
  <c r="L211" i="1"/>
  <c r="M211" i="1"/>
  <c r="N211" i="1"/>
  <c r="O211" i="1"/>
  <c r="P211" i="1"/>
  <c r="L212" i="1"/>
  <c r="M212" i="1"/>
  <c r="N212" i="1"/>
  <c r="O212" i="1"/>
  <c r="P212" i="1"/>
  <c r="L213" i="1"/>
  <c r="M213" i="1"/>
  <c r="N213" i="1"/>
  <c r="O213" i="1"/>
  <c r="P213" i="1"/>
  <c r="L214" i="1"/>
  <c r="M214" i="1"/>
  <c r="N214" i="1"/>
  <c r="O214" i="1"/>
  <c r="P214" i="1"/>
  <c r="L215" i="1"/>
  <c r="M215" i="1"/>
  <c r="N215" i="1"/>
  <c r="O215" i="1"/>
  <c r="P215" i="1"/>
  <c r="L216" i="1"/>
  <c r="M216" i="1"/>
  <c r="N216" i="1"/>
  <c r="O216" i="1"/>
  <c r="P216" i="1"/>
  <c r="L217" i="1"/>
  <c r="M217" i="1"/>
  <c r="N217" i="1"/>
  <c r="O217" i="1"/>
  <c r="P217" i="1"/>
  <c r="L218" i="1"/>
  <c r="M218" i="1"/>
  <c r="N218" i="1"/>
  <c r="O218" i="1"/>
  <c r="P218" i="1"/>
  <c r="L219" i="1"/>
  <c r="M219" i="1"/>
  <c r="N219" i="1"/>
  <c r="O219" i="1"/>
  <c r="P219" i="1"/>
  <c r="L220" i="1"/>
  <c r="M220" i="1"/>
  <c r="N220" i="1"/>
  <c r="O220" i="1"/>
  <c r="P220" i="1"/>
  <c r="L221" i="1"/>
  <c r="M221" i="1"/>
  <c r="N221" i="1"/>
  <c r="O221" i="1"/>
  <c r="P221" i="1"/>
  <c r="L222" i="1"/>
  <c r="M222" i="1"/>
  <c r="N222" i="1"/>
  <c r="O222" i="1"/>
  <c r="P222" i="1"/>
  <c r="L223" i="1"/>
  <c r="M223" i="1"/>
  <c r="N223" i="1"/>
  <c r="O223" i="1"/>
  <c r="P223" i="1"/>
  <c r="L224" i="1"/>
  <c r="M224" i="1"/>
  <c r="N224" i="1"/>
  <c r="O224" i="1"/>
  <c r="P224" i="1"/>
  <c r="L225" i="1"/>
  <c r="M225" i="1"/>
  <c r="N225" i="1"/>
  <c r="O225" i="1"/>
  <c r="P225" i="1"/>
  <c r="L226" i="1"/>
  <c r="M226" i="1"/>
  <c r="N226" i="1"/>
  <c r="O226" i="1"/>
  <c r="P226" i="1"/>
  <c r="L227" i="1"/>
  <c r="M227" i="1"/>
  <c r="N227" i="1"/>
  <c r="O227" i="1"/>
  <c r="P227" i="1"/>
  <c r="L228" i="1"/>
  <c r="M228" i="1"/>
  <c r="N228" i="1"/>
  <c r="O228" i="1"/>
  <c r="P228" i="1"/>
  <c r="L229" i="1"/>
  <c r="M229" i="1"/>
  <c r="N229" i="1"/>
  <c r="O229" i="1"/>
  <c r="P229" i="1"/>
  <c r="L230" i="1"/>
  <c r="M230" i="1"/>
  <c r="N230" i="1"/>
  <c r="O230" i="1"/>
  <c r="P230" i="1"/>
  <c r="L231" i="1"/>
  <c r="M231" i="1"/>
  <c r="N231" i="1"/>
  <c r="O231" i="1"/>
  <c r="P231" i="1"/>
  <c r="L232" i="1"/>
  <c r="M232" i="1"/>
  <c r="N232" i="1"/>
  <c r="O232" i="1"/>
  <c r="P232" i="1"/>
  <c r="L233" i="1"/>
  <c r="M233" i="1"/>
  <c r="N233" i="1"/>
  <c r="O233" i="1"/>
  <c r="P233" i="1"/>
  <c r="L234" i="1"/>
  <c r="M234" i="1"/>
  <c r="N234" i="1"/>
  <c r="O234" i="1"/>
  <c r="P234" i="1"/>
  <c r="L235" i="1"/>
  <c r="M235" i="1"/>
  <c r="N235" i="1"/>
  <c r="O235" i="1"/>
  <c r="P235" i="1"/>
  <c r="L236" i="1"/>
  <c r="M236" i="1"/>
  <c r="N236" i="1"/>
  <c r="O236" i="1"/>
  <c r="P236" i="1"/>
  <c r="L237" i="1"/>
  <c r="M237" i="1"/>
  <c r="N237" i="1"/>
  <c r="O237" i="1"/>
  <c r="P237" i="1"/>
  <c r="L238" i="1"/>
  <c r="M238" i="1"/>
  <c r="N238" i="1"/>
  <c r="O238" i="1"/>
  <c r="P238" i="1"/>
  <c r="L239" i="1"/>
  <c r="M239" i="1"/>
  <c r="N239" i="1"/>
  <c r="O239" i="1"/>
  <c r="P239" i="1"/>
  <c r="L240" i="1"/>
  <c r="M240" i="1"/>
  <c r="N240" i="1"/>
  <c r="O240" i="1"/>
  <c r="P240" i="1"/>
  <c r="L241" i="1"/>
  <c r="M241" i="1"/>
  <c r="N241" i="1"/>
  <c r="O241" i="1"/>
  <c r="P241" i="1"/>
  <c r="L242" i="1"/>
  <c r="M242" i="1"/>
  <c r="N242" i="1"/>
  <c r="O242" i="1"/>
  <c r="P242" i="1"/>
  <c r="L243" i="1"/>
  <c r="M243" i="1"/>
  <c r="N243" i="1"/>
  <c r="O243" i="1"/>
  <c r="P243" i="1"/>
  <c r="L244" i="1"/>
  <c r="M244" i="1"/>
  <c r="N244" i="1"/>
  <c r="O244" i="1"/>
  <c r="P244" i="1"/>
  <c r="L245" i="1"/>
  <c r="M245" i="1"/>
  <c r="N245" i="1"/>
  <c r="O245" i="1"/>
  <c r="P245" i="1"/>
  <c r="L246" i="1"/>
  <c r="M246" i="1"/>
  <c r="N246" i="1"/>
  <c r="O246" i="1"/>
  <c r="P246" i="1"/>
  <c r="L247" i="1"/>
  <c r="M247" i="1"/>
  <c r="N247" i="1"/>
  <c r="O247" i="1"/>
  <c r="P247" i="1"/>
  <c r="L248" i="1"/>
  <c r="M248" i="1"/>
  <c r="N248" i="1"/>
  <c r="O248" i="1"/>
  <c r="P248" i="1"/>
  <c r="L249" i="1"/>
  <c r="M249" i="1"/>
  <c r="N249" i="1"/>
  <c r="O249" i="1"/>
  <c r="P249" i="1"/>
  <c r="L250" i="1"/>
  <c r="M250" i="1"/>
  <c r="N250" i="1"/>
  <c r="O250" i="1"/>
  <c r="P250" i="1"/>
  <c r="L251" i="1"/>
  <c r="M251" i="1"/>
  <c r="N251" i="1"/>
  <c r="O251" i="1"/>
  <c r="P251" i="1"/>
  <c r="L252" i="1"/>
  <c r="M252" i="1"/>
  <c r="N252" i="1"/>
  <c r="O252" i="1"/>
  <c r="P252" i="1"/>
  <c r="L253" i="1"/>
  <c r="M253" i="1"/>
  <c r="N253" i="1"/>
  <c r="O253" i="1"/>
  <c r="P253" i="1"/>
  <c r="L254" i="1"/>
  <c r="M254" i="1"/>
  <c r="N254" i="1"/>
  <c r="O254" i="1"/>
  <c r="P254" i="1"/>
  <c r="L255" i="1"/>
  <c r="M255" i="1"/>
  <c r="N255" i="1"/>
  <c r="O255" i="1"/>
  <c r="P255" i="1"/>
  <c r="L256" i="1"/>
  <c r="M256" i="1"/>
  <c r="N256" i="1"/>
  <c r="O256" i="1"/>
  <c r="P256" i="1"/>
  <c r="L257" i="1"/>
  <c r="M257" i="1"/>
  <c r="N257" i="1"/>
  <c r="O257" i="1"/>
  <c r="P257" i="1"/>
  <c r="L258" i="1"/>
  <c r="M258" i="1"/>
  <c r="N258" i="1"/>
  <c r="O258" i="1"/>
  <c r="P258" i="1"/>
  <c r="L259" i="1"/>
  <c r="M259" i="1"/>
  <c r="N259" i="1"/>
  <c r="O259" i="1"/>
  <c r="P259" i="1"/>
  <c r="L260" i="1"/>
  <c r="M260" i="1"/>
  <c r="N260" i="1"/>
  <c r="O260" i="1"/>
  <c r="P260" i="1"/>
  <c r="L261" i="1"/>
  <c r="M261" i="1"/>
  <c r="N261" i="1"/>
  <c r="O261" i="1"/>
  <c r="P261" i="1"/>
  <c r="L262" i="1"/>
  <c r="M262" i="1"/>
  <c r="N262" i="1"/>
  <c r="O262" i="1"/>
  <c r="P262" i="1"/>
  <c r="L263" i="1"/>
  <c r="M263" i="1"/>
  <c r="N263" i="1"/>
  <c r="O263" i="1"/>
  <c r="P263" i="1"/>
  <c r="L264" i="1"/>
  <c r="M264" i="1"/>
  <c r="N264" i="1"/>
  <c r="O264" i="1"/>
  <c r="P264" i="1"/>
  <c r="L265" i="1"/>
  <c r="M265" i="1"/>
  <c r="N265" i="1"/>
  <c r="O265" i="1"/>
  <c r="P265" i="1"/>
  <c r="L266" i="1"/>
  <c r="M266" i="1"/>
  <c r="N266" i="1"/>
  <c r="O266" i="1"/>
  <c r="P266" i="1"/>
  <c r="L267" i="1"/>
  <c r="M267" i="1"/>
  <c r="N267" i="1"/>
  <c r="O267" i="1"/>
  <c r="P267" i="1"/>
  <c r="L268" i="1"/>
  <c r="M268" i="1"/>
  <c r="N268" i="1"/>
  <c r="O268" i="1"/>
  <c r="P268" i="1"/>
  <c r="L269" i="1"/>
  <c r="M269" i="1"/>
  <c r="N269" i="1"/>
  <c r="O269" i="1"/>
  <c r="P269" i="1"/>
  <c r="L270" i="1"/>
  <c r="M270" i="1"/>
  <c r="N270" i="1"/>
  <c r="O270" i="1"/>
  <c r="P270" i="1"/>
  <c r="L271" i="1"/>
  <c r="M271" i="1"/>
  <c r="N271" i="1"/>
  <c r="O271" i="1"/>
  <c r="P271" i="1"/>
  <c r="L272" i="1"/>
  <c r="M272" i="1"/>
  <c r="N272" i="1"/>
  <c r="O272" i="1"/>
  <c r="P272" i="1"/>
  <c r="L273" i="1"/>
  <c r="M273" i="1"/>
  <c r="N273" i="1"/>
  <c r="O273" i="1"/>
  <c r="P273" i="1"/>
  <c r="L274" i="1"/>
  <c r="M274" i="1"/>
  <c r="N274" i="1"/>
  <c r="O274" i="1"/>
  <c r="P274" i="1"/>
  <c r="L275" i="1"/>
  <c r="M275" i="1"/>
  <c r="N275" i="1"/>
  <c r="O275" i="1"/>
  <c r="P275" i="1"/>
  <c r="L276" i="1"/>
  <c r="M276" i="1"/>
  <c r="N276" i="1"/>
  <c r="O276" i="1"/>
  <c r="P276" i="1"/>
  <c r="P13" i="1"/>
  <c r="O13" i="1"/>
  <c r="N13" i="1"/>
  <c r="M13" i="1"/>
  <c r="L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13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<sst xmlns="http://schemas.openxmlformats.org/spreadsheetml/2006/main" count="132" uniqueCount="80">
  <si>
    <t xml:space="preserve"> Annual Factors: January-December</t>
  </si>
  <si>
    <t>Mkt-RF</t>
  </si>
  <si>
    <t>SMB</t>
  </si>
  <si>
    <t>HML</t>
  </si>
  <si>
    <t>RMW</t>
  </si>
  <si>
    <t>CMA</t>
  </si>
  <si>
    <t>RF</t>
  </si>
  <si>
    <t>European factors</t>
  </si>
  <si>
    <t>This file was created using the 202511 CRSP database.</t>
  </si>
  <si>
    <t xml:space="preserve">The annual TBill return is compounded from the monthly T-bill rates from January to December. </t>
  </si>
  <si>
    <t>The 1-month TBill rate data until 202405 are from Ibbotson Associates. Starting from 202406</t>
  </si>
  <si>
    <t xml:space="preserve"> the 1-month TBill rate is from ICE BofA US 1-Month Treasury Bill Index. </t>
  </si>
  <si>
    <t>Fama, E. F., and K. R. French(1992): “The Cross-Section of Expected Stock Returns,” Journal of Finance, 47, 427–465.</t>
  </si>
  <si>
    <t>Factors:</t>
  </si>
  <si>
    <t>MKT-RF</t>
  </si>
  <si>
    <t xml:space="preserve">Paper: </t>
  </si>
  <si>
    <t>Fama, E. F., and K. R. French (2015): “A Five-Factor Asset Pricing Model,” Journal of Financial Eco nomics, 116, 1–22.</t>
  </si>
  <si>
    <t>UMD</t>
  </si>
  <si>
    <t>Carhart, M. M. (1997): “On Persistence in Mutual Fund Performance,” Journal of Finance, 52(1), 57–82.</t>
  </si>
  <si>
    <t>Europe</t>
  </si>
  <si>
    <t>BAB</t>
  </si>
  <si>
    <r>
      <t>Equity BAB (Betting Against Beta):</t>
    </r>
    <r>
      <rPr>
        <sz val="11"/>
        <color theme="1"/>
        <rFont val="Aptos Narrow"/>
        <family val="2"/>
        <scheme val="minor"/>
      </rPr>
      <t xml:space="preserve"> the monthly excess return of a zero-cost portfolio that is long low-beta stocks and short high-beta stocks, with the long and short sides scaled so the overall portfolio is approximately market-beta neutral. Betas are estimated from historical stock returns relative to the equity market, and the portfolio is rebalanced regularly (typically monthly).</t>
    </r>
  </si>
  <si>
    <t>Factor Name</t>
  </si>
  <si>
    <t>Description:</t>
  </si>
  <si>
    <t>Paper:</t>
  </si>
  <si>
    <t>Link:</t>
  </si>
  <si>
    <t>BAB_EU</t>
  </si>
  <si>
    <t>Betting Against Beta: Equity Factors Data, Monthly</t>
  </si>
  <si>
    <r>
      <t xml:space="preserve">Novy-Marx, R., &amp; Velikov, M. (2022). </t>
    </r>
    <r>
      <rPr>
        <i/>
        <sz val="11"/>
        <color theme="1"/>
        <rFont val="Aptos Narrow"/>
        <family val="2"/>
        <scheme val="minor"/>
      </rPr>
      <t>Betting against betting against beta</t>
    </r>
    <r>
      <rPr>
        <sz val="11"/>
        <color theme="1"/>
        <rFont val="Aptos Narrow"/>
        <family val="2"/>
        <scheme val="minor"/>
      </rPr>
      <t xml:space="preserve">. </t>
    </r>
    <r>
      <rPr>
        <b/>
        <sz val="11"/>
        <color theme="1"/>
        <rFont val="Aptos Narrow"/>
        <family val="2"/>
        <scheme val="minor"/>
      </rPr>
      <t>Journal of Financial Economics, 146</t>
    </r>
    <r>
      <rPr>
        <sz val="11"/>
        <color theme="1"/>
        <rFont val="Aptos Narrow"/>
        <family val="2"/>
        <scheme val="minor"/>
      </rPr>
      <t>(2), 689–709.</t>
    </r>
  </si>
  <si>
    <t>Usa</t>
  </si>
  <si>
    <t>BAB_US</t>
  </si>
  <si>
    <t>Date</t>
  </si>
  <si>
    <t>Fama, E. F., and K. R. French(2017): “International tests of a five-factor asset pricing model”, JFE 2017</t>
  </si>
  <si>
    <t>GETB1 Index</t>
  </si>
  <si>
    <t>Dates</t>
  </si>
  <si>
    <t>EURUSD Curncy</t>
  </si>
  <si>
    <t>MKT_EU</t>
  </si>
  <si>
    <t>SMB_EU</t>
  </si>
  <si>
    <t>HML_EU</t>
  </si>
  <si>
    <t>RMW_EU</t>
  </si>
  <si>
    <t>CMA_EU</t>
  </si>
  <si>
    <t>UMD_EU</t>
  </si>
  <si>
    <t>Glück, M., Hübel, B., &amp; Scholz, H. (2021). Currency Conversion of Fama–French Factors: How and Why. The Journal of Portfolio Management, 47(2), 157–175.</t>
  </si>
  <si>
    <t>Trend Following Risk Factors from Fung and Hsieh, RFS (2001)</t>
  </si>
  <si>
    <t>Notes:</t>
  </si>
  <si>
    <t>PTFSBD: Return of PTFS Bond lookback straddle</t>
  </si>
  <si>
    <t>PTFSFX: Return of PTFS Currency Lookback Straddle</t>
  </si>
  <si>
    <t>PTFSCOM:Return of PTFS Commodity Lookback Straddle</t>
  </si>
  <si>
    <t>PTFSIR: Return of PTFS Short Term Interest Rate Lookback Straddle</t>
  </si>
  <si>
    <t>SOFR 3M options replaced Eurodollar 3M options starting 2023-04.</t>
  </si>
  <si>
    <t>PTFSSTK:Return of PTFS Stock Index Lookback Straddle</t>
  </si>
  <si>
    <t>Data updated once a month.</t>
  </si>
  <si>
    <t>Rules for the use of this data:</t>
  </si>
  <si>
    <t>1) You must cite Fung and Hsieh (RFS, 2001) in working papers and published papers that use any of these data.</t>
  </si>
  <si>
    <t>2) You must place the following URL in a footnote to help others find the data:</t>
  </si>
  <si>
    <t>https://people.duke.edu/~dah7/DataLibrary/TF-FAC.xls</t>
  </si>
  <si>
    <t>3) You assume all risk for the use of the data.</t>
  </si>
  <si>
    <t>yyyymm</t>
  </si>
  <si>
    <t>PTFSBD</t>
  </si>
  <si>
    <t>PTFSFX</t>
  </si>
  <si>
    <t>PTFSCOM</t>
  </si>
  <si>
    <t>PTFSIR</t>
  </si>
  <si>
    <t>PTFSSTK</t>
  </si>
  <si>
    <t>Start Date</t>
  </si>
  <si>
    <t>End Date</t>
  </si>
  <si>
    <t>SX7E Index</t>
  </si>
  <si>
    <t>CUMULATIVE_TOT_RETURN_GROSS_DVDS</t>
  </si>
  <si>
    <t>Total Return Index (Gross Dividends)</t>
  </si>
  <si>
    <t>EUR001M Index</t>
  </si>
  <si>
    <t>Last Price</t>
  </si>
  <si>
    <t>PX_LAST</t>
  </si>
  <si>
    <t>Cumulative Total Return (Gross Dividends)</t>
  </si>
  <si>
    <t>I02210EU Index</t>
  </si>
  <si>
    <t>I02209EU Index</t>
  </si>
  <si>
    <t>I02206EU Index</t>
  </si>
  <si>
    <t>I02205EU Index</t>
  </si>
  <si>
    <t>#N/A Requesting Data...</t>
  </si>
  <si>
    <t>RI</t>
  </si>
  <si>
    <t>RB</t>
  </si>
  <si>
    <t>RS_EU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</si>
</sst>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%"/>
    <numFmt numFmtId="165" formatCode="0.000000"/>
    <numFmt numFmtId="166" formatCode="dd/mm/yyyy"/>
  </numFmts>
  <fonts count="2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8"/>
      <color theme="3"/>
      <name val="Aptos Display"/>
      <family val="2"/>
      <scheme val="major"/>
    </font>
    <font>
      <sz val="11"/>
      <color rgb="FF9C6500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10"/>
      <name val="Arial"/>
      <family val="2"/>
    </font>
    <font>
      <sz val="10"/>
      <name val="Times New Roman"/>
      <family val="1"/>
    </font>
    <font>
      <i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0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79995117038483843"/>
        <bgColor indexed="65"/>
      </patternFill>
    </fill>
    <fill>
      <patternFill patternType="solid">
        <fgColor theme="4" tint="0.39994506668294322"/>
        <bgColor indexed="65"/>
      </patternFill>
    </fill>
    <fill>
      <patternFill patternType="solid">
        <fgColor theme="5" tint="0.79995117038483843"/>
        <bgColor indexed="65"/>
      </patternFill>
    </fill>
    <fill>
      <patternFill patternType="solid">
        <fgColor theme="5" tint="0.39994506668294322"/>
        <bgColor indexed="65"/>
      </patternFill>
    </fill>
    <fill>
      <patternFill patternType="solid">
        <fgColor theme="6" tint="0.79995117038483843"/>
        <bgColor indexed="65"/>
      </patternFill>
    </fill>
    <fill>
      <patternFill patternType="solid">
        <fgColor theme="6" tint="0.39994506668294322"/>
        <bgColor indexed="65"/>
      </patternFill>
    </fill>
    <fill>
      <patternFill patternType="solid">
        <fgColor theme="7" tint="0.79995117038483843"/>
        <bgColor indexed="65"/>
      </patternFill>
    </fill>
    <fill>
      <patternFill patternType="solid">
        <fgColor theme="7" tint="0.39994506668294322"/>
        <bgColor indexed="65"/>
      </patternFill>
    </fill>
    <fill>
      <patternFill patternType="solid">
        <fgColor theme="8" tint="0.79995117038483843"/>
        <bgColor indexed="65"/>
      </patternFill>
    </fill>
    <fill>
      <patternFill patternType="solid">
        <fgColor theme="8" tint="0.39994506668294322"/>
        <bgColor indexed="65"/>
      </patternFill>
    </fill>
    <fill>
      <patternFill patternType="solid">
        <fgColor theme="9" tint="0.79995117038483843"/>
        <bgColor indexed="65"/>
      </patternFill>
    </fill>
    <fill>
      <patternFill patternType="solid">
        <fgColor theme="9" tint="0.39994506668294322"/>
        <bgColor indexed="65"/>
      </patternFill>
    </fill>
    <fill>
      <patternFill patternType="solid">
        <fgColor rgb="FFDCE6F2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39994506668294322"/>
      </bottom>
      <diagonal/>
    </border>
    <border diagonalUp="1" diagonalDown="1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57">
    <xf numFmtId="0" fontId="0" fillId="0" borderId="0"/>
    <xf numFmtId="0" fontId="16" fillId="0" borderId="0" applyNumberFormat="0"/>
    <xf numFmtId="0" fontId="2" fillId="0" borderId="1" applyNumberFormat="0"/>
    <xf numFmtId="0" fontId="3" fillId="0" borderId="2" applyNumberFormat="0"/>
    <xf numFmtId="0" fontId="4" fillId="0" borderId="9" applyNumberFormat="0"/>
    <xf numFmtId="0" fontId="4" fillId="0" borderId="0" applyNumberFormat="0"/>
    <xf numFmtId="0" fontId="5" fillId="2" borderId="0" applyNumberFormat="0"/>
    <xf numFmtId="0" fontId="6" fillId="3" borderId="0" applyNumberFormat="0"/>
    <xf numFmtId="0" fontId="17" fillId="4" borderId="0" applyNumberFormat="0"/>
    <xf numFmtId="0" fontId="7" fillId="5" borderId="3" applyNumberFormat="0"/>
    <xf numFmtId="0" fontId="8" fillId="6" borderId="4" applyNumberFormat="0"/>
    <xf numFmtId="0" fontId="9" fillId="6" borderId="3" applyNumberFormat="0"/>
    <xf numFmtId="0" fontId="10" fillId="0" borderId="5" applyNumberFormat="0"/>
    <xf numFmtId="0" fontId="11" fillId="7" borderId="6" applyNumberFormat="0"/>
    <xf numFmtId="0" fontId="12" fillId="0" borderId="0" applyNumberFormat="0"/>
    <xf numFmtId="0" fontId="1" fillId="8" borderId="7" applyNumberFormat="0"/>
    <xf numFmtId="0" fontId="13" fillId="0" borderId="0" applyNumberFormat="0"/>
    <xf numFmtId="0" fontId="14" fillId="0" borderId="8" applyNumberFormat="0"/>
    <xf numFmtId="0" fontId="15" fillId="9" borderId="0" applyNumberFormat="0"/>
    <xf numFmtId="0" fontId="1" fillId="21" borderId="0" applyNumberFormat="0"/>
    <xf numFmtId="0" fontId="1" fillId="10" borderId="0" applyNumberFormat="0"/>
    <xf numFmtId="0" fontId="15" fillId="22" borderId="0" applyNumberFormat="0"/>
    <xf numFmtId="0" fontId="15" fillId="11" borderId="0" applyNumberFormat="0"/>
    <xf numFmtId="0" fontId="1" fillId="23" borderId="0" applyNumberFormat="0"/>
    <xf numFmtId="0" fontId="1" fillId="12" borderId="0" applyNumberFormat="0"/>
    <xf numFmtId="0" fontId="15" fillId="24" borderId="0" applyNumberFormat="0"/>
    <xf numFmtId="0" fontId="15" fillId="13" borderId="0" applyNumberFormat="0"/>
    <xf numFmtId="0" fontId="1" fillId="25" borderId="0" applyNumberFormat="0"/>
    <xf numFmtId="0" fontId="1" fillId="14" borderId="0" applyNumberFormat="0"/>
    <xf numFmtId="0" fontId="15" fillId="26" borderId="0" applyNumberFormat="0"/>
    <xf numFmtId="0" fontId="15" fillId="15" borderId="0" applyNumberFormat="0"/>
    <xf numFmtId="0" fontId="1" fillId="27" borderId="0" applyNumberFormat="0"/>
    <xf numFmtId="0" fontId="1" fillId="16" borderId="0" applyNumberFormat="0"/>
    <xf numFmtId="0" fontId="15" fillId="28" borderId="0" applyNumberFormat="0"/>
    <xf numFmtId="0" fontId="15" fillId="17" borderId="0" applyNumberFormat="0"/>
    <xf numFmtId="0" fontId="1" fillId="29" borderId="0" applyNumberFormat="0"/>
    <xf numFmtId="0" fontId="1" fillId="18" borderId="0" applyNumberFormat="0"/>
    <xf numFmtId="0" fontId="15" fillId="30" borderId="0" applyNumberFormat="0"/>
    <xf numFmtId="0" fontId="15" fillId="19" borderId="0" applyNumberFormat="0"/>
    <xf numFmtId="0" fontId="1" fillId="31" borderId="0" applyNumberFormat="0"/>
    <xf numFmtId="0" fontId="1" fillId="20" borderId="0" applyNumberFormat="0"/>
    <xf numFmtId="0" fontId="15" fillId="32" borderId="0" applyNumberFormat="0"/>
    <xf numFmtId="0" fontId="19" fillId="0" borderId="0"/>
    <xf numFmtId="43" fontId="20" fillId="0" borderId="0"/>
    <xf numFmtId="43" fontId="19" fillId="0" borderId="0"/>
    <xf numFmtId="0" fontId="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9" fontId="19" fillId="0" borderId="0"/>
    <xf numFmtId="9" fontId="20" fillId="0" borderId="0"/>
    <xf numFmtId="9" fontId="19" fillId="0" borderId="0"/>
    <xf numFmtId="0" fontId="19" fillId="0" borderId="0"/>
    <xf numFmtId="0" fontId="22" fillId="0" borderId="0" applyNumberForma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6">
    <xf numFmtId="0" fontId="0" fillId="0" borderId="0" xfId="0"/>
    <xf numFmtId="0" fontId="22" fillId="0" borderId="0" xfId="54"/>
    <xf numFmtId="0" fontId="14" fillId="0" borderId="0" xfId="0" applyFont="1"/>
    <xf numFmtId="10" fontId="18" fillId="33" borderId="10" xfId="0" applyNumberFormat="1" applyFont="1" applyFill="1" applyBorder="1" applyAlignment="1">
      <alignment horizontal="center" wrapText="1"/>
    </xf>
    <xf numFmtId="43" fontId="0" fillId="0" borderId="0" xfId="55" applyFont="1"/>
    <xf numFmtId="14" fontId="0" fillId="0" borderId="0" xfId="0" applyNumberFormat="1"/>
    <xf numFmtId="2" fontId="0" fillId="0" borderId="0" xfId="0" applyNumberFormat="1"/>
    <xf numFmtId="0" fontId="19" fillId="0" borderId="0" xfId="0" applyFont="1"/>
    <xf numFmtId="0" fontId="23" fillId="0" borderId="0" xfId="0" applyFont="1"/>
    <xf numFmtId="164" fontId="0" fillId="0" borderId="0" xfId="56" applyNumberFormat="1" applyFont="1"/>
    <xf numFmtId="165" fontId="0" fillId="0" borderId="0" xfId="0" applyNumberFormat="1"/>
    <xf numFmtId="164" fontId="0" fillId="0" borderId="0" xfId="56" applyNumberFormat="1" applyFont="1" applyFill="1"/>
    <xf numFmtId="10" fontId="0" fillId="0" borderId="0" xfId="56" applyNumberFormat="1" applyFont="1"/>
    <xf numFmtId="10" fontId="0" fillId="0" borderId="0" xfId="56" applyNumberFormat="1" applyFont="1" applyFill="1"/>
    <xf numFmtId="43" fontId="14" fillId="0" borderId="0" xfId="55" applyFont="1"/>
    <xf numFmtId="166" fontId="0" fillId="0" borderId="0" xfId="0" applyNumberFormat="1"/>
  </cellXfs>
  <cellStyles count="57">
    <cellStyle name="20% - Accent1 2" xfId="19" xr:uid="{98BFF842-3411-4498-9BCA-6A087464AA11}"/>
    <cellStyle name="20% - Accent2 2" xfId="23" xr:uid="{BF114B62-9F9A-4EEE-AB7A-CB6DCF45BF2A}"/>
    <cellStyle name="20% - Accent3 2" xfId="27" xr:uid="{FD266B93-965C-42BD-989D-DBFAB3E98645}"/>
    <cellStyle name="20% - Accent4 2" xfId="31" xr:uid="{CF75E187-CD4A-44F9-A677-364D4D6F6B78}"/>
    <cellStyle name="20% - Accent5 2" xfId="35" xr:uid="{F3412DE4-5DDA-420C-BF1E-E07CB45AA15E}"/>
    <cellStyle name="20% - Accent6 2" xfId="39" xr:uid="{7DCC92A8-E68D-4153-9C59-9EE13E6EC878}"/>
    <cellStyle name="40% - Accent1 2" xfId="20" xr:uid="{31F95E43-3CDB-467E-966C-216D2789219D}"/>
    <cellStyle name="40% - Accent2 2" xfId="24" xr:uid="{6034E011-1154-4B88-88AB-5E9D30978840}"/>
    <cellStyle name="40% - Accent3 2" xfId="28" xr:uid="{8C571F83-3028-455E-AFC1-2F8FA2D3C5E7}"/>
    <cellStyle name="40% - Accent4 2" xfId="32" xr:uid="{DF507F12-9257-45A8-AFEC-69309248E963}"/>
    <cellStyle name="40% - Accent5 2" xfId="36" xr:uid="{B06F088A-54D3-42B3-9C74-EBBE4810F870}"/>
    <cellStyle name="40% - Accent6 2" xfId="40" xr:uid="{8CC7E836-F64B-4CB8-A2E4-B4392BB419E7}"/>
    <cellStyle name="60% - Accent1 2" xfId="21" xr:uid="{7AC179E4-117E-4B04-A413-AED36F704265}"/>
    <cellStyle name="60% - Accent2 2" xfId="25" xr:uid="{66BB4516-3D6C-4583-82A1-C6E698477735}"/>
    <cellStyle name="60% - Accent3 2" xfId="29" xr:uid="{FD7A9EB7-4B89-4D43-A0B1-67C903E9C26E}"/>
    <cellStyle name="60% - Accent4 2" xfId="33" xr:uid="{ADA01C30-8407-4B41-A41E-C0BFE91867E1}"/>
    <cellStyle name="60% - Accent5 2" xfId="37" xr:uid="{10A05EB0-C17B-40DA-8515-14E5ED88DAD6}"/>
    <cellStyle name="60% - Accent6 2" xfId="41" xr:uid="{DD918145-8403-4FA7-BF16-0E2A60E8A5DC}"/>
    <cellStyle name="Accent1 2" xfId="18" xr:uid="{975DF481-7466-4E14-BEA0-953BB8754934}"/>
    <cellStyle name="Accent2 2" xfId="22" xr:uid="{18B8B19E-77EC-4EBE-A227-F9574F71B3B9}"/>
    <cellStyle name="Accent3 2" xfId="26" xr:uid="{6EE1430D-B566-46AB-89CA-3EC0C4170422}"/>
    <cellStyle name="Accent4 2" xfId="30" xr:uid="{BFA8D927-7710-4C42-BDB0-AB1C0C2C6F0F}"/>
    <cellStyle name="Accent5 2" xfId="34" xr:uid="{192F38AD-E097-4CB4-BE30-A63D911725EB}"/>
    <cellStyle name="Accent6 2" xfId="38" xr:uid="{770B8C7A-9E17-4C5B-AFB8-48E8B572A809}"/>
    <cellStyle name="Bad 2" xfId="7" xr:uid="{C9ED0AE0-3E65-490E-AE9E-BB2833BCAB47}"/>
    <cellStyle name="Calculation 2" xfId="11" xr:uid="{9A9EF7D5-443A-4D65-9761-21356193B2BB}"/>
    <cellStyle name="Check Cell 2" xfId="13" xr:uid="{6D493359-44F2-4473-A466-FA2C459008BB}"/>
    <cellStyle name="Comma" xfId="55" builtinId="3"/>
    <cellStyle name="Comma 2" xfId="43" xr:uid="{EC13480A-0ED7-45F5-98CA-B146787E9BB4}"/>
    <cellStyle name="Comma 3" xfId="44" xr:uid="{14ACD1B4-43F8-4306-AB04-F8945886ED72}"/>
    <cellStyle name="Explanatory Text 2" xfId="16" xr:uid="{F9330E64-3279-415D-A35E-CD79B1381590}"/>
    <cellStyle name="Good 2" xfId="6" xr:uid="{5625E596-7DA7-49E3-AD81-A3C99AE6115F}"/>
    <cellStyle name="Heading 1 2" xfId="2" xr:uid="{63D438CF-F1C6-4BFC-AD12-F8C869767CF5}"/>
    <cellStyle name="Heading 2 2" xfId="3" xr:uid="{E7355706-5372-4016-B764-D86C6BEC3EE6}"/>
    <cellStyle name="Heading 3 2" xfId="4" xr:uid="{838A5EC0-5E1C-4945-A932-F4DB0D3307F8}"/>
    <cellStyle name="Heading 4 2" xfId="5" xr:uid="{D012A4FC-D471-4180-B81F-D8DCF6F75C07}"/>
    <cellStyle name="Hyperlink" xfId="54" builtinId="8"/>
    <cellStyle name="Input 2" xfId="9" xr:uid="{C59664F1-A4EF-42F7-A64F-51C24E54ED83}"/>
    <cellStyle name="Linked Cell 2" xfId="12" xr:uid="{85E52514-7707-4EBF-9FBB-98BDA4ACD2A0}"/>
    <cellStyle name="Neutral 2" xfId="8" xr:uid="{05524B81-A985-418D-8D7E-440AFD8B5EA9}"/>
    <cellStyle name="Normal" xfId="0" builtinId="0"/>
    <cellStyle name="Normal 2" xfId="42" xr:uid="{FD5D87A0-5FC2-4D52-8801-7A09EF6FA1AF}"/>
    <cellStyle name="Normal 3" xfId="45" xr:uid="{6F198F9C-8D9F-416B-B025-8967051EF1FC}"/>
    <cellStyle name="Normal 4" xfId="46" xr:uid="{C3DBA206-7CB3-42C5-B971-26F257C6C4CD}"/>
    <cellStyle name="Normal 5" xfId="47" xr:uid="{BB88F5CF-A175-4842-8369-3287ACE2C704}"/>
    <cellStyle name="Normal 6" xfId="48" xr:uid="{EDCB2668-326D-4609-8BDA-ABF7D7E0774B}"/>
    <cellStyle name="Normal 7" xfId="49" xr:uid="{A8EAA792-6D41-41E5-8632-7CFBFFD2AAC7}"/>
    <cellStyle name="Normal 8" xfId="53" xr:uid="{7F5C4E3A-C502-4209-BBAA-D22D0F4710B8}"/>
    <cellStyle name="Note 2" xfId="15" xr:uid="{8AF1F453-AA1F-4E38-B334-BD215448193D}"/>
    <cellStyle name="Output 2" xfId="10" xr:uid="{F22A2128-516B-498C-88EF-C9FC7AEA5F64}"/>
    <cellStyle name="Per cent" xfId="56" builtinId="5"/>
    <cellStyle name="Percent 2" xfId="50" xr:uid="{68259E4B-FFB9-4136-9E75-1378A377432C}"/>
    <cellStyle name="Percent 3" xfId="51" xr:uid="{F978B895-82AF-4FC4-B576-C8C4A44FFC9F}"/>
    <cellStyle name="Percent 4" xfId="52" xr:uid="{8C9FEDD5-B25C-46C6-BEFD-D5BC40307EED}"/>
    <cellStyle name="Title 2" xfId="1" xr:uid="{827958FA-659D-4DF3-872D-D75489BB9879}"/>
    <cellStyle name="Total 2" xfId="17" xr:uid="{F1FCAC78-7B85-4828-9F6B-BB6D189E3B9A}"/>
    <cellStyle name="Warning Text 2" xfId="14" xr:uid="{4C90BA8D-3F4C-422E-99DE-B5371129F43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BDP|17367148548279009684</stp>
        <tr r="B4" s="6"/>
      </tp>
    </main>
    <main first="bofaddin.rtdserver">
      <tp t="s">
        <v>#N/A N/A</v>
        <stp/>
        <stp>BDP|3446698066429543309</stp>
        <tr r="B1" s="6"/>
      </tp>
      <tp t="s">
        <v>#N/A N/A</v>
        <stp/>
        <stp>BDP|5060932102210091732</stp>
        <tr r="B3" s="6"/>
      </tp>
      <tp t="s">
        <v>#N/A N/A</v>
        <stp/>
        <stp>BDP|7707732526496675252</stp>
        <tr r="B2" s="6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volatileDependencies" Target="volatileDependenci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aqr.com/Insights/Datasets/Betting-Against-Beta-Equity-Factors-Monthl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D92C6F-585F-4301-9FA9-44D7FF45F418}">
  <dimension ref="A1:S468"/>
  <sheetViews>
    <sheetView workbookViewId="0">
      <selection activeCell="A8" sqref="A8"/>
    </sheetView>
  </sheetViews>
  <sheetFormatPr defaultRowHeight="14.4" x14ac:dyDescent="0.3"/>
  <cols>
    <col min="10" max="10" width="10.33203125" style="5" bestFit="1" customWidth="1"/>
    <col min="11" max="11" width="10.33203125" style="6" customWidth="1"/>
    <col min="12" max="16" width="10.33203125" style="5" customWidth="1"/>
  </cols>
  <sheetData>
    <row r="1" spans="1:19" x14ac:dyDescent="0.3">
      <c r="A1" t="s">
        <v>13</v>
      </c>
      <c r="B1" t="s">
        <v>14</v>
      </c>
      <c r="C1" t="s">
        <v>2</v>
      </c>
      <c r="D1" t="s">
        <v>3</v>
      </c>
      <c r="E1" t="s">
        <v>4</v>
      </c>
      <c r="F1" t="s">
        <v>5</v>
      </c>
    </row>
    <row r="2" spans="1:19" x14ac:dyDescent="0.3">
      <c r="A2" t="s">
        <v>15</v>
      </c>
      <c r="B2" t="s">
        <v>32</v>
      </c>
    </row>
    <row r="3" spans="1:19" x14ac:dyDescent="0.3">
      <c r="B3" t="s">
        <v>17</v>
      </c>
    </row>
    <row r="4" spans="1:19" x14ac:dyDescent="0.3">
      <c r="B4" t="s">
        <v>18</v>
      </c>
    </row>
    <row r="6" spans="1:19" x14ac:dyDescent="0.3">
      <c r="A6" t="s">
        <v>7</v>
      </c>
      <c r="B6" t="s">
        <v>42</v>
      </c>
    </row>
    <row r="8" spans="1:19" x14ac:dyDescent="0.3">
      <c r="B8" t="s">
        <v>1</v>
      </c>
      <c r="C8" t="s">
        <v>2</v>
      </c>
      <c r="D8" t="s">
        <v>3</v>
      </c>
      <c r="E8" t="s">
        <v>4</v>
      </c>
      <c r="F8" t="s">
        <v>5</v>
      </c>
      <c r="G8" t="s">
        <v>6</v>
      </c>
      <c r="H8" t="s">
        <v>17</v>
      </c>
    </row>
    <row r="9" spans="1:19" x14ac:dyDescent="0.3">
      <c r="A9">
        <v>199011</v>
      </c>
      <c r="B9">
        <v>-0.42</v>
      </c>
      <c r="C9">
        <v>-2.66</v>
      </c>
      <c r="D9">
        <v>0.56999999999999995</v>
      </c>
      <c r="E9">
        <v>0.25</v>
      </c>
      <c r="F9">
        <v>-0.33</v>
      </c>
      <c r="G9">
        <v>0.56999999999999995</v>
      </c>
      <c r="H9">
        <v>2.4500000000000002</v>
      </c>
      <c r="K9" s="6" t="s">
        <v>36</v>
      </c>
      <c r="L9" s="5" t="s">
        <v>37</v>
      </c>
      <c r="M9" s="5" t="s">
        <v>38</v>
      </c>
      <c r="N9" s="5" t="s">
        <v>39</v>
      </c>
      <c r="O9" s="5" t="s">
        <v>40</v>
      </c>
      <c r="P9" s="5" t="s">
        <v>41</v>
      </c>
      <c r="Q9" t="s">
        <v>33</v>
      </c>
      <c r="R9" t="s">
        <v>35</v>
      </c>
    </row>
    <row r="10" spans="1:19" x14ac:dyDescent="0.3">
      <c r="A10">
        <v>199012</v>
      </c>
      <c r="B10">
        <v>-1.55</v>
      </c>
      <c r="C10">
        <v>0.9</v>
      </c>
      <c r="D10">
        <v>0.26</v>
      </c>
      <c r="E10">
        <v>1.03</v>
      </c>
      <c r="F10">
        <v>0.3</v>
      </c>
      <c r="G10">
        <v>0.6</v>
      </c>
      <c r="H10">
        <v>0.52</v>
      </c>
    </row>
    <row r="11" spans="1:19" x14ac:dyDescent="0.3">
      <c r="A11">
        <v>199101</v>
      </c>
      <c r="B11">
        <v>1.51</v>
      </c>
      <c r="C11">
        <v>-3.95</v>
      </c>
      <c r="D11">
        <v>-0.03</v>
      </c>
      <c r="E11">
        <v>0.68</v>
      </c>
      <c r="F11">
        <v>-0.34</v>
      </c>
      <c r="G11">
        <v>0.52</v>
      </c>
      <c r="H11">
        <v>-1.25</v>
      </c>
      <c r="J11" s="5" t="s">
        <v>34</v>
      </c>
    </row>
    <row r="12" spans="1:19" x14ac:dyDescent="0.3">
      <c r="A12">
        <v>199102</v>
      </c>
      <c r="B12">
        <v>7.3</v>
      </c>
      <c r="C12">
        <v>1.1200000000000001</v>
      </c>
      <c r="D12">
        <v>0.66</v>
      </c>
      <c r="E12">
        <v>0.42</v>
      </c>
      <c r="F12">
        <v>-2.3199999999999998</v>
      </c>
      <c r="G12">
        <v>0.48</v>
      </c>
      <c r="H12">
        <v>-7.5</v>
      </c>
      <c r="J12" s="5">
        <v>38016</v>
      </c>
      <c r="Q12">
        <v>2.11</v>
      </c>
      <c r="R12">
        <v>1.2478</v>
      </c>
    </row>
    <row r="13" spans="1:19" x14ac:dyDescent="0.3">
      <c r="A13">
        <v>199103</v>
      </c>
      <c r="B13">
        <v>-6.7</v>
      </c>
      <c r="C13">
        <v>1.94</v>
      </c>
      <c r="D13">
        <v>-0.27</v>
      </c>
      <c r="E13">
        <v>2.2200000000000002</v>
      </c>
      <c r="F13">
        <v>-1.43</v>
      </c>
      <c r="G13">
        <v>0.44</v>
      </c>
      <c r="H13">
        <v>0.23</v>
      </c>
      <c r="J13" s="5">
        <v>38044</v>
      </c>
      <c r="K13" s="6">
        <f t="shared" ref="K13:K76" si="0">IFERROR(
(
(
 (1 + ( INDEX($B:$B, MATCH(YEAR($J13)*100+MONTH($J13), $A:$A, 0)) + INDEX($G:$G, MATCH(YEAR($J13)*100+MONTH($J13), $A:$A, 0)) )/100 )
 / ($R13/$R12)
) - 1
- ( ($Q12/100)*(30/365) )
) * 100, ""
)</f>
        <v>2.862713980102829</v>
      </c>
      <c r="L13" s="6">
        <f t="shared" ref="L13:L76" si="1">IFERROR( INDEX($C:$C, MATCH(YEAR($J13)*100+MONTH($J13), $A:$A, 0)) / ($R13/$R12), "" )</f>
        <v>1.1486192267669895</v>
      </c>
      <c r="M13" s="4">
        <f t="shared" ref="M13:M76" si="2">IFERROR( INDEX($D:$D, MATCH(YEAR($J13)*100+MONTH($J13), $A:$A, 0)) / ($R13/$R12), "" )</f>
        <v>0.39951973104938765</v>
      </c>
      <c r="N13" s="4">
        <f t="shared" ref="N13:N76" si="3">IFERROR( INDEX($E:$E, MATCH(YEAR($J13)*100+MONTH($J13), $A:$A, 0)) / ($R13/$R12), "" )</f>
        <v>0.7990394620987753</v>
      </c>
      <c r="O13" s="4">
        <f t="shared" ref="O13:O76" si="4">IFERROR( INDEX($F:$F, MATCH(YEAR($J13)*100+MONTH($J13), $A:$A, 0)) / ($R13/$R12), "" )</f>
        <v>-0.95884735451853031</v>
      </c>
      <c r="P13" s="4">
        <f t="shared" ref="P13:P20" si="5">IFERROR( INDEX($H:$H, MATCH(YEAR($J13)*100+MONTH($J13), $A:$A, 0)) / ($R13/$R12), "" )</f>
        <v>0.42948371087809173</v>
      </c>
      <c r="Q13">
        <v>2.0720000000000001</v>
      </c>
      <c r="R13">
        <v>1.2493000000000001</v>
      </c>
      <c r="S13">
        <f>R13/R12-1</f>
        <v>1.2021157236736801E-3</v>
      </c>
    </row>
    <row r="14" spans="1:19" x14ac:dyDescent="0.3">
      <c r="A14">
        <v>199104</v>
      </c>
      <c r="B14">
        <v>-0.87</v>
      </c>
      <c r="C14">
        <v>-0.3</v>
      </c>
      <c r="D14">
        <v>-0.59</v>
      </c>
      <c r="E14">
        <v>1.02</v>
      </c>
      <c r="F14">
        <v>1.32</v>
      </c>
      <c r="G14">
        <v>0.53</v>
      </c>
      <c r="H14">
        <v>1.56</v>
      </c>
      <c r="J14" s="5">
        <v>38077</v>
      </c>
      <c r="K14" s="6">
        <f t="shared" si="0"/>
        <v>-2.0197102688561905</v>
      </c>
      <c r="L14" s="6">
        <f t="shared" si="1"/>
        <v>0.85207210133160116</v>
      </c>
      <c r="M14" s="4">
        <f t="shared" si="2"/>
        <v>-0.32459889574537187</v>
      </c>
      <c r="N14" s="4">
        <f t="shared" si="3"/>
        <v>1.4099764533939589</v>
      </c>
      <c r="O14" s="4">
        <f t="shared" si="4"/>
        <v>-2.2113299772653461</v>
      </c>
      <c r="P14" s="4">
        <f t="shared" si="5"/>
        <v>-2.4243480025982462</v>
      </c>
      <c r="Q14">
        <v>1.9950000000000001</v>
      </c>
      <c r="R14">
        <v>1.2316</v>
      </c>
      <c r="S14">
        <f t="shared" ref="S14:S77" si="6">R14/R13-1</f>
        <v>-1.4167934043064156E-2</v>
      </c>
    </row>
    <row r="15" spans="1:19" x14ac:dyDescent="0.3">
      <c r="A15">
        <v>199105</v>
      </c>
      <c r="B15">
        <v>0.49</v>
      </c>
      <c r="C15">
        <v>-3.15</v>
      </c>
      <c r="D15">
        <v>0.12</v>
      </c>
      <c r="E15">
        <v>1.18</v>
      </c>
      <c r="F15">
        <v>1.96</v>
      </c>
      <c r="G15">
        <v>0.47</v>
      </c>
      <c r="H15">
        <v>-0.64</v>
      </c>
      <c r="J15" s="5">
        <v>38107</v>
      </c>
      <c r="K15" s="6">
        <f t="shared" si="0"/>
        <v>1.4584480984288992</v>
      </c>
      <c r="L15" s="6">
        <f t="shared" si="1"/>
        <v>-0.77103505843071796</v>
      </c>
      <c r="M15" s="4">
        <f t="shared" si="2"/>
        <v>0.87383973288814698</v>
      </c>
      <c r="N15" s="4">
        <f t="shared" si="3"/>
        <v>0.65794991652754597</v>
      </c>
      <c r="O15" s="4">
        <f t="shared" si="4"/>
        <v>-0.26729215358931557</v>
      </c>
      <c r="P15" s="4">
        <f t="shared" si="5"/>
        <v>-1.8196427378964943</v>
      </c>
      <c r="Q15">
        <v>2.0870000000000002</v>
      </c>
      <c r="R15">
        <v>1.198</v>
      </c>
      <c r="S15">
        <f t="shared" si="6"/>
        <v>-2.7281584930172187E-2</v>
      </c>
    </row>
    <row r="16" spans="1:19" x14ac:dyDescent="0.3">
      <c r="A16">
        <v>199106</v>
      </c>
      <c r="B16">
        <v>-7.41</v>
      </c>
      <c r="C16">
        <v>0.87</v>
      </c>
      <c r="D16">
        <v>-0.69</v>
      </c>
      <c r="E16">
        <v>0.68</v>
      </c>
      <c r="F16">
        <v>0.84</v>
      </c>
      <c r="G16">
        <v>0.42</v>
      </c>
      <c r="H16">
        <v>0.54</v>
      </c>
      <c r="J16" s="5">
        <v>38138</v>
      </c>
      <c r="K16" s="6">
        <f t="shared" si="0"/>
        <v>-0.42338852947658523</v>
      </c>
      <c r="L16" s="6">
        <f t="shared" si="1"/>
        <v>-1.0419100754840827</v>
      </c>
      <c r="M16" s="4">
        <f t="shared" si="2"/>
        <v>-0.87481128979323908</v>
      </c>
      <c r="N16" s="4">
        <f t="shared" si="3"/>
        <v>0.81583524778470606</v>
      </c>
      <c r="O16" s="4">
        <f t="shared" si="4"/>
        <v>-1.2581555628487033</v>
      </c>
      <c r="P16" s="4">
        <f t="shared" si="5"/>
        <v>-0.18675746636035442</v>
      </c>
      <c r="Q16">
        <v>2.109</v>
      </c>
      <c r="R16">
        <v>1.2188000000000001</v>
      </c>
      <c r="S16">
        <f t="shared" si="6"/>
        <v>1.7362270450751449E-2</v>
      </c>
    </row>
    <row r="17" spans="1:19" x14ac:dyDescent="0.3">
      <c r="A17">
        <v>199107</v>
      </c>
      <c r="B17">
        <v>5.3</v>
      </c>
      <c r="C17">
        <v>-3.22</v>
      </c>
      <c r="D17">
        <v>-0.35</v>
      </c>
      <c r="E17">
        <v>2.71</v>
      </c>
      <c r="F17">
        <v>-0.49</v>
      </c>
      <c r="G17">
        <v>0.49</v>
      </c>
      <c r="H17">
        <v>5.0599999999999996</v>
      </c>
      <c r="J17" s="5">
        <v>38168</v>
      </c>
      <c r="K17" s="6">
        <f t="shared" si="0"/>
        <v>1.786270649000675</v>
      </c>
      <c r="L17" s="6">
        <f t="shared" si="1"/>
        <v>1.2287901639344263</v>
      </c>
      <c r="M17" s="4">
        <f t="shared" si="2"/>
        <v>0.98902622950819674</v>
      </c>
      <c r="N17" s="4">
        <f t="shared" si="3"/>
        <v>0.84916393442622951</v>
      </c>
      <c r="O17" s="4">
        <f t="shared" si="4"/>
        <v>1.0389770491803278</v>
      </c>
      <c r="P17" s="4">
        <f t="shared" si="5"/>
        <v>2.0779540983606557</v>
      </c>
      <c r="Q17">
        <v>2.1309999999999998</v>
      </c>
      <c r="R17">
        <v>1.22</v>
      </c>
      <c r="S17">
        <f t="shared" si="6"/>
        <v>9.8457499179516184E-4</v>
      </c>
    </row>
    <row r="18" spans="1:19" x14ac:dyDescent="0.3">
      <c r="A18">
        <v>199108</v>
      </c>
      <c r="B18">
        <v>1.42</v>
      </c>
      <c r="C18">
        <v>-0.96</v>
      </c>
      <c r="D18">
        <v>-0.08</v>
      </c>
      <c r="E18">
        <v>2.77</v>
      </c>
      <c r="F18">
        <v>0.21</v>
      </c>
      <c r="G18">
        <v>0.46</v>
      </c>
      <c r="H18">
        <v>3.77</v>
      </c>
      <c r="J18" s="5">
        <v>38198</v>
      </c>
      <c r="K18" s="6">
        <f t="shared" si="0"/>
        <v>-1.7346814279217742</v>
      </c>
      <c r="L18" s="6">
        <f t="shared" si="1"/>
        <v>0.13195773358848489</v>
      </c>
      <c r="M18" s="4">
        <f t="shared" si="2"/>
        <v>0.45677677011398621</v>
      </c>
      <c r="N18" s="4">
        <f t="shared" si="3"/>
        <v>1.5834928030618187</v>
      </c>
      <c r="O18" s="4">
        <f t="shared" si="4"/>
        <v>-1.1571678176220983</v>
      </c>
      <c r="P18" s="4">
        <f t="shared" si="5"/>
        <v>0.36542141609118894</v>
      </c>
      <c r="Q18">
        <v>2.1190000000000002</v>
      </c>
      <c r="R18">
        <v>1.2019</v>
      </c>
      <c r="S18">
        <f t="shared" si="6"/>
        <v>-1.4836065573770485E-2</v>
      </c>
    </row>
    <row r="19" spans="1:19" x14ac:dyDescent="0.3">
      <c r="A19">
        <v>199109</v>
      </c>
      <c r="B19">
        <v>3.02</v>
      </c>
      <c r="C19">
        <v>1.78</v>
      </c>
      <c r="D19">
        <v>-0.05</v>
      </c>
      <c r="E19">
        <v>2.7</v>
      </c>
      <c r="F19">
        <v>-0.53</v>
      </c>
      <c r="G19">
        <v>0.46</v>
      </c>
      <c r="H19">
        <v>4.2300000000000004</v>
      </c>
      <c r="J19" s="5">
        <v>38230</v>
      </c>
      <c r="K19" s="6">
        <f t="shared" si="0"/>
        <v>-1.0467639074884196</v>
      </c>
      <c r="L19" s="6">
        <f t="shared" si="1"/>
        <v>-0.4044808339489453</v>
      </c>
      <c r="M19" s="4">
        <f t="shared" si="2"/>
        <v>1.3022309775917265</v>
      </c>
      <c r="N19" s="4">
        <f t="shared" si="3"/>
        <v>-0.30582697201017817</v>
      </c>
      <c r="O19" s="4">
        <f t="shared" si="4"/>
        <v>-0.47353853730608231</v>
      </c>
      <c r="P19" s="4">
        <f t="shared" si="5"/>
        <v>1.243038660428466</v>
      </c>
      <c r="Q19">
        <v>2.1219999999999999</v>
      </c>
      <c r="R19">
        <v>1.2182999999999999</v>
      </c>
      <c r="S19">
        <f t="shared" si="6"/>
        <v>1.3645061985189999E-2</v>
      </c>
    </row>
    <row r="20" spans="1:19" x14ac:dyDescent="0.3">
      <c r="A20">
        <v>199110</v>
      </c>
      <c r="B20">
        <v>-2.62</v>
      </c>
      <c r="C20">
        <v>-0.73</v>
      </c>
      <c r="D20">
        <v>-1.3</v>
      </c>
      <c r="E20">
        <v>1.94</v>
      </c>
      <c r="F20">
        <v>0.21</v>
      </c>
      <c r="G20">
        <v>0.42</v>
      </c>
      <c r="H20">
        <v>3.07</v>
      </c>
      <c r="J20" s="5">
        <v>38260</v>
      </c>
      <c r="K20" s="6">
        <f t="shared" si="0"/>
        <v>1.8273548822023415</v>
      </c>
      <c r="L20" s="6">
        <f t="shared" si="1"/>
        <v>0.20572772595689931</v>
      </c>
      <c r="M20" s="4">
        <f t="shared" si="2"/>
        <v>0.72494532003859757</v>
      </c>
      <c r="N20" s="4">
        <f t="shared" si="3"/>
        <v>-0.63677629462849794</v>
      </c>
      <c r="O20" s="4">
        <f t="shared" si="4"/>
        <v>-0.34287954326149883</v>
      </c>
      <c r="P20" s="4">
        <f t="shared" si="5"/>
        <v>2.3413774525570923</v>
      </c>
      <c r="Q20">
        <v>2.149</v>
      </c>
      <c r="R20">
        <v>1.2436</v>
      </c>
      <c r="S20">
        <f t="shared" si="6"/>
        <v>2.076664204218992E-2</v>
      </c>
    </row>
    <row r="21" spans="1:19" x14ac:dyDescent="0.3">
      <c r="A21">
        <v>199111</v>
      </c>
      <c r="B21">
        <v>-2.27</v>
      </c>
      <c r="C21">
        <v>0.52</v>
      </c>
      <c r="D21">
        <v>-1.81</v>
      </c>
      <c r="E21">
        <v>0.75</v>
      </c>
      <c r="F21">
        <v>-0.44</v>
      </c>
      <c r="G21">
        <v>0.39</v>
      </c>
      <c r="H21">
        <v>0.42</v>
      </c>
      <c r="J21" s="5">
        <v>38289</v>
      </c>
      <c r="K21" s="6">
        <f t="shared" si="0"/>
        <v>1.0468516570440332</v>
      </c>
      <c r="L21" s="6">
        <f t="shared" si="1"/>
        <v>0.19434286607282392</v>
      </c>
      <c r="M21" s="4">
        <f t="shared" si="2"/>
        <v>0.67048288795124245</v>
      </c>
      <c r="N21" s="4">
        <f t="shared" si="3"/>
        <v>0.14575714955461791</v>
      </c>
      <c r="O21" s="4">
        <f t="shared" si="4"/>
        <v>0.46642287857477732</v>
      </c>
      <c r="P21" s="4">
        <v>0</v>
      </c>
      <c r="Q21">
        <v>2.1739999999999999</v>
      </c>
      <c r="R21">
        <v>1.2798</v>
      </c>
      <c r="S21">
        <f t="shared" si="6"/>
        <v>2.9109038275972887E-2</v>
      </c>
    </row>
    <row r="22" spans="1:19" x14ac:dyDescent="0.3">
      <c r="A22">
        <v>199112</v>
      </c>
      <c r="B22">
        <v>6.3</v>
      </c>
      <c r="C22">
        <v>-3.85</v>
      </c>
      <c r="D22">
        <v>-2.1</v>
      </c>
      <c r="E22">
        <v>1.19</v>
      </c>
      <c r="F22">
        <v>-1.31</v>
      </c>
      <c r="G22">
        <v>0.38</v>
      </c>
      <c r="H22">
        <v>1.93</v>
      </c>
      <c r="J22" s="5">
        <v>38321</v>
      </c>
      <c r="K22" s="6">
        <f t="shared" si="0"/>
        <v>2.9551338801506581</v>
      </c>
      <c r="L22" s="6">
        <f t="shared" si="1"/>
        <v>2.0721213946833346</v>
      </c>
      <c r="M22" s="4">
        <f t="shared" si="2"/>
        <v>1.6673348896754274</v>
      </c>
      <c r="N22" s="4">
        <f t="shared" si="3"/>
        <v>-1.3878394457413963</v>
      </c>
      <c r="O22" s="4">
        <f t="shared" si="4"/>
        <v>0.81921078394457414</v>
      </c>
      <c r="P22" s="4">
        <f t="shared" ref="P22:P85" si="7">IFERROR( INDEX($H:$H, MATCH(YEAR($J22)*100+MONTH($J22), $A:$A, 0)) / ($R22/$R21), "" )</f>
        <v>0.85776187965961292</v>
      </c>
      <c r="Q22">
        <v>2.141</v>
      </c>
      <c r="R22">
        <v>1.3279000000000001</v>
      </c>
      <c r="S22">
        <f t="shared" si="6"/>
        <v>3.7583997499609278E-2</v>
      </c>
    </row>
    <row r="23" spans="1:19" x14ac:dyDescent="0.3">
      <c r="A23">
        <v>199201</v>
      </c>
      <c r="B23">
        <v>-0.52</v>
      </c>
      <c r="C23">
        <v>-0.76</v>
      </c>
      <c r="D23">
        <v>1.29</v>
      </c>
      <c r="E23">
        <v>0.3</v>
      </c>
      <c r="F23">
        <v>0.45</v>
      </c>
      <c r="G23">
        <v>0.34</v>
      </c>
      <c r="H23">
        <v>0.75</v>
      </c>
      <c r="J23" s="5">
        <v>38352</v>
      </c>
      <c r="K23" s="6">
        <f t="shared" si="0"/>
        <v>2.1156306140228573</v>
      </c>
      <c r="L23" s="6">
        <f t="shared" si="1"/>
        <v>0.58782647189021697</v>
      </c>
      <c r="M23" s="4">
        <f t="shared" si="2"/>
        <v>0.70539176626826028</v>
      </c>
      <c r="N23" s="4">
        <f t="shared" si="3"/>
        <v>0.71518887413309729</v>
      </c>
      <c r="O23" s="4">
        <f t="shared" si="4"/>
        <v>0.4604640696473366</v>
      </c>
      <c r="P23" s="4">
        <f t="shared" si="7"/>
        <v>0.8523483842408146</v>
      </c>
      <c r="Q23">
        <v>2.1080000000000001</v>
      </c>
      <c r="R23">
        <v>1.3553999999999999</v>
      </c>
      <c r="S23">
        <f t="shared" si="6"/>
        <v>2.0709390767376989E-2</v>
      </c>
    </row>
    <row r="24" spans="1:19" x14ac:dyDescent="0.3">
      <c r="A24">
        <v>199202</v>
      </c>
      <c r="B24">
        <v>-0.44</v>
      </c>
      <c r="C24">
        <v>-0.23</v>
      </c>
      <c r="D24">
        <v>0.18</v>
      </c>
      <c r="E24">
        <v>1.25</v>
      </c>
      <c r="F24">
        <v>-0.16</v>
      </c>
      <c r="G24">
        <v>0.28000000000000003</v>
      </c>
      <c r="H24">
        <v>1.52</v>
      </c>
      <c r="J24" s="5">
        <v>38383</v>
      </c>
      <c r="K24" s="6">
        <f t="shared" si="0"/>
        <v>2.6433775049981625</v>
      </c>
      <c r="L24" s="6">
        <f t="shared" si="1"/>
        <v>3.8669284454329316</v>
      </c>
      <c r="M24" s="4">
        <f t="shared" si="2"/>
        <v>1.6320101234757265</v>
      </c>
      <c r="N24" s="4">
        <f t="shared" si="3"/>
        <v>0.15592453409003756</v>
      </c>
      <c r="O24" s="4">
        <f t="shared" si="4"/>
        <v>-0.57172329166347113</v>
      </c>
      <c r="P24" s="4">
        <f t="shared" si="7"/>
        <v>0.90436229772221788</v>
      </c>
      <c r="Q24">
        <v>2.1459999999999999</v>
      </c>
      <c r="R24">
        <v>1.3039000000000001</v>
      </c>
      <c r="S24">
        <f t="shared" si="6"/>
        <v>-3.7996163494171342E-2</v>
      </c>
    </row>
    <row r="25" spans="1:19" x14ac:dyDescent="0.3">
      <c r="A25">
        <v>199203</v>
      </c>
      <c r="B25">
        <v>-3.74</v>
      </c>
      <c r="C25">
        <v>0.37</v>
      </c>
      <c r="D25">
        <v>0.28999999999999998</v>
      </c>
      <c r="E25">
        <v>0.56999999999999995</v>
      </c>
      <c r="F25">
        <v>0.5</v>
      </c>
      <c r="G25">
        <v>0.34</v>
      </c>
      <c r="H25">
        <v>0.56999999999999995</v>
      </c>
      <c r="J25" s="5">
        <v>38411</v>
      </c>
      <c r="K25" s="6">
        <f t="shared" si="0"/>
        <v>3.0769616152536683</v>
      </c>
      <c r="L25" s="6">
        <f t="shared" si="1"/>
        <v>0.93642651950408229</v>
      </c>
      <c r="M25" s="4">
        <f t="shared" si="2"/>
        <v>1.0251406108255217</v>
      </c>
      <c r="N25" s="4">
        <f t="shared" si="3"/>
        <v>0.32528500151194439</v>
      </c>
      <c r="O25" s="4">
        <f t="shared" si="4"/>
        <v>0.33514212276988214</v>
      </c>
      <c r="P25" s="4">
        <f t="shared" si="7"/>
        <v>1.5574251587541581</v>
      </c>
      <c r="Q25">
        <v>2.1640000000000001</v>
      </c>
      <c r="R25">
        <v>1.3228</v>
      </c>
      <c r="S25">
        <f t="shared" si="6"/>
        <v>1.4494976608635524E-2</v>
      </c>
    </row>
    <row r="26" spans="1:19" x14ac:dyDescent="0.3">
      <c r="A26">
        <v>199204</v>
      </c>
      <c r="B26">
        <v>5.0199999999999996</v>
      </c>
      <c r="C26">
        <v>-1.35</v>
      </c>
      <c r="D26">
        <v>-7.0000000000000007E-2</v>
      </c>
      <c r="E26">
        <v>2.61</v>
      </c>
      <c r="F26">
        <v>1.9</v>
      </c>
      <c r="G26">
        <v>0.32</v>
      </c>
      <c r="H26">
        <v>1.88</v>
      </c>
      <c r="J26" s="5">
        <v>38442</v>
      </c>
      <c r="K26" s="6">
        <f t="shared" si="0"/>
        <v>-0.54951373878347898</v>
      </c>
      <c r="L26" s="6">
        <f t="shared" si="1"/>
        <v>-0.12244369021906819</v>
      </c>
      <c r="M26" s="4">
        <f t="shared" si="2"/>
        <v>0.24488738043813638</v>
      </c>
      <c r="N26" s="4">
        <f t="shared" si="3"/>
        <v>0.23468373958654737</v>
      </c>
      <c r="O26" s="4">
        <f t="shared" si="4"/>
        <v>0.17346189447701327</v>
      </c>
      <c r="P26" s="4">
        <f t="shared" si="7"/>
        <v>0.31631286639925948</v>
      </c>
      <c r="Q26">
        <v>2.1440000000000001</v>
      </c>
      <c r="R26">
        <v>1.2964</v>
      </c>
      <c r="S26">
        <f t="shared" si="6"/>
        <v>-1.9957665557907456E-2</v>
      </c>
    </row>
    <row r="27" spans="1:19" x14ac:dyDescent="0.3">
      <c r="A27">
        <v>199205</v>
      </c>
      <c r="B27">
        <v>5.09</v>
      </c>
      <c r="C27">
        <v>0.11</v>
      </c>
      <c r="D27">
        <v>1.4</v>
      </c>
      <c r="E27">
        <v>1.01</v>
      </c>
      <c r="F27">
        <v>0.83</v>
      </c>
      <c r="G27">
        <v>0.28000000000000003</v>
      </c>
      <c r="H27">
        <v>1.07</v>
      </c>
      <c r="J27" s="5">
        <v>38471</v>
      </c>
      <c r="K27" s="6">
        <f t="shared" si="0"/>
        <v>-1.8661376120136839</v>
      </c>
      <c r="L27" s="6">
        <f t="shared" si="1"/>
        <v>0.53374660141381181</v>
      </c>
      <c r="M27" s="4">
        <f t="shared" si="2"/>
        <v>-0.11077759651984774</v>
      </c>
      <c r="N27" s="4">
        <f t="shared" si="3"/>
        <v>-0.30212071778140293</v>
      </c>
      <c r="O27" s="4">
        <f t="shared" si="4"/>
        <v>0.60424143556280585</v>
      </c>
      <c r="P27" s="4">
        <f t="shared" si="7"/>
        <v>0.87615008156606844</v>
      </c>
      <c r="Q27">
        <v>2.133</v>
      </c>
      <c r="R27">
        <v>1.2873000000000001</v>
      </c>
      <c r="S27">
        <f t="shared" si="6"/>
        <v>-7.0194384449243641E-3</v>
      </c>
    </row>
    <row r="28" spans="1:19" x14ac:dyDescent="0.3">
      <c r="A28">
        <v>199206</v>
      </c>
      <c r="B28">
        <v>-1.17</v>
      </c>
      <c r="C28">
        <v>0.61</v>
      </c>
      <c r="D28">
        <v>-0.85</v>
      </c>
      <c r="E28">
        <v>-0.09</v>
      </c>
      <c r="F28">
        <v>0.27</v>
      </c>
      <c r="G28">
        <v>0.32</v>
      </c>
      <c r="H28">
        <v>3.42</v>
      </c>
      <c r="J28" s="5">
        <v>38503</v>
      </c>
      <c r="K28" s="6">
        <f t="shared" si="0"/>
        <v>4.6689087611557571</v>
      </c>
      <c r="L28" s="6">
        <f t="shared" si="1"/>
        <v>-1.5589052340702212</v>
      </c>
      <c r="M28" s="4">
        <f t="shared" si="2"/>
        <v>1.2345692457737321</v>
      </c>
      <c r="N28" s="4">
        <f t="shared" si="3"/>
        <v>-0.55450991547464246</v>
      </c>
      <c r="O28" s="4">
        <f t="shared" si="4"/>
        <v>0.34526089076723021</v>
      </c>
      <c r="P28" s="4">
        <f t="shared" si="7"/>
        <v>1.6949171001300392</v>
      </c>
      <c r="Q28">
        <v>2.1360000000000001</v>
      </c>
      <c r="R28">
        <v>1.2303999999999999</v>
      </c>
      <c r="S28">
        <f t="shared" si="6"/>
        <v>-4.4201040938398273E-2</v>
      </c>
    </row>
    <row r="29" spans="1:19" x14ac:dyDescent="0.3">
      <c r="A29">
        <v>199207</v>
      </c>
      <c r="B29">
        <v>-4.0999999999999996</v>
      </c>
      <c r="C29">
        <v>-1.21</v>
      </c>
      <c r="D29">
        <v>-1.37</v>
      </c>
      <c r="E29">
        <v>2.82</v>
      </c>
      <c r="F29">
        <v>-0.46</v>
      </c>
      <c r="G29">
        <v>0.31</v>
      </c>
      <c r="H29">
        <v>2.63</v>
      </c>
      <c r="J29" s="5">
        <v>38533</v>
      </c>
      <c r="K29" s="6">
        <f t="shared" si="0"/>
        <v>3.2316930637956855</v>
      </c>
      <c r="L29" s="6">
        <f t="shared" si="1"/>
        <v>1.0771589032044928</v>
      </c>
      <c r="M29" s="4">
        <f t="shared" si="2"/>
        <v>1.6665477370333661</v>
      </c>
      <c r="N29" s="4">
        <f t="shared" si="3"/>
        <v>0.74181698050875444</v>
      </c>
      <c r="O29" s="4">
        <f t="shared" si="4"/>
        <v>-9.145688800792863E-2</v>
      </c>
      <c r="P29" s="4">
        <f t="shared" si="7"/>
        <v>3.3229335976214069</v>
      </c>
      <c r="Q29">
        <v>2.1190000000000002</v>
      </c>
      <c r="R29">
        <v>1.2108000000000001</v>
      </c>
      <c r="S29">
        <f t="shared" si="6"/>
        <v>-1.5929778933679972E-2</v>
      </c>
    </row>
    <row r="30" spans="1:19" x14ac:dyDescent="0.3">
      <c r="A30">
        <v>199208</v>
      </c>
      <c r="B30">
        <v>-0.8</v>
      </c>
      <c r="C30">
        <v>-1.3</v>
      </c>
      <c r="D30">
        <v>-0.51</v>
      </c>
      <c r="E30">
        <v>1.26</v>
      </c>
      <c r="F30">
        <v>-1.5</v>
      </c>
      <c r="G30">
        <v>0.26</v>
      </c>
      <c r="H30">
        <v>3.93</v>
      </c>
      <c r="J30" s="5">
        <v>38562</v>
      </c>
      <c r="K30" s="6">
        <f t="shared" si="0"/>
        <v>3.7570803578390306</v>
      </c>
      <c r="L30" s="6">
        <f t="shared" si="1"/>
        <v>0.54931947537738202</v>
      </c>
      <c r="M30" s="4">
        <f t="shared" si="2"/>
        <v>1.3383419945558035</v>
      </c>
      <c r="N30" s="4">
        <f t="shared" si="3"/>
        <v>-0.16978965602573626</v>
      </c>
      <c r="O30" s="4">
        <f t="shared" si="4"/>
        <v>-0.49938134125216543</v>
      </c>
      <c r="P30" s="4">
        <f t="shared" si="7"/>
        <v>1.1385894580549372</v>
      </c>
      <c r="Q30">
        <v>2.133</v>
      </c>
      <c r="R30">
        <v>1.2122999999999999</v>
      </c>
      <c r="S30">
        <f t="shared" si="6"/>
        <v>1.2388503468778733E-3</v>
      </c>
    </row>
    <row r="31" spans="1:19" x14ac:dyDescent="0.3">
      <c r="A31">
        <v>199209</v>
      </c>
      <c r="B31">
        <v>-2.99</v>
      </c>
      <c r="C31">
        <v>-3.63</v>
      </c>
      <c r="D31">
        <v>-1.82</v>
      </c>
      <c r="E31">
        <v>1.44</v>
      </c>
      <c r="F31">
        <v>0.87</v>
      </c>
      <c r="G31">
        <v>0.26</v>
      </c>
      <c r="H31">
        <v>4.13</v>
      </c>
      <c r="J31" s="5">
        <v>38595</v>
      </c>
      <c r="K31" s="6">
        <f t="shared" si="0"/>
        <v>0.29652682361767407</v>
      </c>
      <c r="L31" s="6">
        <f t="shared" si="1"/>
        <v>2.1013461849991901</v>
      </c>
      <c r="M31" s="4">
        <f t="shared" si="2"/>
        <v>-0.10801312165883688</v>
      </c>
      <c r="N31" s="4">
        <f t="shared" si="3"/>
        <v>0.16692936983638426</v>
      </c>
      <c r="O31" s="4">
        <f t="shared" si="4"/>
        <v>0.56952373238295806</v>
      </c>
      <c r="P31" s="4">
        <f t="shared" si="7"/>
        <v>2.6315924185971165</v>
      </c>
      <c r="Q31">
        <v>2.141</v>
      </c>
      <c r="R31">
        <v>1.2345999999999999</v>
      </c>
      <c r="S31">
        <f t="shared" si="6"/>
        <v>1.8394786768951565E-2</v>
      </c>
    </row>
    <row r="32" spans="1:19" x14ac:dyDescent="0.3">
      <c r="A32">
        <v>199210</v>
      </c>
      <c r="B32">
        <v>-7.71</v>
      </c>
      <c r="C32">
        <v>-2.42</v>
      </c>
      <c r="D32">
        <v>1.2</v>
      </c>
      <c r="E32">
        <v>-2.98</v>
      </c>
      <c r="F32">
        <v>-1.1599999999999999</v>
      </c>
      <c r="G32">
        <v>0.23</v>
      </c>
      <c r="H32">
        <v>-3.21</v>
      </c>
      <c r="J32" s="5">
        <v>38625</v>
      </c>
      <c r="K32" s="6">
        <f t="shared" si="0"/>
        <v>4.3020267320349364</v>
      </c>
      <c r="L32" s="6">
        <f t="shared" si="1"/>
        <v>-0.16425744220854815</v>
      </c>
      <c r="M32" s="4">
        <f t="shared" si="2"/>
        <v>0.1231930816564111</v>
      </c>
      <c r="N32" s="4">
        <f t="shared" si="3"/>
        <v>0.53383668717778143</v>
      </c>
      <c r="O32" s="4">
        <f t="shared" si="4"/>
        <v>-1.0574072842175286</v>
      </c>
      <c r="P32" s="4">
        <f t="shared" si="7"/>
        <v>3.0079644104440382</v>
      </c>
      <c r="Q32">
        <v>2.1739999999999999</v>
      </c>
      <c r="R32">
        <v>1.2025999999999999</v>
      </c>
      <c r="S32">
        <f t="shared" si="6"/>
        <v>-2.5919326097521456E-2</v>
      </c>
    </row>
    <row r="33" spans="1:19" x14ac:dyDescent="0.3">
      <c r="A33">
        <v>199211</v>
      </c>
      <c r="B33">
        <v>-0.65</v>
      </c>
      <c r="C33">
        <v>-2.65</v>
      </c>
      <c r="D33">
        <v>-0.13</v>
      </c>
      <c r="E33">
        <v>0.56999999999999995</v>
      </c>
      <c r="F33">
        <v>1.17</v>
      </c>
      <c r="G33">
        <v>0.23</v>
      </c>
      <c r="H33">
        <v>-0.31</v>
      </c>
      <c r="J33" s="5">
        <v>38656</v>
      </c>
      <c r="K33" s="6">
        <f t="shared" si="0"/>
        <v>-3.0440651850091967</v>
      </c>
      <c r="L33" s="6">
        <f t="shared" si="1"/>
        <v>-1.1432321547698463</v>
      </c>
      <c r="M33" s="4">
        <f t="shared" si="2"/>
        <v>0.41116244162775173</v>
      </c>
      <c r="N33" s="4">
        <f t="shared" si="3"/>
        <v>-1.0529769846564374</v>
      </c>
      <c r="O33" s="4">
        <f t="shared" si="4"/>
        <v>1.1231754503002001</v>
      </c>
      <c r="P33" s="4">
        <f t="shared" si="7"/>
        <v>-1.7549616410940625</v>
      </c>
      <c r="Q33">
        <v>2.2309999999999999</v>
      </c>
      <c r="R33">
        <v>1.1992</v>
      </c>
      <c r="S33">
        <f t="shared" si="6"/>
        <v>-2.8272077166138221E-3</v>
      </c>
    </row>
    <row r="34" spans="1:19" x14ac:dyDescent="0.3">
      <c r="A34">
        <v>199212</v>
      </c>
      <c r="B34">
        <v>1.22</v>
      </c>
      <c r="C34">
        <v>-0.24</v>
      </c>
      <c r="D34">
        <v>-1.17</v>
      </c>
      <c r="E34">
        <v>2.0499999999999998</v>
      </c>
      <c r="F34">
        <v>0.69</v>
      </c>
      <c r="G34">
        <v>0.28000000000000003</v>
      </c>
      <c r="H34">
        <v>1.17</v>
      </c>
      <c r="J34" s="5">
        <v>38686</v>
      </c>
      <c r="K34" s="6">
        <f t="shared" si="0"/>
        <v>3.1748927769591546</v>
      </c>
      <c r="L34" s="6">
        <f t="shared" si="1"/>
        <v>-0.20346114692908043</v>
      </c>
      <c r="M34" s="4">
        <f t="shared" si="2"/>
        <v>0.5696912114014252</v>
      </c>
      <c r="N34" s="4">
        <f t="shared" si="3"/>
        <v>-3.0519172039362063E-2</v>
      </c>
      <c r="O34" s="4">
        <f t="shared" si="4"/>
        <v>-1.5259586019681033</v>
      </c>
      <c r="P34" s="4">
        <f t="shared" si="7"/>
        <v>1.383535799117747</v>
      </c>
      <c r="Q34">
        <v>2.3980000000000001</v>
      </c>
      <c r="R34">
        <v>1.1788000000000001</v>
      </c>
      <c r="S34">
        <f t="shared" si="6"/>
        <v>-1.7011340893929305E-2</v>
      </c>
    </row>
    <row r="35" spans="1:19" x14ac:dyDescent="0.3">
      <c r="A35">
        <v>199301</v>
      </c>
      <c r="B35">
        <v>0.63</v>
      </c>
      <c r="C35">
        <v>3.34</v>
      </c>
      <c r="D35">
        <v>2.95</v>
      </c>
      <c r="E35">
        <v>-1.23</v>
      </c>
      <c r="F35">
        <v>1.1200000000000001</v>
      </c>
      <c r="G35">
        <v>0.23</v>
      </c>
      <c r="H35">
        <v>-1.36</v>
      </c>
      <c r="J35" s="5">
        <v>38716</v>
      </c>
      <c r="K35" s="6">
        <f t="shared" si="0"/>
        <v>3.3868825043902873</v>
      </c>
      <c r="L35" s="6">
        <f t="shared" si="1"/>
        <v>0.61680816946577777</v>
      </c>
      <c r="M35" s="4">
        <f t="shared" si="2"/>
        <v>0.43773482994345519</v>
      </c>
      <c r="N35" s="4">
        <f t="shared" si="3"/>
        <v>-0.63670520719048029</v>
      </c>
      <c r="O35" s="4">
        <f t="shared" si="4"/>
        <v>-0.3979407544940502</v>
      </c>
      <c r="P35" s="4">
        <f t="shared" si="7"/>
        <v>1.4823293104903368</v>
      </c>
      <c r="Q35">
        <v>2.4460000000000002</v>
      </c>
      <c r="R35">
        <v>1.1849000000000001</v>
      </c>
      <c r="S35">
        <f t="shared" si="6"/>
        <v>5.1747539871054293E-3</v>
      </c>
    </row>
    <row r="36" spans="1:19" x14ac:dyDescent="0.3">
      <c r="A36">
        <v>199302</v>
      </c>
      <c r="B36">
        <v>1.1100000000000001</v>
      </c>
      <c r="C36">
        <v>-0.75</v>
      </c>
      <c r="D36">
        <v>1.74</v>
      </c>
      <c r="E36">
        <v>-0.74</v>
      </c>
      <c r="F36">
        <v>0.31</v>
      </c>
      <c r="G36">
        <v>0.22</v>
      </c>
      <c r="H36">
        <v>-1.36</v>
      </c>
      <c r="J36" s="5">
        <v>38748</v>
      </c>
      <c r="K36" s="6">
        <f t="shared" si="0"/>
        <v>3.8334908225037907</v>
      </c>
      <c r="L36" s="6">
        <f t="shared" si="1"/>
        <v>2.280903257650543</v>
      </c>
      <c r="M36" s="4">
        <f t="shared" si="2"/>
        <v>1.6960562685093781</v>
      </c>
      <c r="N36" s="4">
        <f t="shared" si="3"/>
        <v>-0.6433316880552814</v>
      </c>
      <c r="O36" s="4">
        <f t="shared" si="4"/>
        <v>-2.1249440605462326</v>
      </c>
      <c r="P36" s="4">
        <f t="shared" si="7"/>
        <v>4.1231712734452124</v>
      </c>
      <c r="Q36">
        <v>2.516</v>
      </c>
      <c r="R36">
        <v>1.2156</v>
      </c>
      <c r="S36">
        <f t="shared" si="6"/>
        <v>2.5909359439615143E-2</v>
      </c>
    </row>
    <row r="37" spans="1:19" x14ac:dyDescent="0.3">
      <c r="A37">
        <v>199303</v>
      </c>
      <c r="B37">
        <v>5.43</v>
      </c>
      <c r="C37">
        <v>1.31</v>
      </c>
      <c r="D37">
        <v>0.86</v>
      </c>
      <c r="E37">
        <v>-0.1</v>
      </c>
      <c r="F37">
        <v>2.67</v>
      </c>
      <c r="G37">
        <v>0.25</v>
      </c>
      <c r="H37">
        <v>2.89</v>
      </c>
      <c r="J37" s="5">
        <v>38776</v>
      </c>
      <c r="K37" s="6">
        <f t="shared" si="0"/>
        <v>2.6720612801399066</v>
      </c>
      <c r="L37" s="6">
        <f t="shared" si="1"/>
        <v>2.1923831893297545</v>
      </c>
      <c r="M37" s="4">
        <f t="shared" si="2"/>
        <v>1.478584011408439</v>
      </c>
      <c r="N37" s="4">
        <f t="shared" si="3"/>
        <v>-1.3256270447110143</v>
      </c>
      <c r="O37" s="4">
        <f t="shared" si="4"/>
        <v>-1.0605016357688115</v>
      </c>
      <c r="P37" s="4">
        <f t="shared" si="7"/>
        <v>0.76478483348712367</v>
      </c>
      <c r="Q37">
        <v>2.5720000000000001</v>
      </c>
      <c r="R37">
        <v>1.1920999999999999</v>
      </c>
      <c r="S37">
        <f t="shared" si="6"/>
        <v>-1.933201711089183E-2</v>
      </c>
    </row>
    <row r="38" spans="1:19" x14ac:dyDescent="0.3">
      <c r="A38">
        <v>199304</v>
      </c>
      <c r="B38">
        <v>1.92</v>
      </c>
      <c r="C38">
        <v>3.59</v>
      </c>
      <c r="D38">
        <v>1.93</v>
      </c>
      <c r="E38">
        <v>-1.61</v>
      </c>
      <c r="F38">
        <v>1.05</v>
      </c>
      <c r="G38">
        <v>0.24</v>
      </c>
      <c r="H38">
        <v>-1.98</v>
      </c>
      <c r="J38" s="5">
        <v>38807</v>
      </c>
      <c r="K38" s="6">
        <f t="shared" si="0"/>
        <v>2.452042251196572</v>
      </c>
      <c r="L38" s="6">
        <f t="shared" si="1"/>
        <v>0.78699455355669257</v>
      </c>
      <c r="M38" s="4">
        <f t="shared" si="2"/>
        <v>1.6822008582274302</v>
      </c>
      <c r="N38" s="4">
        <f t="shared" si="3"/>
        <v>-1.1706543984155802</v>
      </c>
      <c r="O38" s="4">
        <f t="shared" si="4"/>
        <v>0.22626093414754911</v>
      </c>
      <c r="P38" s="4">
        <f t="shared" si="7"/>
        <v>2.2429344776365734</v>
      </c>
      <c r="Q38">
        <v>2.702</v>
      </c>
      <c r="R38">
        <v>1.2118</v>
      </c>
      <c r="S38">
        <f t="shared" si="6"/>
        <v>1.6525459273550869E-2</v>
      </c>
    </row>
    <row r="39" spans="1:19" x14ac:dyDescent="0.3">
      <c r="A39">
        <v>199305</v>
      </c>
      <c r="B39">
        <v>0.91</v>
      </c>
      <c r="C39">
        <v>0.34</v>
      </c>
      <c r="D39">
        <v>1.5</v>
      </c>
      <c r="E39">
        <v>-0.44</v>
      </c>
      <c r="F39">
        <v>0.96</v>
      </c>
      <c r="G39">
        <v>0.22</v>
      </c>
      <c r="H39">
        <v>1.02</v>
      </c>
      <c r="J39" s="5">
        <v>38835</v>
      </c>
      <c r="K39" s="6">
        <f t="shared" si="0"/>
        <v>1.066558884594319</v>
      </c>
      <c r="L39" s="6">
        <f t="shared" si="1"/>
        <v>1.9277546497823503</v>
      </c>
      <c r="M39" s="4">
        <f t="shared" si="2"/>
        <v>-0.30690621290067271</v>
      </c>
      <c r="N39" s="4">
        <f t="shared" si="3"/>
        <v>1.0262176493866244</v>
      </c>
      <c r="O39" s="4">
        <f t="shared" si="4"/>
        <v>0.15345310645033636</v>
      </c>
      <c r="P39" s="4">
        <f t="shared" si="7"/>
        <v>2.8292916501780767</v>
      </c>
      <c r="Q39">
        <v>2.6880000000000002</v>
      </c>
      <c r="R39">
        <v>1.2635000000000001</v>
      </c>
      <c r="S39">
        <f t="shared" si="6"/>
        <v>4.2663805908565777E-2</v>
      </c>
    </row>
    <row r="40" spans="1:19" x14ac:dyDescent="0.3">
      <c r="A40">
        <v>199306</v>
      </c>
      <c r="B40">
        <v>-3.23</v>
      </c>
      <c r="C40">
        <v>-1.48</v>
      </c>
      <c r="D40">
        <v>1.53</v>
      </c>
      <c r="E40">
        <v>-0.93</v>
      </c>
      <c r="F40">
        <v>1.94</v>
      </c>
      <c r="G40">
        <v>0.25</v>
      </c>
      <c r="H40">
        <v>1.83</v>
      </c>
      <c r="J40" s="5">
        <v>38868</v>
      </c>
      <c r="K40" s="6">
        <f t="shared" si="0"/>
        <v>-4.7531992664121514</v>
      </c>
      <c r="L40" s="6">
        <f t="shared" si="1"/>
        <v>-0.94688524590163947</v>
      </c>
      <c r="M40" s="4">
        <f t="shared" si="2"/>
        <v>-0.54248633879781427</v>
      </c>
      <c r="N40" s="4">
        <f t="shared" si="3"/>
        <v>1.006065573770492</v>
      </c>
      <c r="O40" s="4">
        <f t="shared" si="4"/>
        <v>1.025792349726776</v>
      </c>
      <c r="P40" s="4">
        <f t="shared" si="7"/>
        <v>-2.8209289617486339</v>
      </c>
      <c r="Q40">
        <v>2.8</v>
      </c>
      <c r="R40">
        <v>1.2809999999999999</v>
      </c>
      <c r="S40">
        <f t="shared" si="6"/>
        <v>1.3850415512465242E-2</v>
      </c>
    </row>
    <row r="41" spans="1:19" x14ac:dyDescent="0.3">
      <c r="A41">
        <v>199307</v>
      </c>
      <c r="B41">
        <v>1.03</v>
      </c>
      <c r="C41">
        <v>-0.77</v>
      </c>
      <c r="D41">
        <v>3</v>
      </c>
      <c r="E41">
        <v>-0.91</v>
      </c>
      <c r="F41">
        <v>1.2</v>
      </c>
      <c r="G41">
        <v>0.24</v>
      </c>
      <c r="H41">
        <v>0.42</v>
      </c>
      <c r="J41" s="5">
        <v>38898</v>
      </c>
      <c r="K41" s="6">
        <f t="shared" si="0"/>
        <v>0.10868718694545128</v>
      </c>
      <c r="L41" s="6">
        <f t="shared" si="1"/>
        <v>-1.7525994840121961</v>
      </c>
      <c r="M41" s="4">
        <f t="shared" si="2"/>
        <v>-0.51075756391212579</v>
      </c>
      <c r="N41" s="4">
        <f t="shared" si="3"/>
        <v>0.32047533421937302</v>
      </c>
      <c r="O41" s="4">
        <f t="shared" si="4"/>
        <v>-0.71105464779923377</v>
      </c>
      <c r="P41" s="4">
        <f t="shared" si="7"/>
        <v>-1.2218122117113595</v>
      </c>
      <c r="Q41">
        <v>2.9580000000000002</v>
      </c>
      <c r="R41">
        <v>1.2790999999999999</v>
      </c>
      <c r="S41">
        <f t="shared" si="6"/>
        <v>-1.4832162373146218E-3</v>
      </c>
    </row>
    <row r="42" spans="1:19" x14ac:dyDescent="0.3">
      <c r="A42">
        <v>199308</v>
      </c>
      <c r="B42">
        <v>8.61</v>
      </c>
      <c r="C42">
        <v>0.87</v>
      </c>
      <c r="D42">
        <v>2.31</v>
      </c>
      <c r="E42">
        <v>0.54</v>
      </c>
      <c r="F42">
        <v>-0.3</v>
      </c>
      <c r="G42">
        <v>0.25</v>
      </c>
      <c r="H42">
        <v>-1.31</v>
      </c>
      <c r="J42" s="5">
        <v>38929</v>
      </c>
      <c r="K42" s="6">
        <f t="shared" si="0"/>
        <v>1.3575119437848493</v>
      </c>
      <c r="L42" s="6">
        <f t="shared" si="1"/>
        <v>-1.7232333359442311</v>
      </c>
      <c r="M42" s="4">
        <f t="shared" si="2"/>
        <v>1.6130265528315189</v>
      </c>
      <c r="N42" s="4">
        <f t="shared" si="3"/>
        <v>-0.42078953552126575</v>
      </c>
      <c r="O42" s="4">
        <f t="shared" si="4"/>
        <v>0.14026317850708858</v>
      </c>
      <c r="P42" s="4">
        <f t="shared" si="7"/>
        <v>0.11020678311271245</v>
      </c>
      <c r="Q42">
        <v>3.0590000000000002</v>
      </c>
      <c r="R42">
        <v>1.2766999999999999</v>
      </c>
      <c r="S42">
        <f t="shared" si="6"/>
        <v>-1.8763192869986067E-3</v>
      </c>
    </row>
    <row r="43" spans="1:19" x14ac:dyDescent="0.3">
      <c r="A43">
        <v>199309</v>
      </c>
      <c r="B43">
        <v>-0.64</v>
      </c>
      <c r="C43">
        <v>0.98</v>
      </c>
      <c r="D43">
        <v>0.04</v>
      </c>
      <c r="E43">
        <v>0.72</v>
      </c>
      <c r="F43">
        <v>0.46</v>
      </c>
      <c r="G43">
        <v>0.26</v>
      </c>
      <c r="H43">
        <v>1.91</v>
      </c>
      <c r="J43" s="5">
        <v>38960</v>
      </c>
      <c r="K43" s="6">
        <f t="shared" si="0"/>
        <v>2.4983638385244227</v>
      </c>
      <c r="L43" s="6">
        <f t="shared" si="1"/>
        <v>-0.19928197923983451</v>
      </c>
      <c r="M43" s="4">
        <f t="shared" si="2"/>
        <v>0.38859985951767728</v>
      </c>
      <c r="N43" s="4">
        <f t="shared" si="3"/>
        <v>-0.16938968235385934</v>
      </c>
      <c r="O43" s="4">
        <f t="shared" si="4"/>
        <v>-0.37863576055568554</v>
      </c>
      <c r="P43" s="4">
        <f t="shared" si="7"/>
        <v>-0.1594255833918676</v>
      </c>
      <c r="Q43">
        <v>3.1850000000000001</v>
      </c>
      <c r="R43">
        <v>1.2813000000000001</v>
      </c>
      <c r="S43">
        <f t="shared" si="6"/>
        <v>3.6030390851415905E-3</v>
      </c>
    </row>
    <row r="44" spans="1:19" x14ac:dyDescent="0.3">
      <c r="A44">
        <v>199310</v>
      </c>
      <c r="B44">
        <v>2.46</v>
      </c>
      <c r="C44">
        <v>-1.83</v>
      </c>
      <c r="D44">
        <v>0.76</v>
      </c>
      <c r="E44">
        <v>0.63</v>
      </c>
      <c r="F44">
        <v>-0.26</v>
      </c>
      <c r="G44">
        <v>0.22</v>
      </c>
      <c r="H44">
        <v>1.76</v>
      </c>
      <c r="J44" s="5">
        <v>38989</v>
      </c>
      <c r="K44" s="6">
        <f t="shared" si="0"/>
        <v>1.947016716349496</v>
      </c>
      <c r="L44" s="6">
        <f t="shared" si="1"/>
        <v>5.0548366735048138E-2</v>
      </c>
      <c r="M44" s="4">
        <f t="shared" si="2"/>
        <v>0.32350954710430807</v>
      </c>
      <c r="N44" s="4">
        <f t="shared" si="3"/>
        <v>-0.55603203408552948</v>
      </c>
      <c r="O44" s="4">
        <f t="shared" si="4"/>
        <v>0.75822550102572195</v>
      </c>
      <c r="P44" s="4">
        <f t="shared" si="7"/>
        <v>1.2232704749881647</v>
      </c>
      <c r="Q44">
        <v>3.302</v>
      </c>
      <c r="R44">
        <v>1.2674000000000001</v>
      </c>
      <c r="S44">
        <f t="shared" si="6"/>
        <v>-1.0848357137282494E-2</v>
      </c>
    </row>
    <row r="45" spans="1:19" x14ac:dyDescent="0.3">
      <c r="A45">
        <v>199311</v>
      </c>
      <c r="B45">
        <v>-2.31</v>
      </c>
      <c r="C45">
        <v>0.74</v>
      </c>
      <c r="D45">
        <v>-1.59</v>
      </c>
      <c r="E45">
        <v>0.75</v>
      </c>
      <c r="F45">
        <v>0.83</v>
      </c>
      <c r="G45">
        <v>0.25</v>
      </c>
      <c r="H45">
        <v>-0.83</v>
      </c>
      <c r="J45" s="5">
        <v>39021</v>
      </c>
      <c r="K45" s="6">
        <f t="shared" si="0"/>
        <v>3.239887804762867</v>
      </c>
      <c r="L45" s="6">
        <f t="shared" si="1"/>
        <v>0.2184829963955493</v>
      </c>
      <c r="M45" s="4">
        <f t="shared" si="2"/>
        <v>1.4896567936060179</v>
      </c>
      <c r="N45" s="4">
        <f t="shared" si="3"/>
        <v>0.53627644569816646</v>
      </c>
      <c r="O45" s="4">
        <f t="shared" si="4"/>
        <v>-0.48662121924463247</v>
      </c>
      <c r="P45" s="4">
        <f t="shared" si="7"/>
        <v>0.60579376273311392</v>
      </c>
      <c r="Q45">
        <v>3.3780000000000001</v>
      </c>
      <c r="R45">
        <v>1.2762</v>
      </c>
      <c r="S45">
        <f t="shared" si="6"/>
        <v>6.94334858765977E-3</v>
      </c>
    </row>
    <row r="46" spans="1:19" x14ac:dyDescent="0.3">
      <c r="A46">
        <v>199312</v>
      </c>
      <c r="B46">
        <v>7.16</v>
      </c>
      <c r="C46">
        <v>-2.19</v>
      </c>
      <c r="D46">
        <v>2.61</v>
      </c>
      <c r="E46">
        <v>-0.47</v>
      </c>
      <c r="F46">
        <v>0.54</v>
      </c>
      <c r="G46">
        <v>0.23</v>
      </c>
      <c r="H46">
        <v>1.0900000000000001</v>
      </c>
      <c r="J46" s="5">
        <v>39051</v>
      </c>
      <c r="K46" s="6">
        <f t="shared" si="0"/>
        <v>0.12600818069530129</v>
      </c>
      <c r="L46" s="6">
        <f t="shared" si="1"/>
        <v>2.3515541458994109</v>
      </c>
      <c r="M46" s="4">
        <f t="shared" si="2"/>
        <v>0.327675577707295</v>
      </c>
      <c r="N46" s="4">
        <f t="shared" si="3"/>
        <v>0.1638377888536475</v>
      </c>
      <c r="O46" s="4">
        <f t="shared" si="4"/>
        <v>0.21202537381060263</v>
      </c>
      <c r="P46" s="4">
        <f t="shared" si="7"/>
        <v>1.648015405527866</v>
      </c>
      <c r="Q46">
        <v>3.56</v>
      </c>
      <c r="R46">
        <v>1.3242</v>
      </c>
      <c r="S46">
        <f t="shared" si="6"/>
        <v>3.761165961448043E-2</v>
      </c>
    </row>
    <row r="47" spans="1:19" x14ac:dyDescent="0.3">
      <c r="A47">
        <v>199401</v>
      </c>
      <c r="B47">
        <v>5.89</v>
      </c>
      <c r="C47">
        <v>5.97</v>
      </c>
      <c r="D47">
        <v>4.34</v>
      </c>
      <c r="E47">
        <v>-2.5299999999999998</v>
      </c>
      <c r="F47">
        <v>2.73</v>
      </c>
      <c r="G47">
        <v>0.25</v>
      </c>
      <c r="H47">
        <v>2.25</v>
      </c>
      <c r="J47" s="5">
        <v>39080</v>
      </c>
      <c r="K47" s="6">
        <f t="shared" si="0"/>
        <v>3.7810685492032543</v>
      </c>
      <c r="L47" s="6">
        <f t="shared" si="1"/>
        <v>0.9632734712434643</v>
      </c>
      <c r="M47" s="4">
        <f t="shared" si="2"/>
        <v>0.55187542623323482</v>
      </c>
      <c r="N47" s="4">
        <f t="shared" si="3"/>
        <v>-5.0170493293930439E-2</v>
      </c>
      <c r="O47" s="4">
        <f t="shared" si="4"/>
        <v>-0.58197772220959298</v>
      </c>
      <c r="P47" s="4">
        <f t="shared" si="7"/>
        <v>2.8296158217776766</v>
      </c>
      <c r="Q47">
        <v>3.61</v>
      </c>
      <c r="R47">
        <v>1.3197000000000001</v>
      </c>
      <c r="S47">
        <f t="shared" si="6"/>
        <v>-3.3982782057090377E-3</v>
      </c>
    </row>
    <row r="48" spans="1:19" x14ac:dyDescent="0.3">
      <c r="A48">
        <v>199402</v>
      </c>
      <c r="B48">
        <v>-3.46</v>
      </c>
      <c r="C48">
        <v>4.1900000000000004</v>
      </c>
      <c r="D48">
        <v>1.01</v>
      </c>
      <c r="E48">
        <v>0.44</v>
      </c>
      <c r="F48">
        <v>1.31</v>
      </c>
      <c r="G48">
        <v>0.21</v>
      </c>
      <c r="H48">
        <v>-0.93</v>
      </c>
      <c r="J48" s="5">
        <v>39113</v>
      </c>
      <c r="K48" s="6">
        <f t="shared" si="0"/>
        <v>2.0326960506067309</v>
      </c>
      <c r="L48" s="6">
        <f t="shared" si="1"/>
        <v>2.015195672191529</v>
      </c>
      <c r="M48" s="4">
        <f t="shared" si="2"/>
        <v>0.77974907918968706</v>
      </c>
      <c r="N48" s="4">
        <f t="shared" si="3"/>
        <v>-0.65822974217311248</v>
      </c>
      <c r="O48" s="4">
        <f t="shared" si="4"/>
        <v>0.58734346224677725</v>
      </c>
      <c r="P48" s="4">
        <f t="shared" si="7"/>
        <v>0.94177486187845327</v>
      </c>
      <c r="Q48">
        <v>3.71</v>
      </c>
      <c r="R48">
        <v>1.3031999999999999</v>
      </c>
      <c r="S48">
        <f t="shared" si="6"/>
        <v>-1.2502841554899002E-2</v>
      </c>
    </row>
    <row r="49" spans="1:19" x14ac:dyDescent="0.3">
      <c r="A49">
        <v>199403</v>
      </c>
      <c r="B49">
        <v>-2.8</v>
      </c>
      <c r="C49">
        <v>1.48</v>
      </c>
      <c r="D49">
        <v>1.79</v>
      </c>
      <c r="E49">
        <v>0.65</v>
      </c>
      <c r="F49">
        <v>-0.23</v>
      </c>
      <c r="G49">
        <v>0.27</v>
      </c>
      <c r="H49">
        <v>-2.5</v>
      </c>
      <c r="J49" s="5">
        <v>39141</v>
      </c>
      <c r="K49" s="6">
        <f t="shared" si="0"/>
        <v>-1.9221482276898794</v>
      </c>
      <c r="L49" s="6">
        <f t="shared" si="1"/>
        <v>1.3397475243782599</v>
      </c>
      <c r="M49" s="4">
        <f t="shared" si="2"/>
        <v>-8.8659762642678969E-2</v>
      </c>
      <c r="N49" s="4">
        <f t="shared" si="3"/>
        <v>1.024512812759846</v>
      </c>
      <c r="O49" s="4">
        <f t="shared" si="4"/>
        <v>0.6304694232368282</v>
      </c>
      <c r="P49" s="4">
        <f t="shared" si="7"/>
        <v>1.2215345075213546</v>
      </c>
      <c r="Q49">
        <v>3.8079999999999998</v>
      </c>
      <c r="R49">
        <v>1.3229</v>
      </c>
      <c r="S49">
        <f t="shared" si="6"/>
        <v>1.5116635972989512E-2</v>
      </c>
    </row>
    <row r="50" spans="1:19" x14ac:dyDescent="0.3">
      <c r="A50">
        <v>199404</v>
      </c>
      <c r="B50">
        <v>3.79</v>
      </c>
      <c r="C50">
        <v>-0.51</v>
      </c>
      <c r="D50">
        <v>1.48</v>
      </c>
      <c r="E50">
        <v>-0.9</v>
      </c>
      <c r="F50">
        <v>0.74</v>
      </c>
      <c r="G50">
        <v>0.27</v>
      </c>
      <c r="H50">
        <v>-0.02</v>
      </c>
      <c r="J50" s="5">
        <v>39171</v>
      </c>
      <c r="K50" s="6">
        <f t="shared" si="0"/>
        <v>2.8522121410444115</v>
      </c>
      <c r="L50" s="6">
        <f t="shared" si="1"/>
        <v>0.70335405122060801</v>
      </c>
      <c r="M50" s="4">
        <f t="shared" si="2"/>
        <v>3.9625580350456789E-2</v>
      </c>
      <c r="N50" s="4">
        <f t="shared" si="3"/>
        <v>0.93120113823573458</v>
      </c>
      <c r="O50" s="4">
        <f t="shared" si="4"/>
        <v>0.20803429683989816</v>
      </c>
      <c r="P50" s="4">
        <f t="shared" si="7"/>
        <v>1.9614662273476111</v>
      </c>
      <c r="Q50">
        <v>3.9039999999999999</v>
      </c>
      <c r="R50">
        <v>1.3353999999999999</v>
      </c>
      <c r="S50">
        <f t="shared" si="6"/>
        <v>9.4489379393756234E-3</v>
      </c>
    </row>
    <row r="51" spans="1:19" x14ac:dyDescent="0.3">
      <c r="A51">
        <v>199405</v>
      </c>
      <c r="B51">
        <v>-4</v>
      </c>
      <c r="C51">
        <v>1.86</v>
      </c>
      <c r="D51">
        <v>0.53</v>
      </c>
      <c r="E51">
        <v>-0.53</v>
      </c>
      <c r="F51">
        <v>0.57999999999999996</v>
      </c>
      <c r="G51">
        <v>0.32</v>
      </c>
      <c r="H51">
        <v>-0.08</v>
      </c>
      <c r="J51" s="5">
        <v>39202</v>
      </c>
      <c r="K51" s="6">
        <f t="shared" si="0"/>
        <v>3.37614263116479</v>
      </c>
      <c r="L51" s="6">
        <f t="shared" si="1"/>
        <v>-0.20547626025791321</v>
      </c>
      <c r="M51" s="4">
        <f t="shared" si="2"/>
        <v>1.2328575615474793</v>
      </c>
      <c r="N51" s="4">
        <f t="shared" si="3"/>
        <v>0.11741500586166469</v>
      </c>
      <c r="O51" s="4">
        <f t="shared" si="4"/>
        <v>0.28375293083235631</v>
      </c>
      <c r="P51" s="4">
        <f t="shared" si="7"/>
        <v>0.52836752637749118</v>
      </c>
      <c r="Q51">
        <v>3.9159999999999999</v>
      </c>
      <c r="R51">
        <v>1.3648</v>
      </c>
      <c r="S51">
        <f t="shared" si="6"/>
        <v>2.201587539314076E-2</v>
      </c>
    </row>
    <row r="52" spans="1:19" x14ac:dyDescent="0.3">
      <c r="A52">
        <v>199406</v>
      </c>
      <c r="B52">
        <v>-1.1599999999999999</v>
      </c>
      <c r="C52">
        <v>-0.28000000000000003</v>
      </c>
      <c r="D52">
        <v>-1</v>
      </c>
      <c r="E52">
        <v>0.51</v>
      </c>
      <c r="F52">
        <v>0.31</v>
      </c>
      <c r="G52">
        <v>0.31</v>
      </c>
      <c r="H52">
        <v>-1.02</v>
      </c>
      <c r="J52" s="5">
        <v>39233</v>
      </c>
      <c r="K52" s="6">
        <f t="shared" si="0"/>
        <v>3.1261827753447111</v>
      </c>
      <c r="L52" s="6">
        <f t="shared" si="1"/>
        <v>-0.76087118114918606</v>
      </c>
      <c r="M52" s="4">
        <f t="shared" si="2"/>
        <v>0.56811714859139228</v>
      </c>
      <c r="N52" s="4">
        <f t="shared" si="3"/>
        <v>1.0043499591169256</v>
      </c>
      <c r="O52" s="4">
        <f t="shared" si="4"/>
        <v>1.095654500854828</v>
      </c>
      <c r="P52" s="4">
        <f t="shared" si="7"/>
        <v>1.2275388389206869</v>
      </c>
      <c r="Q52">
        <v>4.0730000000000004</v>
      </c>
      <c r="R52">
        <v>1.3452999999999999</v>
      </c>
      <c r="S52">
        <f t="shared" si="6"/>
        <v>-1.4287807737397462E-2</v>
      </c>
    </row>
    <row r="53" spans="1:19" x14ac:dyDescent="0.3">
      <c r="A53">
        <v>199407</v>
      </c>
      <c r="B53">
        <v>4.66</v>
      </c>
      <c r="C53">
        <v>-2.96</v>
      </c>
      <c r="D53">
        <v>1.06</v>
      </c>
      <c r="E53">
        <v>1.06</v>
      </c>
      <c r="F53">
        <v>0.55000000000000004</v>
      </c>
      <c r="G53">
        <v>0.28000000000000003</v>
      </c>
      <c r="H53">
        <v>0.3</v>
      </c>
      <c r="J53" s="5">
        <v>39262</v>
      </c>
      <c r="K53" s="6">
        <f t="shared" si="0"/>
        <v>-0.74620497868979041</v>
      </c>
      <c r="L53" s="6">
        <f t="shared" si="1"/>
        <v>-0.48681559707554833</v>
      </c>
      <c r="M53" s="4">
        <f t="shared" si="2"/>
        <v>0.39740048740861089</v>
      </c>
      <c r="N53" s="4">
        <f t="shared" si="3"/>
        <v>2.2552477660438668</v>
      </c>
      <c r="O53" s="4">
        <f t="shared" si="4"/>
        <v>0.45701056051990252</v>
      </c>
      <c r="P53" s="4">
        <f t="shared" si="7"/>
        <v>-0.55636068237205527</v>
      </c>
      <c r="Q53">
        <v>4.0069999999999997</v>
      </c>
      <c r="R53">
        <v>1.3541000000000001</v>
      </c>
      <c r="S53">
        <f t="shared" si="6"/>
        <v>6.5412919051512919E-3</v>
      </c>
    </row>
    <row r="54" spans="1:19" x14ac:dyDescent="0.3">
      <c r="A54">
        <v>199408</v>
      </c>
      <c r="B54">
        <v>1.9</v>
      </c>
      <c r="C54">
        <v>-0.68</v>
      </c>
      <c r="D54">
        <v>-2.62</v>
      </c>
      <c r="E54">
        <v>3.04</v>
      </c>
      <c r="F54">
        <v>-0.57999999999999996</v>
      </c>
      <c r="G54">
        <v>0.37</v>
      </c>
      <c r="H54">
        <v>-0.55000000000000004</v>
      </c>
      <c r="J54" s="5">
        <v>39294</v>
      </c>
      <c r="K54" s="6">
        <f t="shared" si="0"/>
        <v>-3.1753392503193432</v>
      </c>
      <c r="L54" s="6">
        <f t="shared" si="1"/>
        <v>1.8801446945337619</v>
      </c>
      <c r="M54" s="4">
        <f t="shared" si="2"/>
        <v>-0.35623794212218646</v>
      </c>
      <c r="N54" s="4">
        <f t="shared" si="3"/>
        <v>1.3161012861736334</v>
      </c>
      <c r="O54" s="4">
        <f t="shared" si="4"/>
        <v>-0.51456591639871385</v>
      </c>
      <c r="P54" s="4">
        <f t="shared" si="7"/>
        <v>1.6525482315112539</v>
      </c>
      <c r="Q54">
        <v>4.0609999999999999</v>
      </c>
      <c r="R54">
        <v>1.3684000000000001</v>
      </c>
      <c r="S54">
        <f t="shared" si="6"/>
        <v>1.0560519902518273E-2</v>
      </c>
    </row>
    <row r="55" spans="1:19" x14ac:dyDescent="0.3">
      <c r="A55">
        <v>199409</v>
      </c>
      <c r="B55">
        <v>-3.58</v>
      </c>
      <c r="C55">
        <v>2.71</v>
      </c>
      <c r="D55">
        <v>0.31</v>
      </c>
      <c r="E55">
        <v>-0.15</v>
      </c>
      <c r="F55">
        <v>-0.13</v>
      </c>
      <c r="G55">
        <v>0.37</v>
      </c>
      <c r="H55">
        <v>1.1499999999999999</v>
      </c>
      <c r="J55" s="5">
        <v>39325</v>
      </c>
      <c r="K55" s="6">
        <f t="shared" si="0"/>
        <v>-1.6041726047497893</v>
      </c>
      <c r="L55" s="6">
        <f t="shared" si="1"/>
        <v>-3.0520440205429202</v>
      </c>
      <c r="M55" s="4">
        <f t="shared" si="2"/>
        <v>-6.0237710931768156E-2</v>
      </c>
      <c r="N55" s="4">
        <f t="shared" si="3"/>
        <v>0.65257520176082173</v>
      </c>
      <c r="O55" s="4">
        <f t="shared" si="4"/>
        <v>1.0340807043286868</v>
      </c>
      <c r="P55" s="4">
        <f t="shared" si="7"/>
        <v>-0.14055465884079238</v>
      </c>
      <c r="Q55">
        <v>3.9140000000000001</v>
      </c>
      <c r="R55">
        <v>1.363</v>
      </c>
      <c r="S55">
        <f t="shared" si="6"/>
        <v>-3.9462145571470542E-3</v>
      </c>
    </row>
    <row r="56" spans="1:19" x14ac:dyDescent="0.3">
      <c r="A56">
        <v>199410</v>
      </c>
      <c r="B56">
        <v>3.59</v>
      </c>
      <c r="C56">
        <v>-2.94</v>
      </c>
      <c r="D56">
        <v>-0.33</v>
      </c>
      <c r="E56">
        <v>1.47</v>
      </c>
      <c r="F56">
        <v>-0.18</v>
      </c>
      <c r="G56">
        <v>0.38</v>
      </c>
      <c r="H56">
        <v>0.28000000000000003</v>
      </c>
      <c r="J56" s="5">
        <v>39353</v>
      </c>
      <c r="K56" s="6">
        <f t="shared" si="0"/>
        <v>0.12395918159637132</v>
      </c>
      <c r="L56" s="6">
        <f t="shared" si="1"/>
        <v>-3.6303357398191625</v>
      </c>
      <c r="M56" s="4">
        <f t="shared" si="2"/>
        <v>-0.81204878390691793</v>
      </c>
      <c r="N56" s="4">
        <f t="shared" si="3"/>
        <v>-0.69740660264947074</v>
      </c>
      <c r="O56" s="4">
        <f t="shared" si="4"/>
        <v>-0.82160229901170523</v>
      </c>
      <c r="P56" s="4">
        <f t="shared" si="7"/>
        <v>3.2864091960468209</v>
      </c>
      <c r="Q56">
        <v>3.806</v>
      </c>
      <c r="R56">
        <v>1.4267000000000001</v>
      </c>
      <c r="S56">
        <f t="shared" si="6"/>
        <v>4.6735143066764628E-2</v>
      </c>
    </row>
    <row r="57" spans="1:19" x14ac:dyDescent="0.3">
      <c r="A57">
        <v>199411</v>
      </c>
      <c r="B57">
        <v>-4.54</v>
      </c>
      <c r="C57">
        <v>-0.41</v>
      </c>
      <c r="D57">
        <v>0.45</v>
      </c>
      <c r="E57">
        <v>-1.17</v>
      </c>
      <c r="F57">
        <v>-0.42</v>
      </c>
      <c r="G57">
        <v>0.37</v>
      </c>
      <c r="H57">
        <v>-1.18</v>
      </c>
      <c r="J57" s="5">
        <v>39386</v>
      </c>
      <c r="K57" s="6">
        <f t="shared" si="0"/>
        <v>2.757808302389182</v>
      </c>
      <c r="L57" s="6">
        <f t="shared" si="1"/>
        <v>0.23635535307517083</v>
      </c>
      <c r="M57" s="4">
        <f t="shared" si="2"/>
        <v>-0.90602885345482154</v>
      </c>
      <c r="N57" s="4">
        <f t="shared" si="3"/>
        <v>1.4575246772968868</v>
      </c>
      <c r="O57" s="4">
        <f t="shared" si="4"/>
        <v>-1.3688914198936977</v>
      </c>
      <c r="P57" s="4">
        <f t="shared" si="7"/>
        <v>3.8703189066059225</v>
      </c>
      <c r="Q57">
        <v>3.8559999999999999</v>
      </c>
      <c r="R57">
        <v>1.4487000000000001</v>
      </c>
      <c r="S57">
        <f t="shared" si="6"/>
        <v>1.542020046260606E-2</v>
      </c>
    </row>
    <row r="58" spans="1:19" x14ac:dyDescent="0.3">
      <c r="A58">
        <v>199412</v>
      </c>
      <c r="B58">
        <v>0.02</v>
      </c>
      <c r="C58">
        <v>0.3</v>
      </c>
      <c r="D58">
        <v>-0.57999999999999996</v>
      </c>
      <c r="E58">
        <v>0.56999999999999995</v>
      </c>
      <c r="F58">
        <v>-0.35</v>
      </c>
      <c r="G58">
        <v>0.44</v>
      </c>
      <c r="H58">
        <v>0.88</v>
      </c>
      <c r="J58" s="5">
        <v>39416</v>
      </c>
      <c r="K58" s="6">
        <f t="shared" si="0"/>
        <v>-4.967859546212404</v>
      </c>
      <c r="L58" s="6">
        <f t="shared" si="1"/>
        <v>-4.4254008063965005</v>
      </c>
      <c r="M58" s="4">
        <f t="shared" si="2"/>
        <v>-1.7424396911091369</v>
      </c>
      <c r="N58" s="4">
        <f t="shared" si="3"/>
        <v>0.48511105036561197</v>
      </c>
      <c r="O58" s="4">
        <f t="shared" si="4"/>
        <v>1.5246347297204947</v>
      </c>
      <c r="P58" s="4">
        <f t="shared" si="7"/>
        <v>1.8612423973211234</v>
      </c>
      <c r="Q58">
        <v>3.8610000000000002</v>
      </c>
      <c r="R58">
        <v>1.4633</v>
      </c>
      <c r="S58">
        <f t="shared" si="6"/>
        <v>1.0078000966383671E-2</v>
      </c>
    </row>
    <row r="59" spans="1:19" x14ac:dyDescent="0.3">
      <c r="A59">
        <v>199501</v>
      </c>
      <c r="B59">
        <v>-1.55</v>
      </c>
      <c r="C59">
        <v>1.62</v>
      </c>
      <c r="D59">
        <v>0.96</v>
      </c>
      <c r="E59">
        <v>0.28999999999999998</v>
      </c>
      <c r="F59">
        <v>0.27</v>
      </c>
      <c r="G59">
        <v>0.42</v>
      </c>
      <c r="H59">
        <v>2.2000000000000002</v>
      </c>
      <c r="J59" s="5">
        <v>39447</v>
      </c>
      <c r="K59" s="6">
        <f t="shared" si="0"/>
        <v>-1.8512645988674099</v>
      </c>
      <c r="L59" s="6">
        <f t="shared" si="1"/>
        <v>-0.97292549180889709</v>
      </c>
      <c r="M59" s="4">
        <f t="shared" si="2"/>
        <v>1.2236794845431489</v>
      </c>
      <c r="N59" s="4">
        <f t="shared" si="3"/>
        <v>-0.12036191651244088</v>
      </c>
      <c r="O59" s="4">
        <f t="shared" si="4"/>
        <v>0.55165878401535406</v>
      </c>
      <c r="P59" s="4">
        <f t="shared" si="7"/>
        <v>2.1163636986770853</v>
      </c>
      <c r="Q59">
        <v>3.6850000000000001</v>
      </c>
      <c r="R59">
        <v>1.4589000000000001</v>
      </c>
      <c r="S59">
        <f t="shared" si="6"/>
        <v>-3.0069022073395679E-3</v>
      </c>
    </row>
    <row r="60" spans="1:19" x14ac:dyDescent="0.3">
      <c r="A60">
        <v>199502</v>
      </c>
      <c r="B60">
        <v>1.97</v>
      </c>
      <c r="C60">
        <v>-0.62</v>
      </c>
      <c r="D60">
        <v>-0.76</v>
      </c>
      <c r="E60">
        <v>0.82</v>
      </c>
      <c r="F60">
        <v>-0.78</v>
      </c>
      <c r="G60">
        <v>0.4</v>
      </c>
      <c r="H60">
        <v>1.61</v>
      </c>
      <c r="J60" s="5">
        <v>39478</v>
      </c>
      <c r="K60" s="6">
        <f t="shared" si="0"/>
        <v>-11.753801952891305</v>
      </c>
      <c r="L60" s="6">
        <f t="shared" si="1"/>
        <v>0.46139761792611533</v>
      </c>
      <c r="M60" s="4">
        <f t="shared" si="2"/>
        <v>-9.8169705941726672E-3</v>
      </c>
      <c r="N60" s="4">
        <f t="shared" si="3"/>
        <v>-0.91297826525805814</v>
      </c>
      <c r="O60" s="4">
        <f t="shared" si="4"/>
        <v>1.5510813538792816</v>
      </c>
      <c r="P60" s="4">
        <f t="shared" si="7"/>
        <v>0.43194670614359737</v>
      </c>
      <c r="Q60">
        <v>3.895</v>
      </c>
      <c r="R60">
        <v>1.4861</v>
      </c>
      <c r="S60">
        <f t="shared" si="6"/>
        <v>1.8644183974227069E-2</v>
      </c>
    </row>
    <row r="61" spans="1:19" x14ac:dyDescent="0.3">
      <c r="A61">
        <v>199503</v>
      </c>
      <c r="B61">
        <v>3.45</v>
      </c>
      <c r="C61">
        <v>-1.62</v>
      </c>
      <c r="D61">
        <v>-2.4700000000000002</v>
      </c>
      <c r="E61">
        <v>2.76</v>
      </c>
      <c r="F61">
        <v>-0.23</v>
      </c>
      <c r="G61">
        <v>0.46</v>
      </c>
      <c r="H61">
        <v>-0.23</v>
      </c>
      <c r="J61" s="5">
        <v>39507</v>
      </c>
      <c r="K61" s="6">
        <f t="shared" si="0"/>
        <v>-0.36892215001441969</v>
      </c>
      <c r="L61" s="6">
        <f t="shared" si="1"/>
        <v>2.5749015086632845</v>
      </c>
      <c r="M61" s="4">
        <f t="shared" si="2"/>
        <v>-0.49931550167995253</v>
      </c>
      <c r="N61" s="4">
        <f t="shared" si="3"/>
        <v>0.49931550167995253</v>
      </c>
      <c r="O61" s="4">
        <f t="shared" si="4"/>
        <v>-1.2531840042163513</v>
      </c>
      <c r="P61" s="4">
        <f t="shared" si="7"/>
        <v>1.7231280057974832</v>
      </c>
      <c r="Q61">
        <v>3.8690000000000002</v>
      </c>
      <c r="R61">
        <v>1.5179</v>
      </c>
      <c r="S61">
        <f t="shared" si="6"/>
        <v>2.139829082834277E-2</v>
      </c>
    </row>
    <row r="62" spans="1:19" x14ac:dyDescent="0.3">
      <c r="A62">
        <v>199504</v>
      </c>
      <c r="B62">
        <v>2.56</v>
      </c>
      <c r="C62">
        <v>-1.64</v>
      </c>
      <c r="D62">
        <v>0.4</v>
      </c>
      <c r="E62">
        <v>-0.01</v>
      </c>
      <c r="F62">
        <v>-1.08</v>
      </c>
      <c r="G62">
        <v>0.45</v>
      </c>
      <c r="H62">
        <v>0</v>
      </c>
      <c r="J62" s="5">
        <v>39538</v>
      </c>
      <c r="K62" s="6">
        <f t="shared" si="0"/>
        <v>-3.7619466683557241</v>
      </c>
      <c r="L62" s="6">
        <f t="shared" si="1"/>
        <v>-0.58647010387636178</v>
      </c>
      <c r="M62" s="4">
        <f t="shared" si="2"/>
        <v>2.2785805675196351</v>
      </c>
      <c r="N62" s="4">
        <f t="shared" si="3"/>
        <v>-0.77875538383582465</v>
      </c>
      <c r="O62" s="4">
        <f t="shared" si="4"/>
        <v>-0.21151380795540917</v>
      </c>
      <c r="P62" s="4">
        <f t="shared" si="7"/>
        <v>0.2211280719533823</v>
      </c>
      <c r="Q62">
        <v>3.41</v>
      </c>
      <c r="R62">
        <v>1.5788</v>
      </c>
      <c r="S62">
        <f t="shared" si="6"/>
        <v>4.0121220106726474E-2</v>
      </c>
    </row>
    <row r="63" spans="1:19" x14ac:dyDescent="0.3">
      <c r="A63">
        <v>199505</v>
      </c>
      <c r="B63">
        <v>1.76</v>
      </c>
      <c r="C63">
        <v>-0.21</v>
      </c>
      <c r="D63">
        <v>0.46</v>
      </c>
      <c r="E63">
        <v>0.16</v>
      </c>
      <c r="F63">
        <v>-0.97</v>
      </c>
      <c r="G63">
        <v>0.54</v>
      </c>
      <c r="H63">
        <v>-0.61</v>
      </c>
      <c r="J63" s="5">
        <v>39568</v>
      </c>
      <c r="K63" s="6">
        <f t="shared" si="0"/>
        <v>5.4211035718857996</v>
      </c>
      <c r="L63" s="6">
        <f t="shared" si="1"/>
        <v>-2.6377339649212646</v>
      </c>
      <c r="M63" s="4">
        <f t="shared" si="2"/>
        <v>-1.0106260401997184E-2</v>
      </c>
      <c r="N63" s="4">
        <f t="shared" si="3"/>
        <v>1.7483830495455128</v>
      </c>
      <c r="O63" s="4">
        <f t="shared" si="4"/>
        <v>-0.80850083215977475</v>
      </c>
      <c r="P63" s="4">
        <f t="shared" si="7"/>
        <v>0.15159390602995776</v>
      </c>
      <c r="Q63">
        <v>3.6309999999999998</v>
      </c>
      <c r="R63">
        <v>1.5622</v>
      </c>
      <c r="S63">
        <f t="shared" si="6"/>
        <v>-1.051431466936914E-2</v>
      </c>
    </row>
    <row r="64" spans="1:19" x14ac:dyDescent="0.3">
      <c r="A64">
        <v>199506</v>
      </c>
      <c r="B64">
        <v>1</v>
      </c>
      <c r="C64">
        <v>0.14000000000000001</v>
      </c>
      <c r="D64">
        <v>-0.63</v>
      </c>
      <c r="E64">
        <v>0.78</v>
      </c>
      <c r="F64">
        <v>-0.94</v>
      </c>
      <c r="G64">
        <v>0.47</v>
      </c>
      <c r="H64">
        <v>3.4</v>
      </c>
      <c r="J64" s="5">
        <v>39598</v>
      </c>
      <c r="K64" s="6">
        <f t="shared" si="0"/>
        <v>1.1732512413668059</v>
      </c>
      <c r="L64" s="6">
        <f t="shared" si="1"/>
        <v>0.37161759033046166</v>
      </c>
      <c r="M64" s="4">
        <f t="shared" si="2"/>
        <v>-1.1751150829368651</v>
      </c>
      <c r="N64" s="4">
        <f t="shared" si="3"/>
        <v>0.41179246496078181</v>
      </c>
      <c r="O64" s="4">
        <f t="shared" si="4"/>
        <v>-0.86375980455188384</v>
      </c>
      <c r="P64" s="4">
        <f t="shared" si="7"/>
        <v>4.41923620933522</v>
      </c>
      <c r="Q64">
        <v>3.97</v>
      </c>
      <c r="R64">
        <v>1.5553999999999999</v>
      </c>
      <c r="S64">
        <f t="shared" si="6"/>
        <v>-4.3528357444629906E-3</v>
      </c>
    </row>
    <row r="65" spans="1:19" x14ac:dyDescent="0.3">
      <c r="A65">
        <v>199507</v>
      </c>
      <c r="B65">
        <v>3.99</v>
      </c>
      <c r="C65">
        <v>-1.54</v>
      </c>
      <c r="D65">
        <v>-1.03</v>
      </c>
      <c r="E65">
        <v>1.81</v>
      </c>
      <c r="F65">
        <v>-1.75</v>
      </c>
      <c r="G65">
        <v>0.45</v>
      </c>
      <c r="H65">
        <v>0.97</v>
      </c>
      <c r="J65" s="5">
        <v>39629</v>
      </c>
      <c r="K65" s="6">
        <f t="shared" si="0"/>
        <v>-10.003517491729086</v>
      </c>
      <c r="L65" s="6">
        <f t="shared" si="1"/>
        <v>1.89550491907331</v>
      </c>
      <c r="M65" s="4">
        <f t="shared" si="2"/>
        <v>-0.69106950174547754</v>
      </c>
      <c r="N65" s="4">
        <f t="shared" si="3"/>
        <v>-1.9744842907013647E-2</v>
      </c>
      <c r="O65" s="4">
        <f t="shared" si="4"/>
        <v>1.3229044747699144</v>
      </c>
      <c r="P65" s="4">
        <f t="shared" si="7"/>
        <v>9.3689279593779755</v>
      </c>
      <c r="Q65">
        <v>4.3010000000000002</v>
      </c>
      <c r="R65">
        <v>1.5754999999999999</v>
      </c>
      <c r="S65">
        <f t="shared" si="6"/>
        <v>1.292272084351298E-2</v>
      </c>
    </row>
    <row r="66" spans="1:19" x14ac:dyDescent="0.3">
      <c r="A66">
        <v>199508</v>
      </c>
      <c r="B66">
        <v>-4.05</v>
      </c>
      <c r="C66">
        <v>1.1399999999999999</v>
      </c>
      <c r="D66">
        <v>-2.29</v>
      </c>
      <c r="E66">
        <v>2.12</v>
      </c>
      <c r="F66">
        <v>-0.14000000000000001</v>
      </c>
      <c r="G66">
        <v>0.47</v>
      </c>
      <c r="H66">
        <v>1.89</v>
      </c>
      <c r="J66" s="5">
        <v>39660</v>
      </c>
      <c r="K66" s="6">
        <f t="shared" si="0"/>
        <v>-3.0951847317735726</v>
      </c>
      <c r="L66" s="6">
        <f t="shared" si="1"/>
        <v>-1.8781195923860794</v>
      </c>
      <c r="M66" s="4">
        <f t="shared" si="2"/>
        <v>0.95925463051977167</v>
      </c>
      <c r="N66" s="4">
        <f t="shared" si="3"/>
        <v>-0.74720887008908532</v>
      </c>
      <c r="O66" s="4">
        <f t="shared" si="4"/>
        <v>1.1107158879702621</v>
      </c>
      <c r="P66" s="4">
        <f t="shared" si="7"/>
        <v>-2.2517240274306221</v>
      </c>
      <c r="Q66">
        <v>4.2359999999999998</v>
      </c>
      <c r="R66">
        <v>1.5603</v>
      </c>
      <c r="S66">
        <f t="shared" si="6"/>
        <v>-9.6477308790858807E-3</v>
      </c>
    </row>
    <row r="67" spans="1:19" x14ac:dyDescent="0.3">
      <c r="A67">
        <v>199509</v>
      </c>
      <c r="B67">
        <v>2.37</v>
      </c>
      <c r="C67">
        <v>-0.55000000000000004</v>
      </c>
      <c r="D67">
        <v>-1.93</v>
      </c>
      <c r="E67">
        <v>0.89</v>
      </c>
      <c r="F67">
        <v>-0.92</v>
      </c>
      <c r="G67">
        <v>0.43</v>
      </c>
      <c r="H67">
        <v>5.82</v>
      </c>
      <c r="J67" s="5">
        <v>39689</v>
      </c>
      <c r="K67" s="6">
        <f t="shared" si="0"/>
        <v>1.2685929257820534</v>
      </c>
      <c r="L67" s="6">
        <f t="shared" si="1"/>
        <v>0.31901451645880186</v>
      </c>
      <c r="M67" s="4">
        <f t="shared" si="2"/>
        <v>-9.5704354937640554E-2</v>
      </c>
      <c r="N67" s="4">
        <f t="shared" si="3"/>
        <v>0.74436720507053766</v>
      </c>
      <c r="O67" s="4">
        <f t="shared" si="4"/>
        <v>1.9247209159681047</v>
      </c>
      <c r="P67" s="4">
        <f t="shared" si="7"/>
        <v>-5.3062747904314049</v>
      </c>
      <c r="Q67">
        <v>4.29</v>
      </c>
      <c r="R67">
        <v>1.4673</v>
      </c>
      <c r="S67">
        <f t="shared" si="6"/>
        <v>-5.9603922322630232E-2</v>
      </c>
    </row>
    <row r="68" spans="1:19" x14ac:dyDescent="0.3">
      <c r="A68">
        <v>199510</v>
      </c>
      <c r="B68">
        <v>-0.71</v>
      </c>
      <c r="C68">
        <v>-0.95</v>
      </c>
      <c r="D68">
        <v>-0.28999999999999998</v>
      </c>
      <c r="E68">
        <v>-0.16</v>
      </c>
      <c r="F68">
        <v>-0.46</v>
      </c>
      <c r="G68">
        <v>0.47</v>
      </c>
      <c r="H68">
        <v>4.58</v>
      </c>
      <c r="J68" s="5">
        <v>39721</v>
      </c>
      <c r="K68" s="6">
        <f t="shared" si="0"/>
        <v>-11.764833792805785</v>
      </c>
      <c r="L68" s="6">
        <f t="shared" si="1"/>
        <v>-2.8113184785694014</v>
      </c>
      <c r="M68" s="4">
        <f t="shared" si="2"/>
        <v>0.94751845018450198</v>
      </c>
      <c r="N68" s="4">
        <f t="shared" si="3"/>
        <v>-0.18742123190462676</v>
      </c>
      <c r="O68" s="4">
        <f t="shared" si="4"/>
        <v>5.6538738291229071</v>
      </c>
      <c r="P68" s="4">
        <f t="shared" si="7"/>
        <v>3.9254335793357935</v>
      </c>
      <c r="Q68">
        <v>2.4529999999999998</v>
      </c>
      <c r="R68">
        <v>1.4092</v>
      </c>
      <c r="S68">
        <f t="shared" si="6"/>
        <v>-3.9596537858652026E-2</v>
      </c>
    </row>
    <row r="69" spans="1:19" x14ac:dyDescent="0.3">
      <c r="A69">
        <v>199511</v>
      </c>
      <c r="B69">
        <v>-0.32</v>
      </c>
      <c r="C69">
        <v>-3.3</v>
      </c>
      <c r="D69">
        <v>0.78</v>
      </c>
      <c r="E69">
        <v>-0.05</v>
      </c>
      <c r="F69">
        <v>0.78</v>
      </c>
      <c r="G69">
        <v>0.42</v>
      </c>
      <c r="H69">
        <v>2.15</v>
      </c>
      <c r="J69" s="5">
        <v>39752</v>
      </c>
      <c r="K69" s="6">
        <f t="shared" si="0"/>
        <v>-13.762710262024244</v>
      </c>
      <c r="L69" s="6">
        <f t="shared" si="1"/>
        <v>-5.1491277699198497</v>
      </c>
      <c r="M69" s="4">
        <f t="shared" si="2"/>
        <v>-3.9089077479176488</v>
      </c>
      <c r="N69" s="4">
        <f t="shared" si="3"/>
        <v>4.5290177589187488</v>
      </c>
      <c r="O69" s="4">
        <f t="shared" si="4"/>
        <v>5.0716140185447118</v>
      </c>
      <c r="P69" s="4">
        <f t="shared" si="7"/>
        <v>11.22842055634135</v>
      </c>
      <c r="Q69">
        <v>1.96</v>
      </c>
      <c r="R69">
        <v>1.2726</v>
      </c>
      <c r="S69">
        <f t="shared" si="6"/>
        <v>-9.6934430882770428E-2</v>
      </c>
    </row>
    <row r="70" spans="1:19" x14ac:dyDescent="0.3">
      <c r="A70">
        <v>199512</v>
      </c>
      <c r="B70">
        <v>1.84</v>
      </c>
      <c r="C70">
        <v>-1.19</v>
      </c>
      <c r="D70">
        <v>1.03</v>
      </c>
      <c r="E70">
        <v>-1.78</v>
      </c>
      <c r="F70">
        <v>-0.54</v>
      </c>
      <c r="G70">
        <v>0.49</v>
      </c>
      <c r="H70">
        <v>-0.34</v>
      </c>
      <c r="J70" s="5">
        <v>39780</v>
      </c>
      <c r="K70" s="6">
        <f t="shared" si="0"/>
        <v>-7.055028598629379</v>
      </c>
      <c r="L70" s="6">
        <f t="shared" si="1"/>
        <v>-1.1732266960838389</v>
      </c>
      <c r="M70" s="4">
        <f t="shared" si="2"/>
        <v>-3.6400110314396028</v>
      </c>
      <c r="N70" s="4">
        <f t="shared" si="3"/>
        <v>0.93256480970766698</v>
      </c>
      <c r="O70" s="4">
        <f t="shared" si="4"/>
        <v>3.1787424158852731</v>
      </c>
      <c r="P70" s="4">
        <f t="shared" si="7"/>
        <v>2.3965912851627138</v>
      </c>
      <c r="Q70">
        <v>1.5840000000000001</v>
      </c>
      <c r="R70">
        <v>1.2690999999999999</v>
      </c>
      <c r="S70">
        <f t="shared" si="6"/>
        <v>-2.7502750275028021E-3</v>
      </c>
    </row>
    <row r="71" spans="1:19" x14ac:dyDescent="0.3">
      <c r="A71">
        <v>199601</v>
      </c>
      <c r="B71">
        <v>0.44</v>
      </c>
      <c r="C71">
        <v>0.06</v>
      </c>
      <c r="D71">
        <v>0.12</v>
      </c>
      <c r="E71">
        <v>1.75</v>
      </c>
      <c r="F71">
        <v>-0.03</v>
      </c>
      <c r="G71">
        <v>0.43</v>
      </c>
      <c r="H71">
        <v>-0.73</v>
      </c>
      <c r="J71" s="5">
        <v>39813</v>
      </c>
      <c r="K71" s="6">
        <f t="shared" si="0"/>
        <v>-3.205869971359474</v>
      </c>
      <c r="L71" s="6">
        <f t="shared" si="1"/>
        <v>-1.3444048385942309</v>
      </c>
      <c r="M71" s="4">
        <f t="shared" si="2"/>
        <v>1.0991417937155534</v>
      </c>
      <c r="N71" s="4">
        <f t="shared" si="3"/>
        <v>-1.562416434041944</v>
      </c>
      <c r="O71" s="4">
        <f t="shared" si="4"/>
        <v>3.2701739317156968</v>
      </c>
      <c r="P71" s="4">
        <f t="shared" si="7"/>
        <v>-0.65403478634313927</v>
      </c>
      <c r="Q71">
        <v>0.90100000000000002</v>
      </c>
      <c r="R71">
        <v>1.3971</v>
      </c>
      <c r="S71">
        <f t="shared" si="6"/>
        <v>0.10085887636908053</v>
      </c>
    </row>
    <row r="72" spans="1:19" x14ac:dyDescent="0.3">
      <c r="A72">
        <v>199602</v>
      </c>
      <c r="B72">
        <v>1.88</v>
      </c>
      <c r="C72">
        <v>1.65</v>
      </c>
      <c r="D72">
        <v>0.21</v>
      </c>
      <c r="E72">
        <v>2.56</v>
      </c>
      <c r="F72">
        <v>-0.64</v>
      </c>
      <c r="G72">
        <v>0.39</v>
      </c>
      <c r="H72">
        <v>1.76</v>
      </c>
      <c r="J72" s="5">
        <v>39843</v>
      </c>
      <c r="K72" s="6">
        <f t="shared" si="0"/>
        <v>-3.0196015048928415</v>
      </c>
      <c r="L72" s="6">
        <f t="shared" si="1"/>
        <v>5.1356754858346987</v>
      </c>
      <c r="M72" s="4">
        <f t="shared" si="2"/>
        <v>-4.4160266916413011</v>
      </c>
      <c r="N72" s="4">
        <f t="shared" si="3"/>
        <v>1.493816436431749</v>
      </c>
      <c r="O72" s="4">
        <f t="shared" si="4"/>
        <v>-2.0390049168812925</v>
      </c>
      <c r="P72" s="4">
        <f t="shared" si="7"/>
        <v>3.6200515101849677</v>
      </c>
      <c r="Q72">
        <v>1.1240000000000001</v>
      </c>
      <c r="R72">
        <v>1.2813000000000001</v>
      </c>
      <c r="S72">
        <f t="shared" si="6"/>
        <v>-8.2885978097487545E-2</v>
      </c>
    </row>
    <row r="73" spans="1:19" x14ac:dyDescent="0.3">
      <c r="A73">
        <v>199603</v>
      </c>
      <c r="B73">
        <v>0.89</v>
      </c>
      <c r="C73">
        <v>0.42</v>
      </c>
      <c r="D73">
        <v>0.51</v>
      </c>
      <c r="E73">
        <v>0.77</v>
      </c>
      <c r="F73">
        <v>0.56000000000000005</v>
      </c>
      <c r="G73">
        <v>0.39</v>
      </c>
      <c r="H73">
        <v>2.6</v>
      </c>
      <c r="J73" s="5">
        <v>39871</v>
      </c>
      <c r="K73" s="6">
        <f t="shared" si="0"/>
        <v>-9.0188457922855534</v>
      </c>
      <c r="L73" s="6">
        <f t="shared" si="1"/>
        <v>4.369102533743785</v>
      </c>
      <c r="M73" s="4">
        <f t="shared" si="2"/>
        <v>-4.2780795642907892</v>
      </c>
      <c r="N73" s="4">
        <f t="shared" si="3"/>
        <v>3.3779635330333888</v>
      </c>
      <c r="O73" s="4">
        <f t="shared" si="4"/>
        <v>-0.4146601941747573</v>
      </c>
      <c r="P73" s="4">
        <f t="shared" si="7"/>
        <v>4.5511484726497757</v>
      </c>
      <c r="Q73">
        <v>0.78700000000000003</v>
      </c>
      <c r="R73">
        <v>1.2668999999999999</v>
      </c>
      <c r="S73">
        <f t="shared" si="6"/>
        <v>-1.1238585811285562E-2</v>
      </c>
    </row>
    <row r="74" spans="1:19" x14ac:dyDescent="0.3">
      <c r="A74">
        <v>199604</v>
      </c>
      <c r="B74">
        <v>0.62</v>
      </c>
      <c r="C74">
        <v>0.56000000000000005</v>
      </c>
      <c r="D74">
        <v>0.37</v>
      </c>
      <c r="E74">
        <v>0.19</v>
      </c>
      <c r="F74">
        <v>-0.04</v>
      </c>
      <c r="G74">
        <v>0.46</v>
      </c>
      <c r="H74">
        <v>1.17</v>
      </c>
      <c r="J74" s="5">
        <v>39903</v>
      </c>
      <c r="K74" s="6">
        <f t="shared" si="0"/>
        <v>2.2052199741535201</v>
      </c>
      <c r="L74" s="6">
        <f t="shared" si="1"/>
        <v>-2.2469547169811324</v>
      </c>
      <c r="M74" s="4">
        <f t="shared" si="2"/>
        <v>1.3959803773584905</v>
      </c>
      <c r="N74" s="4">
        <f t="shared" si="3"/>
        <v>0.7553592452830189</v>
      </c>
      <c r="O74" s="4">
        <f t="shared" si="4"/>
        <v>-2.6389766037735849</v>
      </c>
      <c r="P74" s="4">
        <f t="shared" si="7"/>
        <v>-9.8579162264150941</v>
      </c>
      <c r="Q74">
        <v>0.498</v>
      </c>
      <c r="R74">
        <v>1.325</v>
      </c>
      <c r="S74">
        <f t="shared" si="6"/>
        <v>4.5859973162838408E-2</v>
      </c>
    </row>
    <row r="75" spans="1:19" x14ac:dyDescent="0.3">
      <c r="A75">
        <v>199605</v>
      </c>
      <c r="B75">
        <v>1.5</v>
      </c>
      <c r="C75">
        <v>1.78</v>
      </c>
      <c r="D75">
        <v>-0.28000000000000003</v>
      </c>
      <c r="E75">
        <v>1.97</v>
      </c>
      <c r="F75">
        <v>-0.67</v>
      </c>
      <c r="G75">
        <v>0.42</v>
      </c>
      <c r="H75">
        <v>2.09</v>
      </c>
      <c r="J75" s="5">
        <v>39933</v>
      </c>
      <c r="K75" s="6">
        <f t="shared" si="0"/>
        <v>13.810920345002534</v>
      </c>
      <c r="L75" s="6">
        <f t="shared" si="1"/>
        <v>2.0931594860166287</v>
      </c>
      <c r="M75" s="4">
        <f t="shared" si="2"/>
        <v>6.6700680272108839</v>
      </c>
      <c r="N75" s="4">
        <f t="shared" si="3"/>
        <v>-1.4922524565381707</v>
      </c>
      <c r="O75" s="4">
        <f t="shared" si="4"/>
        <v>-3.565381708238851</v>
      </c>
      <c r="P75" s="4">
        <f t="shared" si="7"/>
        <v>-26.129440665154949</v>
      </c>
      <c r="Q75">
        <v>0.67400000000000004</v>
      </c>
      <c r="R75">
        <v>1.323</v>
      </c>
      <c r="S75">
        <f t="shared" si="6"/>
        <v>-1.5094339622641062E-3</v>
      </c>
    </row>
    <row r="76" spans="1:19" x14ac:dyDescent="0.3">
      <c r="A76">
        <v>199606</v>
      </c>
      <c r="B76">
        <v>0.22</v>
      </c>
      <c r="C76">
        <v>-0.51</v>
      </c>
      <c r="D76">
        <v>0.33</v>
      </c>
      <c r="E76">
        <v>0.66</v>
      </c>
      <c r="F76">
        <v>0.63</v>
      </c>
      <c r="G76">
        <v>0.4</v>
      </c>
      <c r="H76">
        <v>1.29</v>
      </c>
      <c r="J76" s="5">
        <v>39962</v>
      </c>
      <c r="K76" s="6">
        <f t="shared" si="0"/>
        <v>5.4070833160786407</v>
      </c>
      <c r="L76" s="6">
        <f t="shared" si="1"/>
        <v>1.0185548806328579</v>
      </c>
      <c r="M76" s="4">
        <f t="shared" si="2"/>
        <v>-1.1587229834722419</v>
      </c>
      <c r="N76" s="4">
        <f t="shared" si="3"/>
        <v>1.261512925554457</v>
      </c>
      <c r="O76" s="4">
        <f t="shared" si="4"/>
        <v>-2.4949922305410368</v>
      </c>
      <c r="P76" s="4">
        <f t="shared" si="7"/>
        <v>-7.2046404859443429</v>
      </c>
      <c r="Q76">
        <v>0.755</v>
      </c>
      <c r="R76">
        <v>1.4157999999999999</v>
      </c>
      <c r="S76">
        <f t="shared" si="6"/>
        <v>7.0143613000755778E-2</v>
      </c>
    </row>
    <row r="77" spans="1:19" x14ac:dyDescent="0.3">
      <c r="A77">
        <v>199607</v>
      </c>
      <c r="B77">
        <v>-1.79</v>
      </c>
      <c r="C77">
        <v>-0.13</v>
      </c>
      <c r="D77">
        <v>0.97</v>
      </c>
      <c r="E77">
        <v>-0.28000000000000003</v>
      </c>
      <c r="F77">
        <v>0.06</v>
      </c>
      <c r="G77">
        <v>0.45</v>
      </c>
      <c r="H77">
        <v>-2</v>
      </c>
      <c r="J77" s="5">
        <v>39994</v>
      </c>
      <c r="K77" s="6">
        <f t="shared" ref="K77:K140" si="8">IFERROR(
(
(
 (1 + ( INDEX($B:$B, MATCH(YEAR($J77)*100+MONTH($J77), $A:$A, 0)) + INDEX($G:$G, MATCH(YEAR($J77)*100+MONTH($J77), $A:$A, 0)) )/100 )
 / ($R77/$R76)
) - 1
- ( ($Q76/100)*(30/365) )
) * 100, ""
)</f>
        <v>-1.0478653838457124</v>
      </c>
      <c r="L77" s="6">
        <f t="shared" ref="L77:L140" si="9">IFERROR( INDEX($C:$C, MATCH(YEAR($J77)*100+MONTH($J77), $A:$A, 0)) / ($R77/$R76), "" )</f>
        <v>1.6243411957528682</v>
      </c>
      <c r="M77" s="4">
        <f t="shared" ref="M77:M140" si="10">IFERROR( INDEX($D:$D, MATCH(YEAR($J77)*100+MONTH($J77), $A:$A, 0)) / ($R77/$R76), "" )</f>
        <v>-1.2006000142521198</v>
      </c>
      <c r="N77" s="4">
        <f t="shared" ref="N77:N140" si="11">IFERROR( INDEX($E:$E, MATCH(YEAR($J77)*100+MONTH($J77), $A:$A, 0)) / ($R77/$R76), "" )</f>
        <v>0.29258319675051658</v>
      </c>
      <c r="O77" s="4">
        <f t="shared" ref="O77:O140" si="12">IFERROR( INDEX($F:$F, MATCH(YEAR($J77)*100+MONTH($J77), $A:$A, 0)) / ($R77/$R76), "" )</f>
        <v>0.45400840875080167</v>
      </c>
      <c r="P77" s="4">
        <f t="shared" si="7"/>
        <v>2.4819126345043823</v>
      </c>
      <c r="Q77">
        <v>0.58899999999999997</v>
      </c>
      <c r="R77">
        <v>1.4033</v>
      </c>
      <c r="S77">
        <f t="shared" si="6"/>
        <v>-8.8289306399208511E-3</v>
      </c>
    </row>
    <row r="78" spans="1:19" x14ac:dyDescent="0.3">
      <c r="A78">
        <v>199608</v>
      </c>
      <c r="B78">
        <v>2.2599999999999998</v>
      </c>
      <c r="C78">
        <v>-0.85</v>
      </c>
      <c r="D78">
        <v>-1.49</v>
      </c>
      <c r="E78">
        <v>1.83</v>
      </c>
      <c r="F78">
        <v>-1.32</v>
      </c>
      <c r="G78">
        <v>0.41</v>
      </c>
      <c r="H78">
        <v>2.63</v>
      </c>
      <c r="J78" s="5">
        <v>40025</v>
      </c>
      <c r="K78" s="6">
        <f t="shared" si="8"/>
        <v>8.4103300104442908</v>
      </c>
      <c r="L78" s="6">
        <f t="shared" si="9"/>
        <v>-3.3465806270603915</v>
      </c>
      <c r="M78" s="4">
        <f t="shared" si="10"/>
        <v>3.720610226555376</v>
      </c>
      <c r="N78" s="4">
        <f t="shared" si="11"/>
        <v>0.18701479974749247</v>
      </c>
      <c r="O78" s="4">
        <f t="shared" si="12"/>
        <v>-0.25591498912814759</v>
      </c>
      <c r="P78" s="4">
        <f t="shared" si="7"/>
        <v>-1.5354899347688855</v>
      </c>
      <c r="Q78">
        <v>0.31</v>
      </c>
      <c r="R78">
        <v>1.4257</v>
      </c>
      <c r="S78">
        <f t="shared" ref="S78:S141" si="13">R78/R77-1</f>
        <v>1.5962374403192481E-2</v>
      </c>
    </row>
    <row r="79" spans="1:19" x14ac:dyDescent="0.3">
      <c r="A79">
        <v>199609</v>
      </c>
      <c r="B79">
        <v>1.17</v>
      </c>
      <c r="C79">
        <v>-2.61</v>
      </c>
      <c r="D79">
        <v>0.49</v>
      </c>
      <c r="E79">
        <v>1.26</v>
      </c>
      <c r="F79">
        <v>-0.19</v>
      </c>
      <c r="G79">
        <v>0.44</v>
      </c>
      <c r="H79">
        <v>2.42</v>
      </c>
      <c r="J79" s="5">
        <v>40056</v>
      </c>
      <c r="K79" s="6">
        <f t="shared" si="8"/>
        <v>5.06693159859402</v>
      </c>
      <c r="L79" s="6">
        <f t="shared" si="9"/>
        <v>2.6258183340309755</v>
      </c>
      <c r="M79" s="4">
        <f t="shared" si="10"/>
        <v>7.4895500209292596</v>
      </c>
      <c r="N79" s="4">
        <f t="shared" si="11"/>
        <v>-4.7145374633737971</v>
      </c>
      <c r="O79" s="4">
        <f t="shared" si="12"/>
        <v>2.4567315473698899</v>
      </c>
      <c r="P79" s="4">
        <f t="shared" si="7"/>
        <v>-9.2301492953816098</v>
      </c>
      <c r="Q79">
        <v>0.32200000000000001</v>
      </c>
      <c r="R79">
        <v>1.4334</v>
      </c>
      <c r="S79">
        <f t="shared" si="13"/>
        <v>5.4008557199971552E-3</v>
      </c>
    </row>
    <row r="80" spans="1:19" x14ac:dyDescent="0.3">
      <c r="A80">
        <v>199610</v>
      </c>
      <c r="B80">
        <v>1.55</v>
      </c>
      <c r="C80">
        <v>0.98</v>
      </c>
      <c r="D80">
        <v>-1.3</v>
      </c>
      <c r="E80">
        <v>1.49</v>
      </c>
      <c r="F80">
        <v>-1.22</v>
      </c>
      <c r="G80">
        <v>0.42</v>
      </c>
      <c r="H80">
        <v>3.47</v>
      </c>
      <c r="J80" s="5">
        <v>40086</v>
      </c>
      <c r="K80" s="6">
        <f t="shared" si="8"/>
        <v>3.209665394116342</v>
      </c>
      <c r="L80" s="6">
        <f t="shared" si="9"/>
        <v>1.8994508196721311</v>
      </c>
      <c r="M80" s="4">
        <f t="shared" si="10"/>
        <v>1.1063811475409835</v>
      </c>
      <c r="N80" s="4">
        <f t="shared" si="11"/>
        <v>0.18602868852459017</v>
      </c>
      <c r="O80" s="4">
        <f t="shared" si="12"/>
        <v>1.1847090163934426</v>
      </c>
      <c r="P80" s="4">
        <f t="shared" si="7"/>
        <v>-2.7414754098360654</v>
      </c>
      <c r="Q80">
        <v>0.32800000000000001</v>
      </c>
      <c r="R80">
        <v>1.464</v>
      </c>
      <c r="S80">
        <f t="shared" si="13"/>
        <v>2.1347844286312201E-2</v>
      </c>
    </row>
    <row r="81" spans="1:19" x14ac:dyDescent="0.3">
      <c r="A81">
        <v>199611</v>
      </c>
      <c r="B81">
        <v>4.08</v>
      </c>
      <c r="C81">
        <v>-2.5299999999999998</v>
      </c>
      <c r="D81">
        <v>1.01</v>
      </c>
      <c r="E81">
        <v>0.26</v>
      </c>
      <c r="F81">
        <v>-0.19</v>
      </c>
      <c r="G81">
        <v>0.41</v>
      </c>
      <c r="H81">
        <v>1.37</v>
      </c>
      <c r="J81" s="5">
        <v>40116</v>
      </c>
      <c r="K81" s="6">
        <f t="shared" si="8"/>
        <v>-2.4037508057333317</v>
      </c>
      <c r="L81" s="6">
        <f t="shared" si="9"/>
        <v>1.4322712140770433</v>
      </c>
      <c r="M81" s="4">
        <f t="shared" si="10"/>
        <v>-3.2623955431754874</v>
      </c>
      <c r="N81" s="4">
        <f t="shared" si="11"/>
        <v>2.8446497724030166</v>
      </c>
      <c r="O81" s="4">
        <f t="shared" si="12"/>
        <v>-0.35806780351926082</v>
      </c>
      <c r="P81" s="4">
        <f t="shared" si="7"/>
        <v>3.6801413139479586</v>
      </c>
      <c r="Q81">
        <v>0.37</v>
      </c>
      <c r="R81">
        <v>1.4719</v>
      </c>
      <c r="S81">
        <f t="shared" si="13"/>
        <v>5.3961748633879481E-3</v>
      </c>
    </row>
    <row r="82" spans="1:19" x14ac:dyDescent="0.3">
      <c r="A82">
        <v>199612</v>
      </c>
      <c r="B82">
        <v>2.0099999999999998</v>
      </c>
      <c r="C82">
        <v>0.17</v>
      </c>
      <c r="D82">
        <v>0.75</v>
      </c>
      <c r="E82">
        <v>1.06</v>
      </c>
      <c r="F82">
        <v>0.42</v>
      </c>
      <c r="G82">
        <v>0.46</v>
      </c>
      <c r="H82">
        <v>1.64</v>
      </c>
      <c r="J82" s="5">
        <v>40147</v>
      </c>
      <c r="K82" s="6">
        <f t="shared" si="8"/>
        <v>1.0063767785167539</v>
      </c>
      <c r="L82" s="6">
        <f t="shared" si="9"/>
        <v>-1.952069976674442</v>
      </c>
      <c r="M82" s="4">
        <f t="shared" si="10"/>
        <v>-1.1967464178607132</v>
      </c>
      <c r="N82" s="4">
        <f t="shared" si="11"/>
        <v>2.8839626791069644</v>
      </c>
      <c r="O82" s="4">
        <f t="shared" si="12"/>
        <v>0.81417994001999339</v>
      </c>
      <c r="P82" s="4">
        <f t="shared" si="7"/>
        <v>1.8735948017327557</v>
      </c>
      <c r="Q82">
        <v>0.40699999999999997</v>
      </c>
      <c r="R82">
        <v>1.5004999999999999</v>
      </c>
      <c r="S82">
        <f t="shared" si="13"/>
        <v>1.9430667844282823E-2</v>
      </c>
    </row>
    <row r="83" spans="1:19" x14ac:dyDescent="0.3">
      <c r="A83">
        <v>199701</v>
      </c>
      <c r="B83">
        <v>-0.35</v>
      </c>
      <c r="C83">
        <v>0.74</v>
      </c>
      <c r="D83">
        <v>2.0099999999999998</v>
      </c>
      <c r="E83">
        <v>-1</v>
      </c>
      <c r="F83">
        <v>1.02</v>
      </c>
      <c r="G83">
        <v>0.45</v>
      </c>
      <c r="H83">
        <v>0.78</v>
      </c>
      <c r="J83" s="5">
        <v>40178</v>
      </c>
      <c r="K83" s="6">
        <f t="shared" si="8"/>
        <v>5.7381246507427974</v>
      </c>
      <c r="L83" s="6">
        <f t="shared" si="9"/>
        <v>-1.9697926122477478</v>
      </c>
      <c r="M83" s="4">
        <f t="shared" si="10"/>
        <v>-1.2992249144612806</v>
      </c>
      <c r="N83" s="4">
        <f t="shared" si="11"/>
        <v>2.1583897772501919</v>
      </c>
      <c r="O83" s="4">
        <f t="shared" si="12"/>
        <v>-1.0477620277913553E-2</v>
      </c>
      <c r="P83" s="4">
        <f t="shared" si="7"/>
        <v>0.22003002583618461</v>
      </c>
      <c r="Q83">
        <v>0.30399999999999999</v>
      </c>
      <c r="R83">
        <v>1.4320999999999999</v>
      </c>
      <c r="S83">
        <f t="shared" si="13"/>
        <v>-4.5584805064978307E-2</v>
      </c>
    </row>
    <row r="84" spans="1:19" x14ac:dyDescent="0.3">
      <c r="A84">
        <v>199702</v>
      </c>
      <c r="B84">
        <v>0.68</v>
      </c>
      <c r="C84">
        <v>0.6</v>
      </c>
      <c r="D84">
        <v>-0.25</v>
      </c>
      <c r="E84">
        <v>-0.28999999999999998</v>
      </c>
      <c r="F84">
        <v>-1.32</v>
      </c>
      <c r="G84">
        <v>0.39</v>
      </c>
      <c r="H84">
        <v>0.56000000000000005</v>
      </c>
      <c r="J84" s="5">
        <v>40207</v>
      </c>
      <c r="K84" s="6">
        <f t="shared" si="8"/>
        <v>-2.1756665293147641</v>
      </c>
      <c r="L84" s="6">
        <f t="shared" si="9"/>
        <v>4.83461588400779</v>
      </c>
      <c r="M84" s="4">
        <f t="shared" si="10"/>
        <v>-1.9317802784390101</v>
      </c>
      <c r="N84" s="4">
        <f t="shared" si="11"/>
        <v>1.5392259972588904</v>
      </c>
      <c r="O84" s="4">
        <f t="shared" si="12"/>
        <v>-4.1321503282117859E-2</v>
      </c>
      <c r="P84" s="4">
        <f t="shared" si="7"/>
        <v>0.55784029430859117</v>
      </c>
      <c r="Q84">
        <v>0.27900000000000003</v>
      </c>
      <c r="R84">
        <v>1.3863000000000001</v>
      </c>
      <c r="S84">
        <f t="shared" si="13"/>
        <v>-3.1981006912924936E-2</v>
      </c>
    </row>
    <row r="85" spans="1:19" x14ac:dyDescent="0.3">
      <c r="A85">
        <v>199703</v>
      </c>
      <c r="B85">
        <v>2.04</v>
      </c>
      <c r="C85">
        <v>-0.96</v>
      </c>
      <c r="D85">
        <v>1.0900000000000001</v>
      </c>
      <c r="E85">
        <v>0.11</v>
      </c>
      <c r="F85">
        <v>1.52</v>
      </c>
      <c r="G85">
        <v>0.43</v>
      </c>
      <c r="H85">
        <v>-0.95</v>
      </c>
      <c r="J85" s="5">
        <v>40235</v>
      </c>
      <c r="K85" s="6">
        <f t="shared" si="8"/>
        <v>-0.4566707776291577</v>
      </c>
      <c r="L85" s="6">
        <f t="shared" si="9"/>
        <v>-0.84412662313843445</v>
      </c>
      <c r="M85" s="4">
        <f t="shared" si="10"/>
        <v>-1.8204658499009612</v>
      </c>
      <c r="N85" s="4">
        <f t="shared" si="11"/>
        <v>0.76276502090822396</v>
      </c>
      <c r="O85" s="4">
        <f t="shared" si="12"/>
        <v>-0.53902061477514496</v>
      </c>
      <c r="P85" s="4">
        <f t="shared" si="7"/>
        <v>0.24408480669063165</v>
      </c>
      <c r="Q85">
        <v>0.249</v>
      </c>
      <c r="R85">
        <v>1.3631</v>
      </c>
      <c r="S85">
        <f t="shared" si="13"/>
        <v>-1.6735194402366038E-2</v>
      </c>
    </row>
    <row r="86" spans="1:19" x14ac:dyDescent="0.3">
      <c r="A86">
        <v>199704</v>
      </c>
      <c r="B86">
        <v>-0.75</v>
      </c>
      <c r="C86">
        <v>-1.38</v>
      </c>
      <c r="D86">
        <v>0.19</v>
      </c>
      <c r="E86">
        <v>1.1100000000000001</v>
      </c>
      <c r="F86">
        <v>0.26</v>
      </c>
      <c r="G86">
        <v>0.43</v>
      </c>
      <c r="H86">
        <v>2.06</v>
      </c>
      <c r="J86" s="5">
        <v>40268</v>
      </c>
      <c r="K86" s="6">
        <f t="shared" si="8"/>
        <v>7.3526667410238957</v>
      </c>
      <c r="L86" s="6">
        <f t="shared" si="9"/>
        <v>-0.71635899333826791</v>
      </c>
      <c r="M86" s="4">
        <f t="shared" si="10"/>
        <v>4.3082435233160616</v>
      </c>
      <c r="N86" s="4">
        <f t="shared" si="11"/>
        <v>0.12107475943745373</v>
      </c>
      <c r="O86" s="4">
        <f t="shared" si="12"/>
        <v>-0.38340340488527014</v>
      </c>
      <c r="P86" s="4">
        <f t="shared" ref="P86:P149" si="14">IFERROR( INDEX($H:$H, MATCH(YEAR($J86)*100+MONTH($J86), $A:$A, 0)) / ($R86/$R85), "" )</f>
        <v>5.1961250925240563</v>
      </c>
      <c r="Q86">
        <v>0.28399999999999997</v>
      </c>
      <c r="R86">
        <v>1.351</v>
      </c>
      <c r="S86">
        <f t="shared" si="13"/>
        <v>-8.876824884454515E-3</v>
      </c>
    </row>
    <row r="87" spans="1:19" x14ac:dyDescent="0.3">
      <c r="A87">
        <v>199705</v>
      </c>
      <c r="B87">
        <v>4.1399999999999997</v>
      </c>
      <c r="C87">
        <v>-1.1599999999999999</v>
      </c>
      <c r="D87">
        <v>1.1000000000000001</v>
      </c>
      <c r="E87">
        <v>-1.25</v>
      </c>
      <c r="F87">
        <v>-0.3</v>
      </c>
      <c r="G87">
        <v>0.49</v>
      </c>
      <c r="H87">
        <v>2.2200000000000002</v>
      </c>
      <c r="J87" s="5">
        <v>40298</v>
      </c>
      <c r="K87" s="6">
        <f t="shared" si="8"/>
        <v>-7.5358412797195531E-2</v>
      </c>
      <c r="L87" s="6">
        <f t="shared" si="9"/>
        <v>3.1706935459605838</v>
      </c>
      <c r="M87" s="4">
        <f t="shared" si="10"/>
        <v>-0.29471190010531068</v>
      </c>
      <c r="N87" s="4">
        <f t="shared" si="11"/>
        <v>2.2865578456446518</v>
      </c>
      <c r="O87" s="4">
        <f t="shared" si="12"/>
        <v>-0.75202346923424102</v>
      </c>
      <c r="P87" s="4">
        <f t="shared" si="14"/>
        <v>2.2357454490747708</v>
      </c>
      <c r="Q87">
        <v>0.20799999999999999</v>
      </c>
      <c r="R87">
        <v>1.3293999999999999</v>
      </c>
      <c r="S87">
        <f t="shared" si="13"/>
        <v>-1.5988156920799468E-2</v>
      </c>
    </row>
    <row r="88" spans="1:19" x14ac:dyDescent="0.3">
      <c r="A88">
        <v>199706</v>
      </c>
      <c r="B88">
        <v>3.66</v>
      </c>
      <c r="C88">
        <v>-3.45</v>
      </c>
      <c r="D88">
        <v>1.04</v>
      </c>
      <c r="E88">
        <v>0.32</v>
      </c>
      <c r="F88">
        <v>1.41</v>
      </c>
      <c r="G88">
        <v>0.37</v>
      </c>
      <c r="H88">
        <v>0.92</v>
      </c>
      <c r="J88" s="5">
        <v>40329</v>
      </c>
      <c r="K88" s="6">
        <f t="shared" si="8"/>
        <v>-4.9951358709082765</v>
      </c>
      <c r="L88" s="6">
        <f t="shared" si="9"/>
        <v>-0.59415732163172441</v>
      </c>
      <c r="M88" s="4">
        <f t="shared" si="10"/>
        <v>-3.8782268811961647</v>
      </c>
      <c r="N88" s="4">
        <f t="shared" si="11"/>
        <v>0.73459450674467752</v>
      </c>
      <c r="O88" s="4">
        <f t="shared" si="12"/>
        <v>-0.91824313343084674</v>
      </c>
      <c r="P88" s="4">
        <f t="shared" si="14"/>
        <v>1.0370745977571916</v>
      </c>
      <c r="Q88">
        <v>0.185</v>
      </c>
      <c r="R88">
        <v>1.2305999999999999</v>
      </c>
      <c r="S88">
        <f t="shared" si="13"/>
        <v>-7.4319241763201482E-2</v>
      </c>
    </row>
    <row r="89" spans="1:19" x14ac:dyDescent="0.3">
      <c r="A89">
        <v>199707</v>
      </c>
      <c r="B89">
        <v>3.12</v>
      </c>
      <c r="C89">
        <v>-5.44</v>
      </c>
      <c r="D89">
        <v>1.81</v>
      </c>
      <c r="E89">
        <v>-0.95</v>
      </c>
      <c r="F89">
        <v>-0.01</v>
      </c>
      <c r="G89">
        <v>0.43</v>
      </c>
      <c r="H89">
        <v>2.54</v>
      </c>
      <c r="J89" s="5">
        <v>40359</v>
      </c>
      <c r="K89" s="6">
        <f t="shared" si="8"/>
        <v>-0.43494890157985994</v>
      </c>
      <c r="L89" s="6">
        <f t="shared" si="9"/>
        <v>-7.0388952443209682E-2</v>
      </c>
      <c r="M89" s="4">
        <f t="shared" si="10"/>
        <v>-2.2323353489132214</v>
      </c>
      <c r="N89" s="4">
        <f t="shared" si="11"/>
        <v>-1.0759454159176336</v>
      </c>
      <c r="O89" s="4">
        <f t="shared" si="12"/>
        <v>-1.1161676744566107</v>
      </c>
      <c r="P89" s="4">
        <f t="shared" si="14"/>
        <v>1.6591681647327994</v>
      </c>
      <c r="Q89">
        <v>0.17799999999999999</v>
      </c>
      <c r="R89">
        <v>1.2238</v>
      </c>
      <c r="S89">
        <f t="shared" si="13"/>
        <v>-5.5257597919713408E-3</v>
      </c>
    </row>
    <row r="90" spans="1:19" x14ac:dyDescent="0.3">
      <c r="A90">
        <v>199708</v>
      </c>
      <c r="B90">
        <v>-5.29</v>
      </c>
      <c r="C90">
        <v>5.86</v>
      </c>
      <c r="D90">
        <v>-0.87</v>
      </c>
      <c r="E90">
        <v>1.1499999999999999</v>
      </c>
      <c r="F90">
        <v>1.41</v>
      </c>
      <c r="G90">
        <v>0.41</v>
      </c>
      <c r="H90">
        <v>-2.23</v>
      </c>
      <c r="J90" s="5">
        <v>40389</v>
      </c>
      <c r="K90" s="6">
        <f t="shared" si="8"/>
        <v>4.897246969970495</v>
      </c>
      <c r="L90" s="6">
        <f t="shared" si="9"/>
        <v>-1.6033542752068648</v>
      </c>
      <c r="M90" s="4">
        <f t="shared" si="10"/>
        <v>4.3037404229236902</v>
      </c>
      <c r="N90" s="4">
        <f t="shared" si="11"/>
        <v>-2.6722571253447751</v>
      </c>
      <c r="O90" s="4">
        <f t="shared" si="12"/>
        <v>0.90950505669629178</v>
      </c>
      <c r="P90" s="4">
        <f t="shared" si="14"/>
        <v>-1.7439993870671162</v>
      </c>
      <c r="Q90">
        <v>0.249</v>
      </c>
      <c r="R90">
        <v>1.3051999999999999</v>
      </c>
      <c r="S90">
        <f t="shared" si="13"/>
        <v>6.6514136296780491E-2</v>
      </c>
    </row>
    <row r="91" spans="1:19" x14ac:dyDescent="0.3">
      <c r="A91">
        <v>199709</v>
      </c>
      <c r="B91">
        <v>8.74</v>
      </c>
      <c r="C91">
        <v>-3.57</v>
      </c>
      <c r="D91">
        <v>2.67</v>
      </c>
      <c r="E91">
        <v>0.73</v>
      </c>
      <c r="F91">
        <v>-0.06</v>
      </c>
      <c r="G91">
        <v>0.44</v>
      </c>
      <c r="H91">
        <v>3.92</v>
      </c>
      <c r="J91" s="5">
        <v>40421</v>
      </c>
      <c r="K91" s="6">
        <f t="shared" si="8"/>
        <v>-1.4613963527937521</v>
      </c>
      <c r="L91" s="6">
        <f t="shared" si="9"/>
        <v>-7.205362776025237E-2</v>
      </c>
      <c r="M91" s="4">
        <f t="shared" si="10"/>
        <v>-2.7689179810725548</v>
      </c>
      <c r="N91" s="4">
        <f t="shared" si="11"/>
        <v>2.707157728706624</v>
      </c>
      <c r="O91" s="4">
        <f t="shared" si="12"/>
        <v>-2.1719022082018924</v>
      </c>
      <c r="P91" s="4">
        <f t="shared" si="14"/>
        <v>3.9114826498422706</v>
      </c>
      <c r="Q91">
        <v>0.24</v>
      </c>
      <c r="R91">
        <v>1.268</v>
      </c>
      <c r="S91">
        <f t="shared" si="13"/>
        <v>-2.8501379098988533E-2</v>
      </c>
    </row>
    <row r="92" spans="1:19" x14ac:dyDescent="0.3">
      <c r="A92">
        <v>199710</v>
      </c>
      <c r="B92">
        <v>-4.88</v>
      </c>
      <c r="C92">
        <v>4.09</v>
      </c>
      <c r="D92">
        <v>0.89</v>
      </c>
      <c r="E92">
        <v>-0.37</v>
      </c>
      <c r="F92">
        <v>-0.01</v>
      </c>
      <c r="G92">
        <v>0.42</v>
      </c>
      <c r="H92">
        <v>-1.44</v>
      </c>
      <c r="J92" s="5">
        <v>40451</v>
      </c>
      <c r="K92" s="6">
        <f t="shared" si="8"/>
        <v>3.743483595604058</v>
      </c>
      <c r="L92" s="6">
        <f t="shared" si="9"/>
        <v>0.85562564177790834</v>
      </c>
      <c r="M92" s="4">
        <f t="shared" si="10"/>
        <v>-0.24180724658940886</v>
      </c>
      <c r="N92" s="4">
        <f t="shared" si="11"/>
        <v>-0.46501393574886318</v>
      </c>
      <c r="O92" s="4">
        <f t="shared" si="12"/>
        <v>1.4415432008214759</v>
      </c>
      <c r="P92" s="4">
        <f t="shared" si="14"/>
        <v>4.0456212410151098</v>
      </c>
      <c r="Q92">
        <v>0.39400000000000002</v>
      </c>
      <c r="R92">
        <v>1.3633999999999999</v>
      </c>
      <c r="S92">
        <f t="shared" si="13"/>
        <v>7.5236593059936796E-2</v>
      </c>
    </row>
    <row r="93" spans="1:19" x14ac:dyDescent="0.3">
      <c r="A93">
        <v>199711</v>
      </c>
      <c r="B93">
        <v>0.75</v>
      </c>
      <c r="C93">
        <v>-2.99</v>
      </c>
      <c r="D93">
        <v>-0.49</v>
      </c>
      <c r="E93">
        <v>0.42</v>
      </c>
      <c r="F93">
        <v>-1.93</v>
      </c>
      <c r="G93">
        <v>0.39</v>
      </c>
      <c r="H93">
        <v>-0.53</v>
      </c>
      <c r="J93" s="5">
        <v>40480</v>
      </c>
      <c r="K93" s="6">
        <f t="shared" si="8"/>
        <v>2.6014201237365402</v>
      </c>
      <c r="L93" s="6">
        <f t="shared" si="9"/>
        <v>0.59631031763103171</v>
      </c>
      <c r="M93" s="4">
        <f t="shared" si="10"/>
        <v>6.8429052842905291E-2</v>
      </c>
      <c r="N93" s="4">
        <f t="shared" si="11"/>
        <v>1.3588054778805476</v>
      </c>
      <c r="O93" s="4">
        <f t="shared" si="12"/>
        <v>-0.31281852728185272</v>
      </c>
      <c r="P93" s="4">
        <f t="shared" si="14"/>
        <v>0.18573600057360004</v>
      </c>
      <c r="Q93">
        <v>0.57399999999999995</v>
      </c>
      <c r="R93">
        <v>1.3947000000000001</v>
      </c>
      <c r="S93">
        <f t="shared" si="13"/>
        <v>2.2957312600850877E-2</v>
      </c>
    </row>
    <row r="94" spans="1:19" x14ac:dyDescent="0.3">
      <c r="A94">
        <v>199712</v>
      </c>
      <c r="B94">
        <v>2.2599999999999998</v>
      </c>
      <c r="C94">
        <v>-3.5</v>
      </c>
      <c r="D94">
        <v>1.95</v>
      </c>
      <c r="E94">
        <v>-0.99</v>
      </c>
      <c r="F94">
        <v>-0.94</v>
      </c>
      <c r="G94">
        <v>0.48</v>
      </c>
      <c r="H94">
        <v>2.92</v>
      </c>
      <c r="J94" s="5">
        <v>40512</v>
      </c>
      <c r="K94" s="6">
        <f t="shared" si="8"/>
        <v>-1.2375762952396083</v>
      </c>
      <c r="L94" s="6">
        <f t="shared" si="9"/>
        <v>1.1387060001540477</v>
      </c>
      <c r="M94" s="4">
        <f t="shared" si="10"/>
        <v>-3.6739382269121159</v>
      </c>
      <c r="N94" s="4">
        <f t="shared" si="11"/>
        <v>1.8799391511977201</v>
      </c>
      <c r="O94" s="4">
        <f t="shared" si="12"/>
        <v>0.12891011322498652</v>
      </c>
      <c r="P94" s="4">
        <f t="shared" si="14"/>
        <v>8.4973249634136963</v>
      </c>
      <c r="Q94">
        <v>0.44700000000000001</v>
      </c>
      <c r="R94">
        <v>1.2983</v>
      </c>
      <c r="S94">
        <f t="shared" si="13"/>
        <v>-6.911880691188077E-2</v>
      </c>
    </row>
    <row r="95" spans="1:19" x14ac:dyDescent="0.3">
      <c r="A95">
        <v>199801</v>
      </c>
      <c r="B95">
        <v>3.16</v>
      </c>
      <c r="C95">
        <v>-1.29</v>
      </c>
      <c r="D95">
        <v>0.46</v>
      </c>
      <c r="E95">
        <v>-1.18</v>
      </c>
      <c r="F95">
        <v>0.72</v>
      </c>
      <c r="G95">
        <v>0.43</v>
      </c>
      <c r="H95">
        <v>3.95</v>
      </c>
      <c r="J95" s="5">
        <v>40543</v>
      </c>
      <c r="K95" s="6">
        <f t="shared" si="8"/>
        <v>5.7459971239427299</v>
      </c>
      <c r="L95" s="6">
        <f t="shared" si="9"/>
        <v>2.0564823670053798</v>
      </c>
      <c r="M95" s="4">
        <f t="shared" si="10"/>
        <v>1.1349454572624029</v>
      </c>
      <c r="N95" s="4">
        <f t="shared" si="11"/>
        <v>-1.619964883442917</v>
      </c>
      <c r="O95" s="4">
        <f t="shared" si="12"/>
        <v>1.1349454572624029</v>
      </c>
      <c r="P95" s="4">
        <f t="shared" si="14"/>
        <v>1.8236730424387328</v>
      </c>
      <c r="Q95">
        <v>0.33300000000000002</v>
      </c>
      <c r="R95">
        <v>1.3384</v>
      </c>
      <c r="S95">
        <f t="shared" si="13"/>
        <v>3.0886543942078015E-2</v>
      </c>
    </row>
    <row r="96" spans="1:19" x14ac:dyDescent="0.3">
      <c r="A96">
        <v>199802</v>
      </c>
      <c r="B96">
        <v>7.49</v>
      </c>
      <c r="C96">
        <v>-1.77</v>
      </c>
      <c r="D96">
        <v>1</v>
      </c>
      <c r="E96">
        <v>-1.55</v>
      </c>
      <c r="F96">
        <v>-0.85</v>
      </c>
      <c r="G96">
        <v>0.39</v>
      </c>
      <c r="H96">
        <v>1.39</v>
      </c>
      <c r="J96" s="5">
        <v>40574</v>
      </c>
      <c r="K96" s="6">
        <f t="shared" si="8"/>
        <v>1.3153320502329813</v>
      </c>
      <c r="L96" s="6">
        <f t="shared" si="9"/>
        <v>-0.15637797575580548</v>
      </c>
      <c r="M96" s="4">
        <f t="shared" si="10"/>
        <v>5.3461720461515991</v>
      </c>
      <c r="N96" s="4">
        <f t="shared" si="11"/>
        <v>-2.9320870454213526</v>
      </c>
      <c r="O96" s="4">
        <f t="shared" si="12"/>
        <v>1.2803446765006572</v>
      </c>
      <c r="P96" s="4">
        <f t="shared" si="14"/>
        <v>-5.3852665400905506</v>
      </c>
      <c r="Q96">
        <v>0.61799999999999999</v>
      </c>
      <c r="R96">
        <v>1.3694</v>
      </c>
      <c r="S96">
        <f t="shared" si="13"/>
        <v>2.3161984459055596E-2</v>
      </c>
    </row>
    <row r="97" spans="1:19" x14ac:dyDescent="0.3">
      <c r="A97">
        <v>199803</v>
      </c>
      <c r="B97">
        <v>6.91</v>
      </c>
      <c r="C97">
        <v>1.78</v>
      </c>
      <c r="D97">
        <v>4.53</v>
      </c>
      <c r="E97">
        <v>-0.17</v>
      </c>
      <c r="F97">
        <v>-0.66</v>
      </c>
      <c r="G97">
        <v>0.39</v>
      </c>
      <c r="H97">
        <v>2.17</v>
      </c>
      <c r="J97" s="5">
        <v>40602</v>
      </c>
      <c r="K97" s="6">
        <f t="shared" si="8"/>
        <v>2.1830588765257919</v>
      </c>
      <c r="L97" s="6">
        <f t="shared" si="9"/>
        <v>-1.0712385919165581</v>
      </c>
      <c r="M97" s="4">
        <f t="shared" si="10"/>
        <v>0.69432130957554683</v>
      </c>
      <c r="N97" s="4">
        <f t="shared" si="11"/>
        <v>0.49594379255396204</v>
      </c>
      <c r="O97" s="4">
        <f t="shared" si="12"/>
        <v>5.9513255106475441E-2</v>
      </c>
      <c r="P97" s="4">
        <f t="shared" si="14"/>
        <v>-0.16862088946834711</v>
      </c>
      <c r="Q97">
        <v>0.48899999999999999</v>
      </c>
      <c r="R97">
        <v>1.3806</v>
      </c>
      <c r="S97">
        <f t="shared" si="13"/>
        <v>8.1787644223747513E-3</v>
      </c>
    </row>
    <row r="98" spans="1:19" x14ac:dyDescent="0.3">
      <c r="A98">
        <v>199804</v>
      </c>
      <c r="B98">
        <v>2.19</v>
      </c>
      <c r="C98">
        <v>1.51</v>
      </c>
      <c r="D98">
        <v>-0.56000000000000005</v>
      </c>
      <c r="E98">
        <v>1.86</v>
      </c>
      <c r="F98">
        <v>-2.11</v>
      </c>
      <c r="G98">
        <v>0.43</v>
      </c>
      <c r="H98">
        <v>-1.27</v>
      </c>
      <c r="J98" s="5">
        <v>40633</v>
      </c>
      <c r="K98" s="6">
        <f t="shared" si="8"/>
        <v>-2.6824406860345142</v>
      </c>
      <c r="L98" s="6">
        <f t="shared" si="9"/>
        <v>2.0672919903941236</v>
      </c>
      <c r="M98" s="4">
        <f t="shared" si="10"/>
        <v>-1.8040048029382683</v>
      </c>
      <c r="N98" s="4">
        <f t="shared" si="11"/>
        <v>1.9112699533832462</v>
      </c>
      <c r="O98" s="4">
        <f t="shared" si="12"/>
        <v>-0.34129820596129395</v>
      </c>
      <c r="P98" s="4">
        <f t="shared" si="14"/>
        <v>2.1258002542732028</v>
      </c>
      <c r="Q98">
        <v>0.77600000000000002</v>
      </c>
      <c r="R98">
        <v>1.4157999999999999</v>
      </c>
      <c r="S98">
        <f t="shared" si="13"/>
        <v>2.5496161089381353E-2</v>
      </c>
    </row>
    <row r="99" spans="1:19" x14ac:dyDescent="0.3">
      <c r="A99">
        <v>199805</v>
      </c>
      <c r="B99">
        <v>2.2200000000000002</v>
      </c>
      <c r="C99">
        <v>2.39</v>
      </c>
      <c r="D99">
        <v>1.01</v>
      </c>
      <c r="E99">
        <v>0.54</v>
      </c>
      <c r="F99">
        <v>-1.96</v>
      </c>
      <c r="G99">
        <v>0.4</v>
      </c>
      <c r="H99">
        <v>0.98</v>
      </c>
      <c r="J99" s="5">
        <v>40662</v>
      </c>
      <c r="K99" s="6">
        <f t="shared" si="8"/>
        <v>3.3363758607322715</v>
      </c>
      <c r="L99" s="6">
        <f t="shared" si="9"/>
        <v>-1.0326629296954144</v>
      </c>
      <c r="M99" s="4">
        <f t="shared" si="10"/>
        <v>-0.72668872830418041</v>
      </c>
      <c r="N99" s="4">
        <f t="shared" si="11"/>
        <v>1.0135395421084623</v>
      </c>
      <c r="O99" s="4">
        <f t="shared" si="12"/>
        <v>0.65975687174984798</v>
      </c>
      <c r="P99" s="4">
        <f t="shared" si="14"/>
        <v>2.3808617545755388</v>
      </c>
      <c r="Q99">
        <v>0.83299999999999996</v>
      </c>
      <c r="R99">
        <v>1.4806999999999999</v>
      </c>
      <c r="S99">
        <f t="shared" si="13"/>
        <v>4.583980788246933E-2</v>
      </c>
    </row>
    <row r="100" spans="1:19" x14ac:dyDescent="0.3">
      <c r="A100">
        <v>199806</v>
      </c>
      <c r="B100">
        <v>-0.5</v>
      </c>
      <c r="C100">
        <v>-3.39</v>
      </c>
      <c r="D100">
        <v>-1.88</v>
      </c>
      <c r="E100">
        <v>2.27</v>
      </c>
      <c r="F100">
        <v>-1.57</v>
      </c>
      <c r="G100">
        <v>0.41</v>
      </c>
      <c r="H100">
        <v>2.36</v>
      </c>
      <c r="J100" s="5">
        <v>40694</v>
      </c>
      <c r="K100" s="6">
        <f t="shared" si="8"/>
        <v>-0.36086780955136355</v>
      </c>
      <c r="L100" s="6">
        <f t="shared" si="9"/>
        <v>0.21599541539316475</v>
      </c>
      <c r="M100" s="4">
        <f t="shared" si="10"/>
        <v>-2.3142365934981939</v>
      </c>
      <c r="N100" s="4">
        <f t="shared" si="11"/>
        <v>1.9131022506251736</v>
      </c>
      <c r="O100" s="4">
        <f t="shared" si="12"/>
        <v>-0.61712975826618499</v>
      </c>
      <c r="P100" s="4">
        <f t="shared" si="14"/>
        <v>0.61712975826618499</v>
      </c>
      <c r="Q100">
        <v>0.88300000000000001</v>
      </c>
      <c r="R100">
        <v>1.4396</v>
      </c>
      <c r="S100">
        <f t="shared" si="13"/>
        <v>-2.7757141892348125E-2</v>
      </c>
    </row>
    <row r="101" spans="1:19" x14ac:dyDescent="0.3">
      <c r="A101">
        <v>199807</v>
      </c>
      <c r="B101">
        <v>1.53</v>
      </c>
      <c r="C101">
        <v>-3.31</v>
      </c>
      <c r="D101">
        <v>1.5</v>
      </c>
      <c r="E101">
        <v>-2.09</v>
      </c>
      <c r="F101">
        <v>-4.22</v>
      </c>
      <c r="G101">
        <v>0.4</v>
      </c>
      <c r="H101">
        <v>6.33</v>
      </c>
      <c r="J101" s="5">
        <v>40724</v>
      </c>
      <c r="K101" s="6">
        <f t="shared" si="8"/>
        <v>-2.8385248666693017</v>
      </c>
      <c r="L101" s="6">
        <f t="shared" si="9"/>
        <v>-1.1912287960281343</v>
      </c>
      <c r="M101" s="4">
        <f t="shared" si="10"/>
        <v>7.9415253068542274E-2</v>
      </c>
      <c r="N101" s="4">
        <f t="shared" si="11"/>
        <v>1.0423251965246174</v>
      </c>
      <c r="O101" s="4">
        <f t="shared" si="12"/>
        <v>-0.68495655771617714</v>
      </c>
      <c r="P101" s="4">
        <f t="shared" si="14"/>
        <v>2.3228961522548617</v>
      </c>
      <c r="Q101">
        <v>1.077</v>
      </c>
      <c r="R101">
        <v>1.4501999999999999</v>
      </c>
      <c r="S101">
        <f t="shared" si="13"/>
        <v>7.3631564323421994E-3</v>
      </c>
    </row>
    <row r="102" spans="1:19" x14ac:dyDescent="0.3">
      <c r="A102">
        <v>199808</v>
      </c>
      <c r="B102">
        <v>-12.08</v>
      </c>
      <c r="C102">
        <v>1.51</v>
      </c>
      <c r="D102">
        <v>-2.5099999999999998</v>
      </c>
      <c r="E102">
        <v>1.82</v>
      </c>
      <c r="F102">
        <v>4.3099999999999996</v>
      </c>
      <c r="G102">
        <v>0.43</v>
      </c>
      <c r="H102">
        <v>-1.87</v>
      </c>
      <c r="J102" s="5">
        <v>40753</v>
      </c>
      <c r="K102" s="6">
        <f t="shared" si="8"/>
        <v>-2.720251343889093</v>
      </c>
      <c r="L102" s="6">
        <f t="shared" si="9"/>
        <v>0.22158910959855535</v>
      </c>
      <c r="M102" s="4">
        <f t="shared" si="10"/>
        <v>-4.0792540630643144</v>
      </c>
      <c r="N102" s="4">
        <f t="shared" si="11"/>
        <v>2.2561800250034727</v>
      </c>
      <c r="O102" s="4">
        <f t="shared" si="12"/>
        <v>-0.48346714821502984</v>
      </c>
      <c r="P102" s="4">
        <f t="shared" si="14"/>
        <v>1.6317016252257259</v>
      </c>
      <c r="Q102">
        <v>0.76200000000000001</v>
      </c>
      <c r="R102">
        <v>1.4398</v>
      </c>
      <c r="S102">
        <f t="shared" si="13"/>
        <v>-7.1714246310853325E-3</v>
      </c>
    </row>
    <row r="103" spans="1:19" x14ac:dyDescent="0.3">
      <c r="A103">
        <v>199809</v>
      </c>
      <c r="B103">
        <v>-4.84</v>
      </c>
      <c r="C103">
        <v>0.59</v>
      </c>
      <c r="D103">
        <v>-2.7</v>
      </c>
      <c r="E103">
        <v>0.11</v>
      </c>
      <c r="F103">
        <v>4.84</v>
      </c>
      <c r="G103">
        <v>0.46</v>
      </c>
      <c r="H103">
        <v>-5.14</v>
      </c>
      <c r="J103" s="5">
        <v>40786</v>
      </c>
      <c r="K103" s="6">
        <f t="shared" si="8"/>
        <v>-9.9711707452401814</v>
      </c>
      <c r="L103" s="6">
        <f t="shared" si="9"/>
        <v>0.87175586331686261</v>
      </c>
      <c r="M103" s="4">
        <f t="shared" si="10"/>
        <v>-3.7976491057136892</v>
      </c>
      <c r="N103" s="4">
        <f t="shared" si="11"/>
        <v>3.5271041826153522</v>
      </c>
      <c r="O103" s="4">
        <f t="shared" si="12"/>
        <v>-1.1222604217412486</v>
      </c>
      <c r="P103" s="4">
        <f t="shared" si="14"/>
        <v>-0.42084765815296815</v>
      </c>
      <c r="Q103">
        <v>0.90200000000000002</v>
      </c>
      <c r="R103">
        <v>1.4369000000000001</v>
      </c>
      <c r="S103">
        <f t="shared" si="13"/>
        <v>-2.0141686345325205E-3</v>
      </c>
    </row>
    <row r="104" spans="1:19" x14ac:dyDescent="0.3">
      <c r="A104">
        <v>199810</v>
      </c>
      <c r="B104">
        <v>6.59</v>
      </c>
      <c r="C104">
        <v>-5.65</v>
      </c>
      <c r="D104">
        <v>0.83</v>
      </c>
      <c r="E104">
        <v>-0.22</v>
      </c>
      <c r="F104">
        <v>-1.9</v>
      </c>
      <c r="G104">
        <v>0.32</v>
      </c>
      <c r="H104">
        <v>0.24</v>
      </c>
      <c r="J104" s="5">
        <v>40816</v>
      </c>
      <c r="K104" s="6">
        <f t="shared" si="8"/>
        <v>-5.2003108863536474</v>
      </c>
      <c r="L104" s="6">
        <f t="shared" si="9"/>
        <v>-1.2128908642713081</v>
      </c>
      <c r="M104" s="4">
        <f t="shared" si="10"/>
        <v>-2.0179069246283707</v>
      </c>
      <c r="N104" s="4">
        <f t="shared" si="11"/>
        <v>2.4365152760140436</v>
      </c>
      <c r="O104" s="4">
        <f t="shared" si="12"/>
        <v>1.5456308358855608</v>
      </c>
      <c r="P104" s="4">
        <f t="shared" si="14"/>
        <v>-1.277292149099873</v>
      </c>
      <c r="Q104">
        <v>0.35499999999999998</v>
      </c>
      <c r="R104">
        <v>1.3387</v>
      </c>
      <c r="S104">
        <f t="shared" si="13"/>
        <v>-6.8341568654742946E-2</v>
      </c>
    </row>
    <row r="105" spans="1:19" x14ac:dyDescent="0.3">
      <c r="A105">
        <v>199811</v>
      </c>
      <c r="B105">
        <v>4.24</v>
      </c>
      <c r="C105">
        <v>-3</v>
      </c>
      <c r="D105">
        <v>0.72</v>
      </c>
      <c r="E105">
        <v>-1.0900000000000001</v>
      </c>
      <c r="F105">
        <v>-2.61</v>
      </c>
      <c r="G105">
        <v>0.31</v>
      </c>
      <c r="H105">
        <v>2.94</v>
      </c>
      <c r="J105" s="5">
        <v>40847</v>
      </c>
      <c r="K105" s="6">
        <f t="shared" si="8"/>
        <v>7.169219233438187</v>
      </c>
      <c r="L105" s="6">
        <f t="shared" si="9"/>
        <v>-3.2554618271034785</v>
      </c>
      <c r="M105" s="4">
        <f t="shared" si="10"/>
        <v>-1.1881952662721893</v>
      </c>
      <c r="N105" s="4">
        <f t="shared" si="11"/>
        <v>1.2268357627363258</v>
      </c>
      <c r="O105" s="4">
        <f t="shared" si="12"/>
        <v>-2.8980372348102179</v>
      </c>
      <c r="P105" s="4">
        <f t="shared" si="14"/>
        <v>9.6601241160340606E-2</v>
      </c>
      <c r="Q105">
        <v>0.38600000000000001</v>
      </c>
      <c r="R105">
        <v>1.3857999999999999</v>
      </c>
      <c r="S105">
        <f t="shared" si="13"/>
        <v>3.5183386867856825E-2</v>
      </c>
    </row>
    <row r="106" spans="1:19" x14ac:dyDescent="0.3">
      <c r="A106">
        <v>199812</v>
      </c>
      <c r="B106">
        <v>2.88</v>
      </c>
      <c r="C106">
        <v>-2.68</v>
      </c>
      <c r="D106">
        <v>-1.89</v>
      </c>
      <c r="E106">
        <v>0.85</v>
      </c>
      <c r="F106">
        <v>0.08</v>
      </c>
      <c r="G106">
        <v>0.38</v>
      </c>
      <c r="H106">
        <v>4.84</v>
      </c>
      <c r="J106" s="5">
        <v>40877</v>
      </c>
      <c r="K106" s="6">
        <f t="shared" si="8"/>
        <v>-1.9559205833990505</v>
      </c>
      <c r="L106" s="6">
        <f t="shared" si="9"/>
        <v>-2.5972155287817937</v>
      </c>
      <c r="M106" s="4">
        <f t="shared" si="10"/>
        <v>-3.4629540383757251</v>
      </c>
      <c r="N106" s="4">
        <f t="shared" si="11"/>
        <v>2.8136501561802767</v>
      </c>
      <c r="O106" s="4">
        <f t="shared" si="12"/>
        <v>-0.43286925479696564</v>
      </c>
      <c r="P106" s="4">
        <f t="shared" si="14"/>
        <v>6.4105875353264912</v>
      </c>
      <c r="Q106">
        <v>9.6000000000000002E-2</v>
      </c>
      <c r="R106">
        <v>1.3446</v>
      </c>
      <c r="S106">
        <f t="shared" si="13"/>
        <v>-2.973011978640494E-2</v>
      </c>
    </row>
    <row r="107" spans="1:19" x14ac:dyDescent="0.3">
      <c r="A107">
        <v>199901</v>
      </c>
      <c r="B107">
        <v>-0.43</v>
      </c>
      <c r="C107">
        <v>-0.02</v>
      </c>
      <c r="D107">
        <v>-2.0699999999999998</v>
      </c>
      <c r="E107">
        <v>1.69</v>
      </c>
      <c r="F107">
        <v>-3.57</v>
      </c>
      <c r="G107">
        <v>0.35</v>
      </c>
      <c r="H107">
        <v>5.95</v>
      </c>
      <c r="J107" s="5">
        <v>40907</v>
      </c>
      <c r="K107" s="6">
        <f t="shared" si="8"/>
        <v>1.4517809106983703</v>
      </c>
      <c r="L107" s="6">
        <f t="shared" si="9"/>
        <v>-1.0166715531209012</v>
      </c>
      <c r="M107" s="4">
        <f t="shared" si="10"/>
        <v>-1.1100393488156779</v>
      </c>
      <c r="N107" s="4">
        <f t="shared" si="11"/>
        <v>0.39421958182239025</v>
      </c>
      <c r="O107" s="4">
        <f t="shared" si="12"/>
        <v>0.28010338708432991</v>
      </c>
      <c r="P107" s="4">
        <f t="shared" si="14"/>
        <v>2.9670210631895686</v>
      </c>
      <c r="Q107">
        <v>0.22800000000000001</v>
      </c>
      <c r="R107">
        <v>1.2961</v>
      </c>
      <c r="S107">
        <f t="shared" si="13"/>
        <v>-3.6070206752937706E-2</v>
      </c>
    </row>
    <row r="108" spans="1:19" x14ac:dyDescent="0.3">
      <c r="A108">
        <v>199902</v>
      </c>
      <c r="B108">
        <v>-2.19</v>
      </c>
      <c r="C108">
        <v>2.4700000000000002</v>
      </c>
      <c r="D108">
        <v>-1.1000000000000001</v>
      </c>
      <c r="E108">
        <v>2.16</v>
      </c>
      <c r="F108">
        <v>1.81</v>
      </c>
      <c r="G108">
        <v>0.35</v>
      </c>
      <c r="H108">
        <v>-1.92</v>
      </c>
      <c r="J108" s="5">
        <v>40939</v>
      </c>
      <c r="K108" s="6">
        <f t="shared" si="8"/>
        <v>4.6677842727497172</v>
      </c>
      <c r="L108" s="6">
        <f t="shared" si="9"/>
        <v>2.6448998777132373</v>
      </c>
      <c r="M108" s="4">
        <f t="shared" si="10"/>
        <v>1.0500351574442066</v>
      </c>
      <c r="N108" s="4">
        <f t="shared" si="11"/>
        <v>-2.0604463466829714</v>
      </c>
      <c r="O108" s="4">
        <f t="shared" si="12"/>
        <v>-2.0802583307856923</v>
      </c>
      <c r="P108" s="4">
        <f t="shared" si="14"/>
        <v>-8.9054868541730361</v>
      </c>
      <c r="Q108">
        <v>7.0999999999999994E-2</v>
      </c>
      <c r="R108">
        <v>1.3084</v>
      </c>
      <c r="S108">
        <f t="shared" si="13"/>
        <v>9.490008486999546E-3</v>
      </c>
    </row>
    <row r="109" spans="1:19" x14ac:dyDescent="0.3">
      <c r="A109">
        <v>199903</v>
      </c>
      <c r="B109">
        <v>-0.03</v>
      </c>
      <c r="C109">
        <v>-0.28000000000000003</v>
      </c>
      <c r="D109">
        <v>1.38</v>
      </c>
      <c r="E109">
        <v>-0.71</v>
      </c>
      <c r="F109">
        <v>1.58</v>
      </c>
      <c r="G109">
        <v>0.43</v>
      </c>
      <c r="H109">
        <v>-7.9</v>
      </c>
      <c r="J109" s="5">
        <v>40968</v>
      </c>
      <c r="K109" s="6">
        <f t="shared" si="8"/>
        <v>4.4796007813102534</v>
      </c>
      <c r="L109" s="6">
        <f t="shared" si="9"/>
        <v>1.3550409005628519</v>
      </c>
      <c r="M109" s="4">
        <f t="shared" si="10"/>
        <v>-0.35348893058161351</v>
      </c>
      <c r="N109" s="4">
        <f t="shared" si="11"/>
        <v>-0.77571181988742977</v>
      </c>
      <c r="O109" s="4">
        <f t="shared" si="12"/>
        <v>-0.74625440900562856</v>
      </c>
      <c r="P109" s="4">
        <f t="shared" si="14"/>
        <v>-1.82635947467167</v>
      </c>
      <c r="Q109">
        <v>9.6000000000000002E-2</v>
      </c>
      <c r="R109">
        <v>1.3325</v>
      </c>
      <c r="S109">
        <f t="shared" si="13"/>
        <v>1.8419443595230733E-2</v>
      </c>
    </row>
    <row r="110" spans="1:19" x14ac:dyDescent="0.3">
      <c r="A110">
        <v>199904</v>
      </c>
      <c r="B110">
        <v>2.95</v>
      </c>
      <c r="C110">
        <v>0.85</v>
      </c>
      <c r="D110">
        <v>1.87</v>
      </c>
      <c r="E110">
        <v>0.35</v>
      </c>
      <c r="F110">
        <v>-0.32</v>
      </c>
      <c r="G110">
        <v>0.37</v>
      </c>
      <c r="H110">
        <v>-7.45</v>
      </c>
      <c r="J110" s="5">
        <v>40998</v>
      </c>
      <c r="K110" s="6">
        <f t="shared" si="8"/>
        <v>-0.12281958730604906</v>
      </c>
      <c r="L110" s="6">
        <f t="shared" si="9"/>
        <v>0.75897474331109949</v>
      </c>
      <c r="M110" s="4">
        <f t="shared" si="10"/>
        <v>-1.4080978790376977</v>
      </c>
      <c r="N110" s="4">
        <f t="shared" si="11"/>
        <v>0.9986509780409204</v>
      </c>
      <c r="O110" s="4">
        <f t="shared" si="12"/>
        <v>1.6377876039871093</v>
      </c>
      <c r="P110" s="4">
        <f t="shared" si="14"/>
        <v>3.8248332458967251</v>
      </c>
      <c r="Q110">
        <v>0.10100000000000001</v>
      </c>
      <c r="R110">
        <v>1.3343</v>
      </c>
      <c r="S110">
        <f t="shared" si="13"/>
        <v>1.350844277673513E-3</v>
      </c>
    </row>
    <row r="111" spans="1:19" x14ac:dyDescent="0.3">
      <c r="A111">
        <v>199905</v>
      </c>
      <c r="B111">
        <v>-3.8</v>
      </c>
      <c r="C111">
        <v>4.37</v>
      </c>
      <c r="D111">
        <v>0.11</v>
      </c>
      <c r="E111">
        <v>0.19</v>
      </c>
      <c r="F111">
        <v>1.79</v>
      </c>
      <c r="G111">
        <v>0.34</v>
      </c>
      <c r="H111">
        <v>3.37</v>
      </c>
      <c r="J111" s="5">
        <v>41029</v>
      </c>
      <c r="K111" s="6">
        <f t="shared" si="8"/>
        <v>-1.4702614876966964</v>
      </c>
      <c r="L111" s="6">
        <f t="shared" si="9"/>
        <v>1.2598194727698466</v>
      </c>
      <c r="M111" s="4">
        <f t="shared" si="10"/>
        <v>-4.2229148727245258</v>
      </c>
      <c r="N111" s="4">
        <f t="shared" si="11"/>
        <v>3.0336452904297904</v>
      </c>
      <c r="O111" s="4">
        <f t="shared" si="12"/>
        <v>-0.67526323740463778</v>
      </c>
      <c r="P111" s="4">
        <f t="shared" si="14"/>
        <v>9.0102288692499428</v>
      </c>
      <c r="Q111">
        <v>7.8E-2</v>
      </c>
      <c r="R111">
        <v>1.3239000000000001</v>
      </c>
      <c r="S111">
        <f t="shared" si="13"/>
        <v>-7.7943490969046847E-3</v>
      </c>
    </row>
    <row r="112" spans="1:19" x14ac:dyDescent="0.3">
      <c r="A112">
        <v>199906</v>
      </c>
      <c r="B112">
        <v>1.71</v>
      </c>
      <c r="C112">
        <v>0.15</v>
      </c>
      <c r="D112">
        <v>0.52</v>
      </c>
      <c r="E112">
        <v>0.39</v>
      </c>
      <c r="F112">
        <v>-1.48</v>
      </c>
      <c r="G112">
        <v>0.4</v>
      </c>
      <c r="H112">
        <v>1.1200000000000001</v>
      </c>
      <c r="J112" s="5">
        <v>41060</v>
      </c>
      <c r="K112" s="6">
        <f t="shared" si="8"/>
        <v>-6.1181853220258118</v>
      </c>
      <c r="L112" s="6">
        <f t="shared" si="9"/>
        <v>0.33191184795794587</v>
      </c>
      <c r="M112" s="4">
        <f t="shared" si="10"/>
        <v>-2.7516562879094222</v>
      </c>
      <c r="N112" s="4">
        <f t="shared" si="11"/>
        <v>2.8266041245450877</v>
      </c>
      <c r="O112" s="4">
        <f t="shared" si="12"/>
        <v>1.4882498989082087</v>
      </c>
      <c r="P112" s="4">
        <f t="shared" si="14"/>
        <v>7.9551775171856054</v>
      </c>
      <c r="Q112">
        <v>7.4999999999999997E-2</v>
      </c>
      <c r="R112">
        <v>1.2364999999999999</v>
      </c>
      <c r="S112">
        <f t="shared" si="13"/>
        <v>-6.6017070775738484E-2</v>
      </c>
    </row>
    <row r="113" spans="1:19" x14ac:dyDescent="0.3">
      <c r="A113">
        <v>199907</v>
      </c>
      <c r="B113">
        <v>1.1200000000000001</v>
      </c>
      <c r="C113">
        <v>3.39</v>
      </c>
      <c r="D113">
        <v>0.35</v>
      </c>
      <c r="E113">
        <v>-0.81</v>
      </c>
      <c r="F113">
        <v>1.35</v>
      </c>
      <c r="G113">
        <v>0.38</v>
      </c>
      <c r="H113">
        <v>3.64</v>
      </c>
      <c r="J113" s="5">
        <v>41089</v>
      </c>
      <c r="K113" s="6">
        <f t="shared" si="8"/>
        <v>4.5696980937415725</v>
      </c>
      <c r="L113" s="6">
        <f t="shared" si="9"/>
        <v>-4.2462895713270701</v>
      </c>
      <c r="M113" s="4">
        <f t="shared" si="10"/>
        <v>3.0553761743112022</v>
      </c>
      <c r="N113" s="4">
        <f t="shared" si="11"/>
        <v>-0.43927133496486936</v>
      </c>
      <c r="O113" s="4">
        <f t="shared" si="12"/>
        <v>1.9718402147311913</v>
      </c>
      <c r="P113" s="4">
        <f t="shared" si="14"/>
        <v>-3.6801176284834609</v>
      </c>
      <c r="Q113">
        <v>4.2000000000000003E-2</v>
      </c>
      <c r="R113">
        <v>1.2666999999999999</v>
      </c>
      <c r="S113">
        <f t="shared" si="13"/>
        <v>2.4423776789324725E-2</v>
      </c>
    </row>
    <row r="114" spans="1:19" x14ac:dyDescent="0.3">
      <c r="A114">
        <v>199908</v>
      </c>
      <c r="B114">
        <v>1.34</v>
      </c>
      <c r="C114">
        <v>3.32</v>
      </c>
      <c r="D114">
        <v>-1.0900000000000001</v>
      </c>
      <c r="E114">
        <v>-1.56</v>
      </c>
      <c r="F114">
        <v>-3.27</v>
      </c>
      <c r="G114">
        <v>0.39</v>
      </c>
      <c r="H114">
        <v>4.8</v>
      </c>
      <c r="J114" s="5">
        <v>41121</v>
      </c>
      <c r="K114" s="6">
        <f t="shared" si="8"/>
        <v>3.5233294796658119</v>
      </c>
      <c r="L114" s="6">
        <f t="shared" si="9"/>
        <v>-1.3795334850455137</v>
      </c>
      <c r="M114" s="4">
        <f t="shared" si="10"/>
        <v>-2.6561167100130039</v>
      </c>
      <c r="N114" s="4">
        <f t="shared" si="11"/>
        <v>2.5325763979193758</v>
      </c>
      <c r="O114" s="4">
        <f t="shared" si="12"/>
        <v>-2.2237256176853055</v>
      </c>
      <c r="P114" s="4">
        <f t="shared" si="14"/>
        <v>4.797482119635891</v>
      </c>
      <c r="Q114">
        <v>-0.06</v>
      </c>
      <c r="R114">
        <v>1.2303999999999999</v>
      </c>
      <c r="S114">
        <f t="shared" si="13"/>
        <v>-2.8657140601563102E-2</v>
      </c>
    </row>
    <row r="115" spans="1:19" x14ac:dyDescent="0.3">
      <c r="A115">
        <v>199909</v>
      </c>
      <c r="B115">
        <v>-0.32</v>
      </c>
      <c r="C115">
        <v>1.34</v>
      </c>
      <c r="D115">
        <v>-1.8</v>
      </c>
      <c r="E115">
        <v>-1.59</v>
      </c>
      <c r="F115">
        <v>-1.89</v>
      </c>
      <c r="G115">
        <v>0.39</v>
      </c>
      <c r="H115">
        <v>1.62</v>
      </c>
      <c r="J115" s="5">
        <v>41152</v>
      </c>
      <c r="K115" s="6">
        <f t="shared" si="8"/>
        <v>2.2301513176450682</v>
      </c>
      <c r="L115" s="6">
        <f t="shared" si="9"/>
        <v>5.8688290007154781E-2</v>
      </c>
      <c r="M115" s="4">
        <f t="shared" si="10"/>
        <v>3.1202607520470624</v>
      </c>
      <c r="N115" s="4">
        <f t="shared" si="11"/>
        <v>-1.8193369902217982</v>
      </c>
      <c r="O115" s="4">
        <f t="shared" si="12"/>
        <v>1.4476444868431513</v>
      </c>
      <c r="P115" s="4">
        <f t="shared" si="14"/>
        <v>-2.8659448286827254</v>
      </c>
      <c r="Q115">
        <v>0</v>
      </c>
      <c r="R115">
        <v>1.2579</v>
      </c>
      <c r="S115">
        <f t="shared" si="13"/>
        <v>2.2350455136540992E-2</v>
      </c>
    </row>
    <row r="116" spans="1:19" x14ac:dyDescent="0.3">
      <c r="A116">
        <v>199910</v>
      </c>
      <c r="B116">
        <v>1.72</v>
      </c>
      <c r="C116">
        <v>-1.1200000000000001</v>
      </c>
      <c r="D116">
        <v>-3.81</v>
      </c>
      <c r="E116">
        <v>2.2000000000000002</v>
      </c>
      <c r="F116">
        <v>-1.49</v>
      </c>
      <c r="G116">
        <v>0.39</v>
      </c>
      <c r="H116">
        <v>5.68</v>
      </c>
      <c r="J116" s="5">
        <v>41180</v>
      </c>
      <c r="K116" s="6">
        <f t="shared" si="8"/>
        <v>1.2384525660964041</v>
      </c>
      <c r="L116" s="6">
        <f t="shared" si="9"/>
        <v>1.6139463452566094</v>
      </c>
      <c r="M116" s="4">
        <f t="shared" si="10"/>
        <v>2.1128024883359253</v>
      </c>
      <c r="N116" s="4">
        <f t="shared" si="11"/>
        <v>-1.4867869362363919</v>
      </c>
      <c r="O116" s="4">
        <f t="shared" si="12"/>
        <v>0.80208242612752711</v>
      </c>
      <c r="P116" s="4">
        <f t="shared" si="14"/>
        <v>-0.89011586314152413</v>
      </c>
      <c r="Q116">
        <v>0</v>
      </c>
      <c r="R116">
        <v>1.286</v>
      </c>
      <c r="S116">
        <f t="shared" si="13"/>
        <v>2.2338818666030713E-2</v>
      </c>
    </row>
    <row r="117" spans="1:19" x14ac:dyDescent="0.3">
      <c r="A117">
        <v>199911</v>
      </c>
      <c r="B117">
        <v>2.76</v>
      </c>
      <c r="C117">
        <v>-0.42</v>
      </c>
      <c r="D117">
        <v>-9.0500000000000007</v>
      </c>
      <c r="E117">
        <v>2.93</v>
      </c>
      <c r="F117">
        <v>-5.48</v>
      </c>
      <c r="G117">
        <v>0.36</v>
      </c>
      <c r="H117">
        <v>12.67</v>
      </c>
      <c r="J117" s="5">
        <v>41213</v>
      </c>
      <c r="K117" s="6">
        <f t="shared" si="8"/>
        <v>0.88550925925925394</v>
      </c>
      <c r="L117" s="6">
        <f t="shared" si="9"/>
        <v>-0.55567901234567907</v>
      </c>
      <c r="M117" s="4">
        <f t="shared" si="10"/>
        <v>1.7662654320987654</v>
      </c>
      <c r="N117" s="4">
        <f t="shared" si="11"/>
        <v>-1.1212808641975307</v>
      </c>
      <c r="O117" s="4">
        <f t="shared" si="12"/>
        <v>-0.32745370370370369</v>
      </c>
      <c r="P117" s="4">
        <f t="shared" si="14"/>
        <v>0.57552469135802464</v>
      </c>
      <c r="Q117">
        <v>-2.1999999999999999E-2</v>
      </c>
      <c r="R117">
        <v>1.296</v>
      </c>
      <c r="S117">
        <f t="shared" si="13"/>
        <v>7.7760497667185291E-3</v>
      </c>
    </row>
    <row r="118" spans="1:19" x14ac:dyDescent="0.3">
      <c r="A118">
        <v>199912</v>
      </c>
      <c r="B118">
        <v>9.26</v>
      </c>
      <c r="C118">
        <v>-4.95</v>
      </c>
      <c r="D118">
        <v>-4.26</v>
      </c>
      <c r="E118">
        <v>4.57</v>
      </c>
      <c r="F118">
        <v>-6.16</v>
      </c>
      <c r="G118">
        <v>0.44</v>
      </c>
      <c r="H118">
        <v>6.12</v>
      </c>
      <c r="J118" s="5">
        <v>41243</v>
      </c>
      <c r="K118" s="6">
        <f t="shared" si="8"/>
        <v>2.0770276862964989</v>
      </c>
      <c r="L118" s="6">
        <f t="shared" si="9"/>
        <v>-2.4351147389496379</v>
      </c>
      <c r="M118" s="4">
        <f t="shared" si="10"/>
        <v>-0.57883874942245483</v>
      </c>
      <c r="N118" s="4">
        <f t="shared" si="11"/>
        <v>0.55887879254581863</v>
      </c>
      <c r="O118" s="4">
        <f t="shared" si="12"/>
        <v>-0.9281379947635916</v>
      </c>
      <c r="P118" s="4">
        <f t="shared" si="14"/>
        <v>2.365254889881411</v>
      </c>
      <c r="Q118">
        <v>2.1000000000000001E-2</v>
      </c>
      <c r="R118">
        <v>1.2986</v>
      </c>
      <c r="S118">
        <f t="shared" si="13"/>
        <v>2.0061728395062151E-3</v>
      </c>
    </row>
    <row r="119" spans="1:19" x14ac:dyDescent="0.3">
      <c r="A119">
        <v>200001</v>
      </c>
      <c r="B119">
        <v>-7.12</v>
      </c>
      <c r="C119">
        <v>8.83</v>
      </c>
      <c r="D119">
        <v>-6.12</v>
      </c>
      <c r="E119">
        <v>2.65</v>
      </c>
      <c r="F119">
        <v>-4.28</v>
      </c>
      <c r="G119">
        <v>0.41</v>
      </c>
      <c r="H119">
        <v>6.16</v>
      </c>
      <c r="J119" s="5">
        <v>41274</v>
      </c>
      <c r="K119" s="6">
        <f t="shared" si="8"/>
        <v>1.7660705313839269</v>
      </c>
      <c r="L119" s="6">
        <f t="shared" si="9"/>
        <v>2.4607746532251955</v>
      </c>
      <c r="M119" s="4">
        <f t="shared" si="10"/>
        <v>2.9824588797089366</v>
      </c>
      <c r="N119" s="4">
        <f t="shared" si="11"/>
        <v>-0.71854619874175707</v>
      </c>
      <c r="O119" s="4">
        <f t="shared" si="12"/>
        <v>0.81697718487076487</v>
      </c>
      <c r="P119" s="4">
        <f t="shared" si="14"/>
        <v>-0.9547805654513758</v>
      </c>
      <c r="Q119">
        <v>0.13</v>
      </c>
      <c r="R119">
        <v>1.3192999999999999</v>
      </c>
      <c r="S119">
        <f t="shared" si="13"/>
        <v>1.5940243338980364E-2</v>
      </c>
    </row>
    <row r="120" spans="1:19" x14ac:dyDescent="0.3">
      <c r="A120">
        <v>200002</v>
      </c>
      <c r="B120">
        <v>5.87</v>
      </c>
      <c r="C120">
        <v>0.83</v>
      </c>
      <c r="D120">
        <v>-9.5</v>
      </c>
      <c r="E120">
        <v>3.63</v>
      </c>
      <c r="F120">
        <v>-7.3</v>
      </c>
      <c r="G120">
        <v>0.43</v>
      </c>
      <c r="H120">
        <v>8.5500000000000007</v>
      </c>
      <c r="J120" s="5">
        <v>41305</v>
      </c>
      <c r="K120" s="6">
        <f t="shared" si="8"/>
        <v>3.1704476997620192</v>
      </c>
      <c r="L120" s="6">
        <f t="shared" si="9"/>
        <v>0.61209146476176435</v>
      </c>
      <c r="M120" s="4">
        <f t="shared" si="10"/>
        <v>4.2069143530451427</v>
      </c>
      <c r="N120" s="4">
        <f t="shared" si="11"/>
        <v>-3.3810766624935558</v>
      </c>
      <c r="O120" s="4">
        <f t="shared" si="12"/>
        <v>1.7196855438544809</v>
      </c>
      <c r="P120" s="4">
        <f t="shared" si="14"/>
        <v>-0.38862950143604091</v>
      </c>
      <c r="Q120">
        <v>6.8000000000000005E-2</v>
      </c>
      <c r="R120">
        <v>1.3579000000000001</v>
      </c>
      <c r="S120">
        <f t="shared" si="13"/>
        <v>2.9257939816569545E-2</v>
      </c>
    </row>
    <row r="121" spans="1:19" x14ac:dyDescent="0.3">
      <c r="A121">
        <v>200003</v>
      </c>
      <c r="B121">
        <v>0.66</v>
      </c>
      <c r="C121">
        <v>-5.1100000000000003</v>
      </c>
      <c r="D121">
        <v>3.23</v>
      </c>
      <c r="E121">
        <v>-2.64</v>
      </c>
      <c r="F121">
        <v>4.92</v>
      </c>
      <c r="G121">
        <v>0.47</v>
      </c>
      <c r="H121">
        <v>-11.29</v>
      </c>
      <c r="J121" s="5">
        <v>41333</v>
      </c>
      <c r="K121" s="6">
        <f t="shared" si="8"/>
        <v>1.4027199119561051</v>
      </c>
      <c r="L121" s="6">
        <f t="shared" si="9"/>
        <v>2.0487577544612088</v>
      </c>
      <c r="M121" s="4">
        <f t="shared" si="10"/>
        <v>-3.4839281611396187</v>
      </c>
      <c r="N121" s="4">
        <f t="shared" si="11"/>
        <v>2.0799571111281305</v>
      </c>
      <c r="O121" s="4">
        <f t="shared" si="12"/>
        <v>-1.4039710500114881</v>
      </c>
      <c r="P121" s="4">
        <f t="shared" si="14"/>
        <v>4.7215026422608561</v>
      </c>
      <c r="Q121">
        <v>-2.3E-2</v>
      </c>
      <c r="R121">
        <v>1.3057000000000001</v>
      </c>
      <c r="S121">
        <f t="shared" si="13"/>
        <v>-3.8441711466234652E-2</v>
      </c>
    </row>
    <row r="122" spans="1:19" x14ac:dyDescent="0.3">
      <c r="A122">
        <v>200004</v>
      </c>
      <c r="B122">
        <v>-5.58</v>
      </c>
      <c r="C122">
        <v>-4.57</v>
      </c>
      <c r="D122">
        <v>5.8</v>
      </c>
      <c r="E122">
        <v>-1.55</v>
      </c>
      <c r="F122">
        <v>1.31</v>
      </c>
      <c r="G122">
        <v>0.46</v>
      </c>
      <c r="H122">
        <v>-9.15</v>
      </c>
      <c r="J122" s="5">
        <v>41362</v>
      </c>
      <c r="K122" s="6">
        <f t="shared" si="8"/>
        <v>1.3084837489727881</v>
      </c>
      <c r="L122" s="6">
        <f t="shared" si="9"/>
        <v>-0.83522427646462283</v>
      </c>
      <c r="M122" s="4">
        <f t="shared" si="10"/>
        <v>-4.3798346204852168</v>
      </c>
      <c r="N122" s="4">
        <f t="shared" si="11"/>
        <v>2.2815882674155552</v>
      </c>
      <c r="O122" s="4">
        <f t="shared" si="12"/>
        <v>-0.2851985334269444</v>
      </c>
      <c r="P122" s="4">
        <f t="shared" si="14"/>
        <v>2.6992004056478662</v>
      </c>
      <c r="Q122">
        <v>-4.0000000000000001E-3</v>
      </c>
      <c r="R122">
        <v>1.2819</v>
      </c>
      <c r="S122">
        <f t="shared" si="13"/>
        <v>-1.8227770544535504E-2</v>
      </c>
    </row>
    <row r="123" spans="1:19" x14ac:dyDescent="0.3">
      <c r="A123">
        <v>200005</v>
      </c>
      <c r="B123">
        <v>-7.0000000000000007E-2</v>
      </c>
      <c r="C123">
        <v>0.19</v>
      </c>
      <c r="D123">
        <v>6.06</v>
      </c>
      <c r="E123">
        <v>-3.49</v>
      </c>
      <c r="F123">
        <v>4.8899999999999997</v>
      </c>
      <c r="G123">
        <v>0.5</v>
      </c>
      <c r="H123">
        <v>-6.83</v>
      </c>
      <c r="J123" s="5">
        <v>41394</v>
      </c>
      <c r="K123" s="6">
        <f t="shared" si="8"/>
        <v>1.3997090830406855</v>
      </c>
      <c r="L123" s="6">
        <f t="shared" si="9"/>
        <v>-1.3434249696233291</v>
      </c>
      <c r="M123" s="4">
        <f t="shared" si="10"/>
        <v>3.5727316221142162</v>
      </c>
      <c r="N123" s="4">
        <f t="shared" si="11"/>
        <v>-1.0319061360874848</v>
      </c>
      <c r="O123" s="4">
        <f t="shared" si="12"/>
        <v>1.1779305893074119</v>
      </c>
      <c r="P123" s="4">
        <f t="shared" si="14"/>
        <v>0.95402642770352375</v>
      </c>
      <c r="Q123">
        <v>-2.1999999999999999E-2</v>
      </c>
      <c r="R123">
        <v>1.3168</v>
      </c>
      <c r="S123">
        <f t="shared" si="13"/>
        <v>2.7225212575083813E-2</v>
      </c>
    </row>
    <row r="124" spans="1:19" x14ac:dyDescent="0.3">
      <c r="A124">
        <v>200006</v>
      </c>
      <c r="B124">
        <v>0.68</v>
      </c>
      <c r="C124">
        <v>0.33</v>
      </c>
      <c r="D124">
        <v>3.21</v>
      </c>
      <c r="E124">
        <v>-3.42</v>
      </c>
      <c r="F124">
        <v>1.22</v>
      </c>
      <c r="G124">
        <v>0.4</v>
      </c>
      <c r="H124">
        <v>-0.52</v>
      </c>
      <c r="J124" s="5">
        <v>41425</v>
      </c>
      <c r="K124" s="6">
        <f t="shared" si="8"/>
        <v>2.3655592769517488</v>
      </c>
      <c r="L124" s="6">
        <f t="shared" si="9"/>
        <v>1.2358612200938532</v>
      </c>
      <c r="M124" s="4">
        <f t="shared" si="10"/>
        <v>2.8566628202169393</v>
      </c>
      <c r="N124" s="4">
        <f t="shared" si="11"/>
        <v>-1.0636510500807754</v>
      </c>
      <c r="O124" s="4">
        <f t="shared" si="12"/>
        <v>-0.13169013001000077</v>
      </c>
      <c r="P124" s="4">
        <f t="shared" si="14"/>
        <v>0.54702054004154166</v>
      </c>
      <c r="Q124">
        <v>-1.7000000000000001E-2</v>
      </c>
      <c r="R124">
        <v>1.2999000000000001</v>
      </c>
      <c r="S124">
        <f t="shared" si="13"/>
        <v>-1.2834143377885687E-2</v>
      </c>
    </row>
    <row r="125" spans="1:19" x14ac:dyDescent="0.3">
      <c r="A125">
        <v>200007</v>
      </c>
      <c r="B125">
        <v>-1.58</v>
      </c>
      <c r="C125">
        <v>-0.68</v>
      </c>
      <c r="D125">
        <v>3.3</v>
      </c>
      <c r="E125">
        <v>-0.15</v>
      </c>
      <c r="F125">
        <v>-0.11</v>
      </c>
      <c r="G125">
        <v>0.48</v>
      </c>
      <c r="H125">
        <v>-1.03</v>
      </c>
      <c r="J125" s="5">
        <v>41453</v>
      </c>
      <c r="K125" s="6">
        <f t="shared" si="8"/>
        <v>-4.7192299495645953</v>
      </c>
      <c r="L125" s="6">
        <f t="shared" si="9"/>
        <v>2.1381906225980019</v>
      </c>
      <c r="M125" s="4">
        <f t="shared" si="10"/>
        <v>-2.5578355111452731</v>
      </c>
      <c r="N125" s="4">
        <f t="shared" si="11"/>
        <v>2.218122982321292</v>
      </c>
      <c r="O125" s="4">
        <f t="shared" si="12"/>
        <v>0.44961952344350509</v>
      </c>
      <c r="P125" s="4">
        <f t="shared" si="14"/>
        <v>1.1989853958493468</v>
      </c>
      <c r="Q125">
        <v>1.2999999999999999E-2</v>
      </c>
      <c r="R125">
        <v>1.3009999999999999</v>
      </c>
      <c r="S125">
        <f t="shared" si="13"/>
        <v>8.4621893991831953E-4</v>
      </c>
    </row>
    <row r="126" spans="1:19" x14ac:dyDescent="0.3">
      <c r="A126">
        <v>200008</v>
      </c>
      <c r="B126">
        <v>-1.57</v>
      </c>
      <c r="C126">
        <v>0.63</v>
      </c>
      <c r="D126">
        <v>-0.38</v>
      </c>
      <c r="E126">
        <v>-1.32</v>
      </c>
      <c r="F126">
        <v>0.56999999999999995</v>
      </c>
      <c r="G126">
        <v>0.5</v>
      </c>
      <c r="H126">
        <v>3.29</v>
      </c>
      <c r="J126" s="5">
        <v>41486</v>
      </c>
      <c r="K126" s="6">
        <f t="shared" si="8"/>
        <v>5.0902335666899452</v>
      </c>
      <c r="L126" s="6">
        <f t="shared" si="9"/>
        <v>-1.4181701999699292</v>
      </c>
      <c r="M126" s="4">
        <f t="shared" si="10"/>
        <v>2.7385355585626217</v>
      </c>
      <c r="N126" s="4">
        <f t="shared" si="11"/>
        <v>-0.60639001653886626</v>
      </c>
      <c r="O126" s="4">
        <f t="shared" si="12"/>
        <v>0.28363403999398584</v>
      </c>
      <c r="P126" s="4">
        <f t="shared" si="14"/>
        <v>3.5209742895805141</v>
      </c>
      <c r="Q126">
        <v>-4.0000000000000001E-3</v>
      </c>
      <c r="R126">
        <v>1.3302</v>
      </c>
      <c r="S126">
        <f t="shared" si="13"/>
        <v>2.2444273635664924E-2</v>
      </c>
    </row>
    <row r="127" spans="1:19" x14ac:dyDescent="0.3">
      <c r="A127">
        <v>200009</v>
      </c>
      <c r="B127">
        <v>-4.99</v>
      </c>
      <c r="C127">
        <v>2.33</v>
      </c>
      <c r="D127">
        <v>2.64</v>
      </c>
      <c r="E127">
        <v>1.6</v>
      </c>
      <c r="F127">
        <v>2.16</v>
      </c>
      <c r="G127">
        <v>0.51</v>
      </c>
      <c r="H127">
        <v>-4.09</v>
      </c>
      <c r="J127" s="5">
        <v>41516</v>
      </c>
      <c r="K127" s="6">
        <f t="shared" si="8"/>
        <v>-9.8854412425946059E-2</v>
      </c>
      <c r="L127" s="6">
        <f t="shared" si="9"/>
        <v>2.6559733777038272</v>
      </c>
      <c r="M127" s="4">
        <f t="shared" si="10"/>
        <v>0.51308576614733026</v>
      </c>
      <c r="N127" s="4">
        <f t="shared" si="11"/>
        <v>-1.0060505218575102E-2</v>
      </c>
      <c r="O127" s="4">
        <f t="shared" si="12"/>
        <v>0.92556648010890941</v>
      </c>
      <c r="P127" s="4">
        <f t="shared" si="14"/>
        <v>-2.3642187263651491</v>
      </c>
      <c r="Q127">
        <v>0</v>
      </c>
      <c r="R127">
        <v>1.3222</v>
      </c>
      <c r="S127">
        <f t="shared" si="13"/>
        <v>-6.0141332130506653E-3</v>
      </c>
    </row>
    <row r="128" spans="1:19" x14ac:dyDescent="0.3">
      <c r="A128">
        <v>200010</v>
      </c>
      <c r="B128">
        <v>-2.7</v>
      </c>
      <c r="C128">
        <v>-6.17</v>
      </c>
      <c r="D128">
        <v>7.63</v>
      </c>
      <c r="E128">
        <v>2.6</v>
      </c>
      <c r="F128">
        <v>4.1100000000000003</v>
      </c>
      <c r="G128">
        <v>0.56000000000000005</v>
      </c>
      <c r="H128">
        <v>-4.79</v>
      </c>
      <c r="J128" s="5">
        <v>41547</v>
      </c>
      <c r="K128" s="6">
        <f t="shared" si="8"/>
        <v>4.6362903821985713</v>
      </c>
      <c r="L128" s="6">
        <f t="shared" si="9"/>
        <v>0.13684335033636433</v>
      </c>
      <c r="M128" s="4">
        <f t="shared" si="10"/>
        <v>1.348884453315591</v>
      </c>
      <c r="N128" s="4">
        <f t="shared" si="11"/>
        <v>-0.8992563022103941</v>
      </c>
      <c r="O128" s="4">
        <f t="shared" si="12"/>
        <v>1.5248259037480596</v>
      </c>
      <c r="P128" s="4">
        <f t="shared" si="14"/>
        <v>2.3654350558142974</v>
      </c>
      <c r="Q128">
        <v>0.01</v>
      </c>
      <c r="R128">
        <v>1.3527</v>
      </c>
      <c r="S128">
        <f t="shared" si="13"/>
        <v>2.3067614581757656E-2</v>
      </c>
    </row>
    <row r="129" spans="1:19" x14ac:dyDescent="0.3">
      <c r="A129">
        <v>200011</v>
      </c>
      <c r="B129">
        <v>-4.55</v>
      </c>
      <c r="C129">
        <v>-0.8</v>
      </c>
      <c r="D129">
        <v>11.16</v>
      </c>
      <c r="E129">
        <v>0.81</v>
      </c>
      <c r="F129">
        <v>8.77</v>
      </c>
      <c r="G129">
        <v>0.51</v>
      </c>
      <c r="H129">
        <v>-4.99</v>
      </c>
      <c r="J129" s="5">
        <v>41578</v>
      </c>
      <c r="K129" s="6">
        <f t="shared" si="8"/>
        <v>4.0507262270680968</v>
      </c>
      <c r="L129" s="6">
        <f t="shared" si="9"/>
        <v>1.9916077738515902E-2</v>
      </c>
      <c r="M129" s="4">
        <f t="shared" si="10"/>
        <v>4.3715790636042398</v>
      </c>
      <c r="N129" s="4">
        <f t="shared" si="11"/>
        <v>-1.7326987632508832</v>
      </c>
      <c r="O129" s="4">
        <f t="shared" si="12"/>
        <v>1.7526148409893993</v>
      </c>
      <c r="P129" s="4">
        <f t="shared" si="14"/>
        <v>1.9716916961130742</v>
      </c>
      <c r="Q129">
        <v>4.0000000000000001E-3</v>
      </c>
      <c r="R129">
        <v>1.3584000000000001</v>
      </c>
      <c r="S129">
        <f t="shared" si="13"/>
        <v>4.2137946329563469E-3</v>
      </c>
    </row>
    <row r="130" spans="1:19" x14ac:dyDescent="0.3">
      <c r="A130">
        <v>200012</v>
      </c>
      <c r="B130">
        <v>5.68</v>
      </c>
      <c r="C130">
        <v>0.35</v>
      </c>
      <c r="D130">
        <v>3.32</v>
      </c>
      <c r="E130">
        <v>-0.47</v>
      </c>
      <c r="F130">
        <v>0.66</v>
      </c>
      <c r="G130">
        <v>0.5</v>
      </c>
      <c r="H130">
        <v>0.87</v>
      </c>
      <c r="J130" s="5">
        <v>41607</v>
      </c>
      <c r="K130" s="6">
        <f t="shared" si="8"/>
        <v>1.2774815485267754</v>
      </c>
      <c r="L130" s="6">
        <f t="shared" si="9"/>
        <v>0.79958796262232368</v>
      </c>
      <c r="M130" s="4">
        <f t="shared" si="10"/>
        <v>-0.41978368037671987</v>
      </c>
      <c r="N130" s="4">
        <f t="shared" si="11"/>
        <v>0.67964976822897505</v>
      </c>
      <c r="O130" s="4">
        <f t="shared" si="12"/>
        <v>0.6296755205650798</v>
      </c>
      <c r="P130" s="4">
        <f t="shared" si="14"/>
        <v>2.5486866308586564</v>
      </c>
      <c r="Q130">
        <v>3.7999999999999999E-2</v>
      </c>
      <c r="R130">
        <v>1.3591</v>
      </c>
      <c r="S130">
        <f t="shared" si="13"/>
        <v>5.1531213191990943E-4</v>
      </c>
    </row>
    <row r="131" spans="1:19" x14ac:dyDescent="0.3">
      <c r="A131">
        <v>200101</v>
      </c>
      <c r="B131">
        <v>0.39</v>
      </c>
      <c r="C131">
        <v>1.75</v>
      </c>
      <c r="D131">
        <v>0.69</v>
      </c>
      <c r="E131">
        <v>-0.91</v>
      </c>
      <c r="F131">
        <v>0.82</v>
      </c>
      <c r="G131">
        <v>0.54</v>
      </c>
      <c r="H131">
        <v>-6.64</v>
      </c>
      <c r="J131" s="5">
        <v>41639</v>
      </c>
      <c r="K131" s="6">
        <f t="shared" si="8"/>
        <v>1.2346464860317463</v>
      </c>
      <c r="L131" s="6">
        <f t="shared" si="9"/>
        <v>0.55380630138979847</v>
      </c>
      <c r="M131" s="4">
        <f t="shared" si="10"/>
        <v>-0.19778796478207089</v>
      </c>
      <c r="N131" s="4">
        <f t="shared" si="11"/>
        <v>0.37579713308593465</v>
      </c>
      <c r="O131" s="4">
        <f t="shared" si="12"/>
        <v>0.27690315069489924</v>
      </c>
      <c r="P131" s="4">
        <f t="shared" si="14"/>
        <v>1.4834097358655316</v>
      </c>
      <c r="Q131">
        <v>0.122</v>
      </c>
      <c r="R131">
        <v>1.3743000000000001</v>
      </c>
      <c r="S131">
        <f t="shared" si="13"/>
        <v>1.1183871679788071E-2</v>
      </c>
    </row>
    <row r="132" spans="1:19" x14ac:dyDescent="0.3">
      <c r="A132">
        <v>200102</v>
      </c>
      <c r="B132">
        <v>-8.69</v>
      </c>
      <c r="C132">
        <v>4.67</v>
      </c>
      <c r="D132">
        <v>9.42</v>
      </c>
      <c r="E132">
        <v>-1.67</v>
      </c>
      <c r="F132">
        <v>6.8</v>
      </c>
      <c r="G132">
        <v>0.38</v>
      </c>
      <c r="H132">
        <v>7.67</v>
      </c>
      <c r="J132" s="5">
        <v>41670</v>
      </c>
      <c r="K132" s="6">
        <f t="shared" si="8"/>
        <v>-1.1920895357742802</v>
      </c>
      <c r="L132" s="6">
        <f t="shared" si="9"/>
        <v>3.7093667507044348</v>
      </c>
      <c r="M132" s="4">
        <f t="shared" si="10"/>
        <v>2.6291665430817144</v>
      </c>
      <c r="N132" s="4">
        <f t="shared" si="11"/>
        <v>-1.2432492955657719</v>
      </c>
      <c r="O132" s="4">
        <f t="shared" si="12"/>
        <v>2.0890664392703542</v>
      </c>
      <c r="P132" s="4">
        <f t="shared" si="14"/>
        <v>2.3642117751742546</v>
      </c>
      <c r="Q132">
        <v>5.6000000000000001E-2</v>
      </c>
      <c r="R132">
        <v>1.3486</v>
      </c>
      <c r="S132">
        <f t="shared" si="13"/>
        <v>-1.8700429309466693E-2</v>
      </c>
    </row>
    <row r="133" spans="1:19" x14ac:dyDescent="0.3">
      <c r="A133">
        <v>200103</v>
      </c>
      <c r="B133">
        <v>-9.34</v>
      </c>
      <c r="C133">
        <v>-0.68</v>
      </c>
      <c r="D133">
        <v>5.83</v>
      </c>
      <c r="E133">
        <v>2.5099999999999998</v>
      </c>
      <c r="F133">
        <v>2.67</v>
      </c>
      <c r="G133">
        <v>0.42</v>
      </c>
      <c r="H133">
        <v>4.01</v>
      </c>
      <c r="J133" s="5">
        <v>41698</v>
      </c>
      <c r="K133" s="6">
        <f t="shared" si="8"/>
        <v>4.9559913770686537</v>
      </c>
      <c r="L133" s="6">
        <f t="shared" si="9"/>
        <v>0.52763657440950595</v>
      </c>
      <c r="M133" s="4">
        <f t="shared" si="10"/>
        <v>0.36152876394725403</v>
      </c>
      <c r="N133" s="4">
        <f t="shared" si="11"/>
        <v>0.67420228952325745</v>
      </c>
      <c r="O133" s="4">
        <f t="shared" si="12"/>
        <v>0.92824952905376024</v>
      </c>
      <c r="P133" s="4">
        <f t="shared" si="14"/>
        <v>2.1496304883350241</v>
      </c>
      <c r="Q133">
        <v>0.08</v>
      </c>
      <c r="R133">
        <v>1.3802000000000001</v>
      </c>
      <c r="S133">
        <f t="shared" si="13"/>
        <v>2.343170695536112E-2</v>
      </c>
    </row>
    <row r="134" spans="1:19" x14ac:dyDescent="0.3">
      <c r="A134">
        <v>200104</v>
      </c>
      <c r="B134">
        <v>7.4</v>
      </c>
      <c r="C134">
        <v>-3.49</v>
      </c>
      <c r="D134">
        <v>-3.15</v>
      </c>
      <c r="E134">
        <v>2.68</v>
      </c>
      <c r="F134">
        <v>-1.93</v>
      </c>
      <c r="G134">
        <v>0.39</v>
      </c>
      <c r="H134">
        <v>-4.07</v>
      </c>
      <c r="J134" s="5">
        <v>41729</v>
      </c>
      <c r="K134" s="6">
        <f t="shared" si="8"/>
        <v>-0.3082007328354065</v>
      </c>
      <c r="L134" s="6">
        <f t="shared" si="9"/>
        <v>0.65155784733822364</v>
      </c>
      <c r="M134" s="4">
        <f t="shared" si="10"/>
        <v>1.7241223037257609</v>
      </c>
      <c r="N134" s="4">
        <f t="shared" si="11"/>
        <v>1.0625404895054109</v>
      </c>
      <c r="O134" s="4">
        <f t="shared" si="12"/>
        <v>0.1202876025855182</v>
      </c>
      <c r="P134" s="4">
        <f t="shared" si="14"/>
        <v>-0.99237272133052523</v>
      </c>
      <c r="Q134">
        <v>0.06</v>
      </c>
      <c r="R134">
        <v>1.3769</v>
      </c>
      <c r="S134">
        <f t="shared" si="13"/>
        <v>-2.3909578321983371E-3</v>
      </c>
    </row>
    <row r="135" spans="1:19" x14ac:dyDescent="0.3">
      <c r="A135">
        <v>200105</v>
      </c>
      <c r="B135">
        <v>-5.03</v>
      </c>
      <c r="C135">
        <v>2.81</v>
      </c>
      <c r="D135">
        <v>4.2300000000000004</v>
      </c>
      <c r="E135">
        <v>-0.25</v>
      </c>
      <c r="F135">
        <v>3.36</v>
      </c>
      <c r="G135">
        <v>0.32</v>
      </c>
      <c r="H135">
        <v>6.66</v>
      </c>
      <c r="J135" s="5">
        <v>41759</v>
      </c>
      <c r="K135" s="6">
        <f t="shared" si="8"/>
        <v>1.0458458783097035</v>
      </c>
      <c r="L135" s="6">
        <f t="shared" si="9"/>
        <v>-2.0355123674911662</v>
      </c>
      <c r="M135" s="4">
        <f t="shared" si="10"/>
        <v>0.28795053003533566</v>
      </c>
      <c r="N135" s="4">
        <f t="shared" si="11"/>
        <v>0.44681978798586575</v>
      </c>
      <c r="O135" s="4">
        <f t="shared" si="12"/>
        <v>-1.1319434628975265</v>
      </c>
      <c r="P135" s="4">
        <f t="shared" si="14"/>
        <v>-3.5149823321554772</v>
      </c>
      <c r="Q135">
        <v>-1.4999999999999999E-2</v>
      </c>
      <c r="R135">
        <v>1.3867</v>
      </c>
      <c r="S135">
        <f t="shared" si="13"/>
        <v>7.1174377224199059E-3</v>
      </c>
    </row>
    <row r="136" spans="1:19" x14ac:dyDescent="0.3">
      <c r="A136">
        <v>200106</v>
      </c>
      <c r="B136">
        <v>-3.65</v>
      </c>
      <c r="C136">
        <v>-0.77</v>
      </c>
      <c r="D136">
        <v>6.21</v>
      </c>
      <c r="E136">
        <v>-1.07</v>
      </c>
      <c r="F136">
        <v>5.31</v>
      </c>
      <c r="G136">
        <v>0.28000000000000003</v>
      </c>
      <c r="H136">
        <v>9.4499999999999993</v>
      </c>
      <c r="J136" s="5">
        <v>41789</v>
      </c>
      <c r="K136" s="6">
        <f t="shared" si="8"/>
        <v>2.4858379372184021</v>
      </c>
      <c r="L136" s="6">
        <f t="shared" si="9"/>
        <v>-0.61020902090209028</v>
      </c>
      <c r="M136" s="4">
        <f t="shared" si="10"/>
        <v>-0.41697616428309503</v>
      </c>
      <c r="N136" s="4">
        <f t="shared" si="11"/>
        <v>0.68140007334066754</v>
      </c>
      <c r="O136" s="4">
        <f t="shared" si="12"/>
        <v>-0.39663586358635872</v>
      </c>
      <c r="P136" s="4">
        <f t="shared" si="14"/>
        <v>-0.23391345801246796</v>
      </c>
      <c r="Q136">
        <v>1.7000000000000001E-2</v>
      </c>
      <c r="R136">
        <v>1.3634999999999999</v>
      </c>
      <c r="S136">
        <f t="shared" si="13"/>
        <v>-1.6730367058484297E-2</v>
      </c>
    </row>
    <row r="137" spans="1:19" x14ac:dyDescent="0.3">
      <c r="A137">
        <v>200107</v>
      </c>
      <c r="B137">
        <v>-0.7</v>
      </c>
      <c r="C137">
        <v>-1.64</v>
      </c>
      <c r="D137">
        <v>3.81</v>
      </c>
      <c r="E137">
        <v>2.3199999999999998</v>
      </c>
      <c r="F137">
        <v>3.45</v>
      </c>
      <c r="G137">
        <v>0.3</v>
      </c>
      <c r="H137">
        <v>1.52</v>
      </c>
      <c r="J137" s="5">
        <v>41820</v>
      </c>
      <c r="K137" s="6">
        <f t="shared" si="8"/>
        <v>-0.53719918840717862</v>
      </c>
      <c r="L137" s="6">
        <f t="shared" si="9"/>
        <v>0.20912576687116566</v>
      </c>
      <c r="M137" s="4">
        <f t="shared" si="10"/>
        <v>-1.7526730937773884</v>
      </c>
      <c r="N137" s="4">
        <f t="shared" si="11"/>
        <v>2.0613825591586328</v>
      </c>
      <c r="O137" s="4">
        <f t="shared" si="12"/>
        <v>-0.95600350569675718</v>
      </c>
      <c r="P137" s="4">
        <f t="shared" si="14"/>
        <v>0.32862620508326035</v>
      </c>
      <c r="Q137">
        <v>0</v>
      </c>
      <c r="R137">
        <v>1.3692</v>
      </c>
      <c r="S137">
        <f t="shared" si="13"/>
        <v>4.1804180418041348E-3</v>
      </c>
    </row>
    <row r="138" spans="1:19" x14ac:dyDescent="0.3">
      <c r="A138">
        <v>200108</v>
      </c>
      <c r="B138">
        <v>-2.0299999999999998</v>
      </c>
      <c r="C138">
        <v>2.2599999999999998</v>
      </c>
      <c r="D138">
        <v>4.1399999999999997</v>
      </c>
      <c r="E138">
        <v>1.43</v>
      </c>
      <c r="F138">
        <v>5.05</v>
      </c>
      <c r="G138">
        <v>0.31</v>
      </c>
      <c r="H138">
        <v>8.23</v>
      </c>
      <c r="J138" s="5">
        <v>41851</v>
      </c>
      <c r="K138" s="6">
        <f t="shared" si="8"/>
        <v>-1.9370575056011918</v>
      </c>
      <c r="L138" s="6">
        <f t="shared" si="9"/>
        <v>-0.62375802837938765</v>
      </c>
      <c r="M138" s="4">
        <f t="shared" si="10"/>
        <v>0.40902165795369683</v>
      </c>
      <c r="N138" s="4">
        <f t="shared" si="11"/>
        <v>-1.6667632561613144</v>
      </c>
      <c r="O138" s="4">
        <f t="shared" si="12"/>
        <v>0.40902165795369683</v>
      </c>
      <c r="P138" s="4">
        <f t="shared" si="14"/>
        <v>-0.59308140403286036</v>
      </c>
      <c r="Q138">
        <v>4.0000000000000001E-3</v>
      </c>
      <c r="R138">
        <v>1.339</v>
      </c>
      <c r="S138">
        <f t="shared" si="13"/>
        <v>-2.2056675430908612E-2</v>
      </c>
    </row>
    <row r="139" spans="1:19" x14ac:dyDescent="0.3">
      <c r="A139">
        <v>200109</v>
      </c>
      <c r="B139">
        <v>-11.56</v>
      </c>
      <c r="C139">
        <v>-4.76</v>
      </c>
      <c r="D139">
        <v>2.34</v>
      </c>
      <c r="E139">
        <v>1.0900000000000001</v>
      </c>
      <c r="F139">
        <v>3.31</v>
      </c>
      <c r="G139">
        <v>0.28000000000000003</v>
      </c>
      <c r="H139">
        <v>9.81</v>
      </c>
      <c r="J139" s="5">
        <v>41880</v>
      </c>
      <c r="K139" s="6">
        <f t="shared" si="8"/>
        <v>1.9439447631843509</v>
      </c>
      <c r="L139" s="6">
        <f t="shared" si="9"/>
        <v>-0.94827139811148342</v>
      </c>
      <c r="M139" s="4">
        <f t="shared" si="10"/>
        <v>-1.0298431312823637</v>
      </c>
      <c r="N139" s="4">
        <f t="shared" si="11"/>
        <v>0.23451873286628086</v>
      </c>
      <c r="O139" s="4">
        <f t="shared" si="12"/>
        <v>-0.78512793176972284</v>
      </c>
      <c r="P139" s="4">
        <f t="shared" si="14"/>
        <v>0.33648339932988125</v>
      </c>
      <c r="Q139">
        <v>-4.1000000000000002E-2</v>
      </c>
      <c r="R139">
        <v>1.3131999999999999</v>
      </c>
      <c r="S139">
        <f t="shared" si="13"/>
        <v>-1.9268110530246463E-2</v>
      </c>
    </row>
    <row r="140" spans="1:19" x14ac:dyDescent="0.3">
      <c r="A140">
        <v>200110</v>
      </c>
      <c r="B140">
        <v>3.24</v>
      </c>
      <c r="C140">
        <v>1.34</v>
      </c>
      <c r="D140">
        <v>-3.29</v>
      </c>
      <c r="E140">
        <v>-1.78</v>
      </c>
      <c r="F140">
        <v>-5.42</v>
      </c>
      <c r="G140">
        <v>0.22</v>
      </c>
      <c r="H140">
        <v>-6.66</v>
      </c>
      <c r="J140" s="5">
        <v>41912</v>
      </c>
      <c r="K140" s="6">
        <f t="shared" si="8"/>
        <v>2.9473892781735681E-2</v>
      </c>
      <c r="L140" s="6">
        <f t="shared" si="9"/>
        <v>-2.2560715699469558</v>
      </c>
      <c r="M140" s="4">
        <f t="shared" si="10"/>
        <v>-0.45745229989707864</v>
      </c>
      <c r="N140" s="4">
        <f t="shared" si="11"/>
        <v>-0.45745229989707864</v>
      </c>
      <c r="O140" s="4">
        <f t="shared" si="12"/>
        <v>0.39507244082020426</v>
      </c>
      <c r="P140" s="4">
        <f t="shared" si="14"/>
        <v>2.5887641516902864</v>
      </c>
      <c r="Q140">
        <v>-6.8000000000000005E-2</v>
      </c>
      <c r="R140">
        <v>1.2630999999999999</v>
      </c>
      <c r="S140">
        <f t="shared" si="13"/>
        <v>-3.8151081328053671E-2</v>
      </c>
    </row>
    <row r="141" spans="1:19" x14ac:dyDescent="0.3">
      <c r="A141">
        <v>200111</v>
      </c>
      <c r="B141">
        <v>4.09</v>
      </c>
      <c r="C141">
        <v>1.93</v>
      </c>
      <c r="D141">
        <v>-1.1000000000000001</v>
      </c>
      <c r="E141">
        <v>-2.29</v>
      </c>
      <c r="F141">
        <v>-4.37</v>
      </c>
      <c r="G141">
        <v>0.17</v>
      </c>
      <c r="H141">
        <v>-9.67</v>
      </c>
      <c r="J141" s="5">
        <v>41943</v>
      </c>
      <c r="K141" s="6">
        <f t="shared" ref="K141:K204" si="15">IFERROR(
(
(
 (1 + ( INDEX($B:$B, MATCH(YEAR($J141)*100+MONTH($J141), $A:$A, 0)) + INDEX($G:$G, MATCH(YEAR($J141)*100+MONTH($J141), $A:$A, 0)) )/100 )
 / ($R141/$R140)
) - 1
- ( ($Q140/100)*(30/365) )
) * 100, ""
)</f>
        <v>-1.8709538730757733</v>
      </c>
      <c r="L141" s="6">
        <f t="shared" ref="L141:L204" si="16">IFERROR( INDEX($C:$C, MATCH(YEAR($J141)*100+MONTH($J141), $A:$A, 0)) / ($R141/$R140), "" )</f>
        <v>-1.1496479041916166</v>
      </c>
      <c r="M141" s="4">
        <f t="shared" ref="M141:M204" si="17">IFERROR( INDEX($D:$D, MATCH(YEAR($J141)*100+MONTH($J141), $A:$A, 0)) / ($R141/$R140), "" )</f>
        <v>-3.1161508982035926</v>
      </c>
      <c r="N141" s="4">
        <f t="shared" ref="N141:N204" si="18">IFERROR( INDEX($E:$E, MATCH(YEAR($J141)*100+MONTH($J141), $A:$A, 0)) / ($R141/$R140), "" )</f>
        <v>2.3497189620758481</v>
      </c>
      <c r="O141" s="4">
        <f t="shared" ref="O141:O204" si="19">IFERROR( INDEX($F:$F, MATCH(YEAR($J141)*100+MONTH($J141), $A:$A, 0)) / ($R141/$R140), "" )</f>
        <v>-0.53448542914171659</v>
      </c>
      <c r="P141" s="4">
        <f t="shared" si="14"/>
        <v>1.0891401197604791</v>
      </c>
      <c r="Q141">
        <v>-0.123</v>
      </c>
      <c r="R141">
        <v>1.2524999999999999</v>
      </c>
      <c r="S141">
        <f t="shared" si="13"/>
        <v>-8.3920513023513221E-3</v>
      </c>
    </row>
    <row r="142" spans="1:19" x14ac:dyDescent="0.3">
      <c r="A142">
        <v>200112</v>
      </c>
      <c r="B142">
        <v>1.82</v>
      </c>
      <c r="C142">
        <v>-1.54</v>
      </c>
      <c r="D142">
        <v>1.4</v>
      </c>
      <c r="E142">
        <v>2.54</v>
      </c>
      <c r="F142">
        <v>0.86</v>
      </c>
      <c r="G142">
        <v>0.15</v>
      </c>
      <c r="H142">
        <v>2.73</v>
      </c>
      <c r="J142" s="5">
        <v>41971</v>
      </c>
      <c r="K142" s="6">
        <f t="shared" si="15"/>
        <v>2.7287893192049157</v>
      </c>
      <c r="L142" s="6">
        <f t="shared" si="16"/>
        <v>-1.3579143912624476</v>
      </c>
      <c r="M142" s="4">
        <f t="shared" si="17"/>
        <v>-1.8306697719241887</v>
      </c>
      <c r="N142" s="4">
        <f t="shared" si="18"/>
        <v>0.67392788307099261</v>
      </c>
      <c r="O142" s="4">
        <f t="shared" si="19"/>
        <v>0.24140700289110179</v>
      </c>
      <c r="P142" s="4">
        <f t="shared" si="14"/>
        <v>-0.62363475746867969</v>
      </c>
      <c r="Q142">
        <v>-0.107</v>
      </c>
      <c r="R142">
        <v>1.2452000000000001</v>
      </c>
      <c r="S142">
        <f t="shared" ref="S142:S205" si="20">R142/R141-1</f>
        <v>-5.8283433133731188E-3</v>
      </c>
    </row>
    <row r="143" spans="1:19" x14ac:dyDescent="0.3">
      <c r="A143">
        <v>200201</v>
      </c>
      <c r="B143">
        <v>-4.7</v>
      </c>
      <c r="C143">
        <v>3.23</v>
      </c>
      <c r="D143">
        <v>1.83</v>
      </c>
      <c r="E143">
        <v>3.13</v>
      </c>
      <c r="F143">
        <v>2.58</v>
      </c>
      <c r="G143">
        <v>0.14000000000000001</v>
      </c>
      <c r="H143">
        <v>5.97</v>
      </c>
      <c r="J143" s="5">
        <v>42004</v>
      </c>
      <c r="K143" s="6">
        <f t="shared" si="15"/>
        <v>-0.87336782033484095</v>
      </c>
      <c r="L143" s="6">
        <f t="shared" si="16"/>
        <v>2.3775929905769551</v>
      </c>
      <c r="M143" s="4">
        <f t="shared" si="17"/>
        <v>-2.4187634319722271</v>
      </c>
      <c r="N143" s="4">
        <f t="shared" si="18"/>
        <v>1.6159398247644241</v>
      </c>
      <c r="O143" s="4">
        <f t="shared" si="19"/>
        <v>-1.9864737973218716</v>
      </c>
      <c r="P143" s="4">
        <f t="shared" si="14"/>
        <v>2.0379368490659617</v>
      </c>
      <c r="Q143">
        <v>-1.6E-2</v>
      </c>
      <c r="R143">
        <v>1.2098</v>
      </c>
      <c r="S143">
        <f t="shared" si="20"/>
        <v>-2.8429168005139838E-2</v>
      </c>
    </row>
    <row r="144" spans="1:19" x14ac:dyDescent="0.3">
      <c r="A144">
        <v>200202</v>
      </c>
      <c r="B144">
        <v>0.41</v>
      </c>
      <c r="C144">
        <v>-0.02</v>
      </c>
      <c r="D144">
        <v>1.74</v>
      </c>
      <c r="E144">
        <v>2.85</v>
      </c>
      <c r="F144">
        <v>4.6500000000000004</v>
      </c>
      <c r="G144">
        <v>0.13</v>
      </c>
      <c r="H144">
        <v>5.94</v>
      </c>
      <c r="J144" s="5">
        <v>42034</v>
      </c>
      <c r="K144" s="6">
        <f t="shared" si="15"/>
        <v>6.8164439321899017</v>
      </c>
      <c r="L144" s="6">
        <f t="shared" si="16"/>
        <v>-1.6500681959082457</v>
      </c>
      <c r="M144" s="4">
        <f t="shared" si="17"/>
        <v>-3.7715844477902758</v>
      </c>
      <c r="N144" s="4">
        <f t="shared" si="18"/>
        <v>3.0429829067398813</v>
      </c>
      <c r="O144" s="4">
        <f t="shared" si="19"/>
        <v>-1.146475954299885</v>
      </c>
      <c r="P144" s="4">
        <f t="shared" si="14"/>
        <v>3.7608697192454166</v>
      </c>
      <c r="Q144">
        <v>-0.188</v>
      </c>
      <c r="R144">
        <v>1.1291</v>
      </c>
      <c r="S144">
        <f t="shared" si="20"/>
        <v>-6.6705240535625765E-2</v>
      </c>
    </row>
    <row r="145" spans="1:19" x14ac:dyDescent="0.3">
      <c r="A145">
        <v>200203</v>
      </c>
      <c r="B145">
        <v>5.08</v>
      </c>
      <c r="C145">
        <v>-0.48</v>
      </c>
      <c r="D145">
        <v>0.74</v>
      </c>
      <c r="E145">
        <v>0.39</v>
      </c>
      <c r="F145">
        <v>-0.28999999999999998</v>
      </c>
      <c r="G145">
        <v>0.13</v>
      </c>
      <c r="H145">
        <v>-2.54</v>
      </c>
      <c r="J145" s="5">
        <v>42062</v>
      </c>
      <c r="K145" s="6">
        <f t="shared" si="15"/>
        <v>7.1266623084565577</v>
      </c>
      <c r="L145" s="6">
        <f t="shared" si="16"/>
        <v>0.87738210075026801</v>
      </c>
      <c r="M145" s="4">
        <f t="shared" si="17"/>
        <v>1.9766309396212933</v>
      </c>
      <c r="N145" s="4">
        <f t="shared" si="18"/>
        <v>-1.986715791354055</v>
      </c>
      <c r="O145" s="4">
        <f t="shared" si="19"/>
        <v>-0.13110307252590211</v>
      </c>
      <c r="P145" s="4">
        <f t="shared" si="14"/>
        <v>-4.0036861379063957</v>
      </c>
      <c r="Q145">
        <v>-0.23899999999999999</v>
      </c>
      <c r="R145">
        <v>1.1195999999999999</v>
      </c>
      <c r="S145">
        <f t="shared" si="20"/>
        <v>-8.4137808874324982E-3</v>
      </c>
    </row>
    <row r="146" spans="1:19" x14ac:dyDescent="0.3">
      <c r="A146">
        <v>200204</v>
      </c>
      <c r="B146">
        <v>-0.32</v>
      </c>
      <c r="C146">
        <v>3.37</v>
      </c>
      <c r="D146">
        <v>4.76</v>
      </c>
      <c r="E146">
        <v>1.39</v>
      </c>
      <c r="F146">
        <v>5.28</v>
      </c>
      <c r="G146">
        <v>0.15</v>
      </c>
      <c r="H146">
        <v>6</v>
      </c>
      <c r="J146" s="5">
        <v>42094</v>
      </c>
      <c r="K146" s="6">
        <f t="shared" si="15"/>
        <v>1.9740861056751366</v>
      </c>
      <c r="L146" s="6">
        <f t="shared" si="16"/>
        <v>-0.3338663684651943</v>
      </c>
      <c r="M146" s="4">
        <f t="shared" si="17"/>
        <v>-0.36516634050880625</v>
      </c>
      <c r="N146" s="4">
        <f t="shared" si="18"/>
        <v>1.0433324014537322E-2</v>
      </c>
      <c r="O146" s="4">
        <f t="shared" si="19"/>
        <v>0.82423259714844843</v>
      </c>
      <c r="P146" s="4">
        <f t="shared" si="14"/>
        <v>1.6380318702823595</v>
      </c>
      <c r="Q146">
        <v>-0.27700000000000002</v>
      </c>
      <c r="R146">
        <v>1.0730999999999999</v>
      </c>
      <c r="S146">
        <f t="shared" si="20"/>
        <v>-4.1532690246516624E-2</v>
      </c>
    </row>
    <row r="147" spans="1:19" x14ac:dyDescent="0.3">
      <c r="A147">
        <v>200205</v>
      </c>
      <c r="B147">
        <v>0.43</v>
      </c>
      <c r="C147">
        <v>1.99</v>
      </c>
      <c r="D147">
        <v>4.7</v>
      </c>
      <c r="E147">
        <v>0.16</v>
      </c>
      <c r="F147">
        <v>2.61</v>
      </c>
      <c r="G147">
        <v>0.14000000000000001</v>
      </c>
      <c r="H147">
        <v>4.84</v>
      </c>
      <c r="J147" s="5">
        <v>42124</v>
      </c>
      <c r="K147" s="6">
        <f t="shared" si="15"/>
        <v>0.20999894794912027</v>
      </c>
      <c r="L147" s="6">
        <f t="shared" si="16"/>
        <v>1.9790778688524588</v>
      </c>
      <c r="M147" s="4">
        <f t="shared" si="17"/>
        <v>0.31550516749821811</v>
      </c>
      <c r="N147" s="4">
        <f t="shared" si="18"/>
        <v>1.9121525302922309E-2</v>
      </c>
      <c r="O147" s="4">
        <f t="shared" si="19"/>
        <v>-0.3919912687099073</v>
      </c>
      <c r="P147" s="4">
        <f t="shared" si="14"/>
        <v>-2.0460032074126873</v>
      </c>
      <c r="Q147">
        <v>-0.33400000000000002</v>
      </c>
      <c r="R147">
        <v>1.1224000000000001</v>
      </c>
      <c r="S147">
        <f t="shared" si="20"/>
        <v>4.5941664336967669E-2</v>
      </c>
    </row>
    <row r="148" spans="1:19" x14ac:dyDescent="0.3">
      <c r="A148">
        <v>200206</v>
      </c>
      <c r="B148">
        <v>-2.48</v>
      </c>
      <c r="C148">
        <v>1.76</v>
      </c>
      <c r="D148">
        <v>2.42</v>
      </c>
      <c r="E148">
        <v>2.6</v>
      </c>
      <c r="F148">
        <v>4.63</v>
      </c>
      <c r="G148">
        <v>0.13</v>
      </c>
      <c r="H148">
        <v>8.09</v>
      </c>
      <c r="J148" s="5">
        <v>42153</v>
      </c>
      <c r="K148" s="6">
        <f t="shared" si="15"/>
        <v>2.0405960562509446</v>
      </c>
      <c r="L148" s="6">
        <f t="shared" si="16"/>
        <v>1.5427125432368471</v>
      </c>
      <c r="M148" s="4">
        <f t="shared" si="17"/>
        <v>-2.5235099217185515</v>
      </c>
      <c r="N148" s="4">
        <f t="shared" si="18"/>
        <v>6.12998361551065E-2</v>
      </c>
      <c r="O148" s="4">
        <f t="shared" si="19"/>
        <v>-0.67429819770617161</v>
      </c>
      <c r="P148" s="4">
        <f t="shared" si="14"/>
        <v>3.6371236118696526</v>
      </c>
      <c r="Q148">
        <v>-0.29199999999999998</v>
      </c>
      <c r="R148">
        <v>1.0986</v>
      </c>
      <c r="S148">
        <f t="shared" si="20"/>
        <v>-2.1204561653599519E-2</v>
      </c>
    </row>
    <row r="149" spans="1:19" x14ac:dyDescent="0.3">
      <c r="A149">
        <v>200207</v>
      </c>
      <c r="B149">
        <v>-10.59</v>
      </c>
      <c r="C149">
        <v>2.4300000000000002</v>
      </c>
      <c r="D149">
        <v>3.15</v>
      </c>
      <c r="E149">
        <v>1.51</v>
      </c>
      <c r="F149">
        <v>0.44</v>
      </c>
      <c r="G149">
        <v>0.15</v>
      </c>
      <c r="H149">
        <v>4.71</v>
      </c>
      <c r="J149" s="5">
        <v>42185</v>
      </c>
      <c r="K149" s="6">
        <f t="shared" si="15"/>
        <v>-4.2193156903202711</v>
      </c>
      <c r="L149" s="6">
        <f t="shared" si="16"/>
        <v>1.9218354714272898</v>
      </c>
      <c r="M149" s="4">
        <f t="shared" si="17"/>
        <v>0.1478334978020992</v>
      </c>
      <c r="N149" s="4">
        <f t="shared" si="18"/>
        <v>-0.1478334978020992</v>
      </c>
      <c r="O149" s="4">
        <f t="shared" si="19"/>
        <v>-0.21682246344307884</v>
      </c>
      <c r="P149" s="4">
        <f t="shared" si="14"/>
        <v>0.89685655333273528</v>
      </c>
      <c r="Q149">
        <v>-0.26</v>
      </c>
      <c r="R149">
        <v>1.1147</v>
      </c>
      <c r="S149">
        <f t="shared" si="20"/>
        <v>1.4655015474239974E-2</v>
      </c>
    </row>
    <row r="150" spans="1:19" x14ac:dyDescent="0.3">
      <c r="A150">
        <v>200208</v>
      </c>
      <c r="B150">
        <v>0.14000000000000001</v>
      </c>
      <c r="C150">
        <v>-1.83</v>
      </c>
      <c r="D150">
        <v>2.11</v>
      </c>
      <c r="E150">
        <v>0.75</v>
      </c>
      <c r="F150">
        <v>-0.34</v>
      </c>
      <c r="G150">
        <v>0.14000000000000001</v>
      </c>
      <c r="H150">
        <v>2.17</v>
      </c>
      <c r="J150" s="5">
        <v>42216</v>
      </c>
      <c r="K150" s="6">
        <f t="shared" si="15"/>
        <v>3.9308135993574642</v>
      </c>
      <c r="L150" s="6">
        <f t="shared" si="16"/>
        <v>-0.94380098324836126</v>
      </c>
      <c r="M150" s="4">
        <f t="shared" si="17"/>
        <v>-2.6893253823743626</v>
      </c>
      <c r="N150" s="4">
        <f t="shared" si="18"/>
        <v>0.95394938091769843</v>
      </c>
      <c r="O150" s="4">
        <f t="shared" si="19"/>
        <v>-0.76112982520029127</v>
      </c>
      <c r="P150" s="4">
        <f t="shared" ref="P150:P213" si="21">IFERROR( INDEX($H:$H, MATCH(YEAR($J150)*100+MONTH($J150), $A:$A, 0)) / ($R150/$R149), "" )</f>
        <v>3.5823843772760378</v>
      </c>
      <c r="Q150">
        <v>-0.27900000000000003</v>
      </c>
      <c r="R150">
        <v>1.0984</v>
      </c>
      <c r="S150">
        <f t="shared" si="20"/>
        <v>-1.4622768457881019E-2</v>
      </c>
    </row>
    <row r="151" spans="1:19" x14ac:dyDescent="0.3">
      <c r="A151">
        <v>200209</v>
      </c>
      <c r="B151">
        <v>-13.17</v>
      </c>
      <c r="C151">
        <v>3.29</v>
      </c>
      <c r="D151">
        <v>-1.91</v>
      </c>
      <c r="E151">
        <v>6.4</v>
      </c>
      <c r="F151">
        <v>0.52</v>
      </c>
      <c r="G151">
        <v>0.14000000000000001</v>
      </c>
      <c r="H151">
        <v>13.65</v>
      </c>
      <c r="J151" s="5">
        <v>42247</v>
      </c>
      <c r="K151" s="6">
        <f t="shared" si="15"/>
        <v>-7.89997278357973</v>
      </c>
      <c r="L151" s="6">
        <f t="shared" si="16"/>
        <v>3.5564998662028362</v>
      </c>
      <c r="M151" s="4">
        <f t="shared" si="17"/>
        <v>-0.9797520292569798</v>
      </c>
      <c r="N151" s="4">
        <f t="shared" si="18"/>
        <v>0.77400410311301404</v>
      </c>
      <c r="O151" s="4">
        <f t="shared" si="19"/>
        <v>-0.88177682633128185</v>
      </c>
      <c r="P151" s="4">
        <f t="shared" si="21"/>
        <v>2.0770743020247973</v>
      </c>
      <c r="Q151">
        <v>-0.27800000000000002</v>
      </c>
      <c r="R151">
        <v>1.1211</v>
      </c>
      <c r="S151">
        <f t="shared" si="20"/>
        <v>2.0666423889293517E-2</v>
      </c>
    </row>
    <row r="152" spans="1:19" x14ac:dyDescent="0.3">
      <c r="A152">
        <v>200210</v>
      </c>
      <c r="B152">
        <v>8.58</v>
      </c>
      <c r="C152">
        <v>-7.33</v>
      </c>
      <c r="D152">
        <v>-0.84</v>
      </c>
      <c r="E152">
        <v>-4.88</v>
      </c>
      <c r="F152">
        <v>0.13</v>
      </c>
      <c r="G152">
        <v>0.14000000000000001</v>
      </c>
      <c r="H152">
        <v>-6.11</v>
      </c>
      <c r="J152" s="5">
        <v>42277</v>
      </c>
      <c r="K152" s="6">
        <f t="shared" si="15"/>
        <v>-3.9559437421024772</v>
      </c>
      <c r="L152" s="6">
        <f t="shared" si="16"/>
        <v>1.1735590945692045</v>
      </c>
      <c r="M152" s="4">
        <f t="shared" si="17"/>
        <v>-3.641042319048045</v>
      </c>
      <c r="N152" s="4">
        <f t="shared" si="18"/>
        <v>2.7082132951597031</v>
      </c>
      <c r="O152" s="4">
        <f t="shared" si="19"/>
        <v>-0.98298112194685516</v>
      </c>
      <c r="P152" s="4">
        <f t="shared" si="21"/>
        <v>4.2930195938087143</v>
      </c>
      <c r="Q152">
        <v>-0.33900000000000002</v>
      </c>
      <c r="R152">
        <v>1.1176999999999999</v>
      </c>
      <c r="S152">
        <f t="shared" si="20"/>
        <v>-3.0327357060030424E-3</v>
      </c>
    </row>
    <row r="153" spans="1:19" x14ac:dyDescent="0.3">
      <c r="A153">
        <v>200211</v>
      </c>
      <c r="B153">
        <v>4.88</v>
      </c>
      <c r="C153">
        <v>-0.76</v>
      </c>
      <c r="D153">
        <v>2.16</v>
      </c>
      <c r="E153">
        <v>-5</v>
      </c>
      <c r="F153">
        <v>0.55000000000000004</v>
      </c>
      <c r="G153">
        <v>0.12</v>
      </c>
      <c r="H153">
        <v>-8.86</v>
      </c>
      <c r="J153" s="5">
        <v>42307</v>
      </c>
      <c r="K153" s="6">
        <f t="shared" si="15"/>
        <v>7.867734901759686</v>
      </c>
      <c r="L153" s="6">
        <f t="shared" si="16"/>
        <v>-2.9856787206978006</v>
      </c>
      <c r="M153" s="4">
        <f t="shared" si="17"/>
        <v>-0.7819634744684717</v>
      </c>
      <c r="N153" s="4">
        <f t="shared" si="18"/>
        <v>2.0107632200617842</v>
      </c>
      <c r="O153" s="4">
        <f t="shared" si="19"/>
        <v>-6.0932218789751032E-2</v>
      </c>
      <c r="P153" s="4">
        <f t="shared" si="21"/>
        <v>-1.584237688533527</v>
      </c>
      <c r="Q153">
        <v>-0.34200000000000003</v>
      </c>
      <c r="R153">
        <v>1.1006</v>
      </c>
      <c r="S153">
        <f t="shared" si="20"/>
        <v>-1.5299275297485759E-2</v>
      </c>
    </row>
    <row r="154" spans="1:19" x14ac:dyDescent="0.3">
      <c r="A154">
        <v>200212</v>
      </c>
      <c r="B154">
        <v>-2.75</v>
      </c>
      <c r="C154">
        <v>4.18</v>
      </c>
      <c r="D154">
        <v>3.25</v>
      </c>
      <c r="E154">
        <v>2.2400000000000002</v>
      </c>
      <c r="F154">
        <v>0.16</v>
      </c>
      <c r="G154">
        <v>0.11</v>
      </c>
      <c r="H154">
        <v>10.99</v>
      </c>
      <c r="J154" s="5">
        <v>42338</v>
      </c>
      <c r="K154" s="6">
        <f t="shared" si="15"/>
        <v>2.6500745677443578</v>
      </c>
      <c r="L154" s="6">
        <f t="shared" si="16"/>
        <v>0.32293989588263133</v>
      </c>
      <c r="M154" s="4">
        <f t="shared" si="17"/>
        <v>-2.9168764789398955</v>
      </c>
      <c r="N154" s="4">
        <f t="shared" si="18"/>
        <v>3.1564770468528156</v>
      </c>
      <c r="O154" s="4">
        <f t="shared" si="19"/>
        <v>-2.2084921911973496</v>
      </c>
      <c r="P154" s="4">
        <f t="shared" si="21"/>
        <v>2.7189455750118312</v>
      </c>
      <c r="Q154">
        <v>-0.40600000000000003</v>
      </c>
      <c r="R154">
        <v>1.0565</v>
      </c>
      <c r="S154">
        <f t="shared" si="20"/>
        <v>-4.006905324368526E-2</v>
      </c>
    </row>
    <row r="155" spans="1:19" x14ac:dyDescent="0.3">
      <c r="A155">
        <v>200301</v>
      </c>
      <c r="B155">
        <v>-3.45</v>
      </c>
      <c r="C155">
        <v>2.4300000000000002</v>
      </c>
      <c r="D155">
        <v>2.5099999999999998</v>
      </c>
      <c r="E155">
        <v>-0.88</v>
      </c>
      <c r="F155">
        <v>1.05</v>
      </c>
      <c r="G155">
        <v>0.1</v>
      </c>
      <c r="H155">
        <v>2.0299999999999998</v>
      </c>
      <c r="J155" s="5">
        <v>42369</v>
      </c>
      <c r="K155" s="6">
        <f t="shared" si="15"/>
        <v>-4.5003486050400614</v>
      </c>
      <c r="L155" s="6">
        <f t="shared" si="16"/>
        <v>3.6377370649972383</v>
      </c>
      <c r="M155" s="4">
        <f t="shared" si="17"/>
        <v>-1.2158212115632481</v>
      </c>
      <c r="N155" s="4">
        <f t="shared" si="18"/>
        <v>0.65168016939790097</v>
      </c>
      <c r="O155" s="4">
        <f t="shared" si="19"/>
        <v>-1.6048839992634873</v>
      </c>
      <c r="P155" s="4">
        <f t="shared" si="21"/>
        <v>3.9003544466948994</v>
      </c>
      <c r="Q155">
        <v>-0.51700000000000002</v>
      </c>
      <c r="R155">
        <v>1.0862000000000001</v>
      </c>
      <c r="S155">
        <f t="shared" si="20"/>
        <v>2.8111689540937013E-2</v>
      </c>
    </row>
    <row r="156" spans="1:19" x14ac:dyDescent="0.3">
      <c r="A156">
        <v>200302</v>
      </c>
      <c r="B156">
        <v>-3.34</v>
      </c>
      <c r="C156">
        <v>0.52</v>
      </c>
      <c r="D156">
        <v>1.69</v>
      </c>
      <c r="E156">
        <v>0.23</v>
      </c>
      <c r="F156">
        <v>-0.63</v>
      </c>
      <c r="G156">
        <v>0.09</v>
      </c>
      <c r="H156">
        <v>6.15</v>
      </c>
      <c r="J156" s="5">
        <v>42398</v>
      </c>
      <c r="K156" s="6">
        <f t="shared" si="15"/>
        <v>-6.1096663913702818</v>
      </c>
      <c r="L156" s="6">
        <f t="shared" si="16"/>
        <v>-0.6217745360539193</v>
      </c>
      <c r="M156" s="4">
        <f t="shared" si="17"/>
        <v>-1.4942646108392579</v>
      </c>
      <c r="N156" s="4">
        <f t="shared" si="18"/>
        <v>2.477069522666421</v>
      </c>
      <c r="O156" s="4">
        <f t="shared" si="19"/>
        <v>2.2865257132305419</v>
      </c>
      <c r="P156" s="4">
        <f t="shared" si="21"/>
        <v>1.1532914781645278</v>
      </c>
      <c r="Q156">
        <v>-0.45100000000000001</v>
      </c>
      <c r="R156">
        <v>1.0831</v>
      </c>
      <c r="S156">
        <f t="shared" si="20"/>
        <v>-2.853986374516726E-3</v>
      </c>
    </row>
    <row r="157" spans="1:19" x14ac:dyDescent="0.3">
      <c r="A157">
        <v>200303</v>
      </c>
      <c r="B157">
        <v>-1.49</v>
      </c>
      <c r="C157">
        <v>0.86</v>
      </c>
      <c r="D157">
        <v>-0.5</v>
      </c>
      <c r="E157">
        <v>1.6</v>
      </c>
      <c r="F157">
        <v>0.53</v>
      </c>
      <c r="G157">
        <v>0.1</v>
      </c>
      <c r="H157">
        <v>2.23</v>
      </c>
      <c r="J157" s="5">
        <v>42429</v>
      </c>
      <c r="K157" s="6">
        <f t="shared" si="15"/>
        <v>-2.0326813459001647</v>
      </c>
      <c r="L157" s="6">
        <f t="shared" si="16"/>
        <v>1.4643217143382692</v>
      </c>
      <c r="M157" s="4">
        <f t="shared" si="17"/>
        <v>0.36857077163616303</v>
      </c>
      <c r="N157" s="4">
        <f t="shared" si="18"/>
        <v>0.64748919341488098</v>
      </c>
      <c r="O157" s="4">
        <f t="shared" si="19"/>
        <v>0.87660075416168504</v>
      </c>
      <c r="P157" s="4">
        <f t="shared" si="21"/>
        <v>-0.69729605444679488</v>
      </c>
      <c r="Q157">
        <v>-0.56499999999999995</v>
      </c>
      <c r="R157">
        <v>1.0872999999999999</v>
      </c>
      <c r="S157">
        <f t="shared" si="20"/>
        <v>3.8777582864000237E-3</v>
      </c>
    </row>
    <row r="158" spans="1:19" x14ac:dyDescent="0.3">
      <c r="A158">
        <v>200304</v>
      </c>
      <c r="B158">
        <v>13.11</v>
      </c>
      <c r="C158">
        <v>-2.2400000000000002</v>
      </c>
      <c r="D158">
        <v>0.22</v>
      </c>
      <c r="E158">
        <v>-3.68</v>
      </c>
      <c r="F158">
        <v>-0.05</v>
      </c>
      <c r="G158">
        <v>0.1</v>
      </c>
      <c r="H158">
        <v>-14.47</v>
      </c>
      <c r="J158" s="5">
        <v>42460</v>
      </c>
      <c r="K158" s="6">
        <f t="shared" si="15"/>
        <v>2.011865421190743</v>
      </c>
      <c r="L158" s="6">
        <f t="shared" si="16"/>
        <v>1.7102521968365556</v>
      </c>
      <c r="M158" s="4">
        <f t="shared" si="17"/>
        <v>1.1369833040421793</v>
      </c>
      <c r="N158" s="4">
        <f t="shared" si="18"/>
        <v>0.70703163444639727</v>
      </c>
      <c r="O158" s="4">
        <f t="shared" si="19"/>
        <v>-1.070101933216169</v>
      </c>
      <c r="P158" s="4">
        <f t="shared" si="21"/>
        <v>-1.4236177504393674</v>
      </c>
      <c r="Q158">
        <v>-0.55600000000000005</v>
      </c>
      <c r="R158">
        <v>1.1379999999999999</v>
      </c>
      <c r="S158">
        <f t="shared" si="20"/>
        <v>4.6629265152211774E-2</v>
      </c>
    </row>
    <row r="159" spans="1:19" x14ac:dyDescent="0.3">
      <c r="A159">
        <v>200305</v>
      </c>
      <c r="B159">
        <v>7.66</v>
      </c>
      <c r="C159">
        <v>2.92</v>
      </c>
      <c r="D159">
        <v>1.1200000000000001</v>
      </c>
      <c r="E159">
        <v>-1.3</v>
      </c>
      <c r="F159">
        <v>0.2</v>
      </c>
      <c r="G159">
        <v>0.09</v>
      </c>
      <c r="H159">
        <v>-2.39</v>
      </c>
      <c r="J159" s="5">
        <v>42489</v>
      </c>
      <c r="K159" s="6">
        <f t="shared" si="15"/>
        <v>1.8008466521438111</v>
      </c>
      <c r="L159" s="6">
        <f t="shared" si="16"/>
        <v>-0.55652781416470187</v>
      </c>
      <c r="M159" s="4">
        <f t="shared" si="17"/>
        <v>3.3292288883066981</v>
      </c>
      <c r="N159" s="4">
        <f t="shared" si="18"/>
        <v>-1.8683433761243557</v>
      </c>
      <c r="O159" s="4">
        <f t="shared" si="19"/>
        <v>0.89441970133612791</v>
      </c>
      <c r="P159" s="4">
        <f t="shared" si="21"/>
        <v>-3.8857567024713999</v>
      </c>
      <c r="Q159">
        <v>-0.58699999999999997</v>
      </c>
      <c r="R159">
        <v>1.1451</v>
      </c>
      <c r="S159">
        <f t="shared" si="20"/>
        <v>6.2390158172231924E-3</v>
      </c>
    </row>
    <row r="160" spans="1:19" x14ac:dyDescent="0.3">
      <c r="A160">
        <v>200306</v>
      </c>
      <c r="B160">
        <v>1.17</v>
      </c>
      <c r="C160">
        <v>1.98</v>
      </c>
      <c r="D160">
        <v>0.42</v>
      </c>
      <c r="E160">
        <v>0.69</v>
      </c>
      <c r="F160">
        <v>-0.42</v>
      </c>
      <c r="G160">
        <v>0.1</v>
      </c>
      <c r="H160">
        <v>-4.68</v>
      </c>
      <c r="J160" s="5">
        <v>42521</v>
      </c>
      <c r="K160" s="6">
        <f t="shared" si="15"/>
        <v>2.5332564567653941</v>
      </c>
      <c r="L160" s="6">
        <f t="shared" si="16"/>
        <v>1.4504051383399208</v>
      </c>
      <c r="M160" s="4">
        <f t="shared" si="17"/>
        <v>-2.9522430830039528</v>
      </c>
      <c r="N160" s="4">
        <f t="shared" si="18"/>
        <v>1.8104347826086957</v>
      </c>
      <c r="O160" s="4">
        <f t="shared" si="19"/>
        <v>-0.49375494071146242</v>
      </c>
      <c r="P160" s="4">
        <f t="shared" si="21"/>
        <v>3.9191798418972335</v>
      </c>
      <c r="Q160">
        <v>-0.57299999999999995</v>
      </c>
      <c r="R160">
        <v>1.1132</v>
      </c>
      <c r="S160">
        <f t="shared" si="20"/>
        <v>-2.785782901056677E-2</v>
      </c>
    </row>
    <row r="161" spans="1:19" x14ac:dyDescent="0.3">
      <c r="A161">
        <v>200307</v>
      </c>
      <c r="B161">
        <v>1.71</v>
      </c>
      <c r="C161">
        <v>1.22</v>
      </c>
      <c r="D161">
        <v>3.93</v>
      </c>
      <c r="E161">
        <v>-3.59</v>
      </c>
      <c r="F161">
        <v>2.19</v>
      </c>
      <c r="G161">
        <v>7.0000000000000007E-2</v>
      </c>
      <c r="H161">
        <v>-4.6100000000000003</v>
      </c>
      <c r="J161" s="5">
        <v>42551</v>
      </c>
      <c r="K161" s="6">
        <f t="shared" si="15"/>
        <v>-4.7204783937597803</v>
      </c>
      <c r="L161" s="6">
        <f t="shared" si="16"/>
        <v>-2.245244012245633</v>
      </c>
      <c r="M161" s="4">
        <f t="shared" si="17"/>
        <v>-1.6438393661084096</v>
      </c>
      <c r="N161" s="4">
        <f t="shared" si="18"/>
        <v>3.2576084999099582</v>
      </c>
      <c r="O161" s="4">
        <f t="shared" si="19"/>
        <v>2.8266018368449481</v>
      </c>
      <c r="P161" s="4">
        <f t="shared" si="21"/>
        <v>7.1166216459571388</v>
      </c>
      <c r="Q161">
        <v>-0.65900000000000003</v>
      </c>
      <c r="R161">
        <v>1.1106</v>
      </c>
      <c r="S161">
        <f t="shared" si="20"/>
        <v>-2.3356090549765396E-3</v>
      </c>
    </row>
    <row r="162" spans="1:19" x14ac:dyDescent="0.3">
      <c r="A162">
        <v>200308</v>
      </c>
      <c r="B162">
        <v>0.2</v>
      </c>
      <c r="C162">
        <v>3.25</v>
      </c>
      <c r="D162">
        <v>0.01</v>
      </c>
      <c r="E162">
        <v>1.02</v>
      </c>
      <c r="F162">
        <v>1.06</v>
      </c>
      <c r="G162">
        <v>7.0000000000000007E-2</v>
      </c>
      <c r="H162">
        <v>-2.35</v>
      </c>
      <c r="J162" s="5">
        <v>42580</v>
      </c>
      <c r="K162" s="6">
        <f t="shared" si="15"/>
        <v>3.8784672294538796</v>
      </c>
      <c r="L162" s="6">
        <f t="shared" si="16"/>
        <v>1.5008108108108107</v>
      </c>
      <c r="M162" s="4">
        <f t="shared" si="17"/>
        <v>0.20872203329156971</v>
      </c>
      <c r="N162" s="4">
        <f t="shared" si="18"/>
        <v>6.9574011097189914E-2</v>
      </c>
      <c r="O162" s="4">
        <f t="shared" si="19"/>
        <v>-0.85476642205119024</v>
      </c>
      <c r="P162" s="4">
        <f t="shared" si="21"/>
        <v>-9.939144442455701E-2</v>
      </c>
      <c r="Q162">
        <v>-0.72399999999999998</v>
      </c>
      <c r="R162">
        <v>1.1173999999999999</v>
      </c>
      <c r="S162">
        <f t="shared" si="20"/>
        <v>6.1228164955879905E-3</v>
      </c>
    </row>
    <row r="163" spans="1:19" x14ac:dyDescent="0.3">
      <c r="A163">
        <v>200309</v>
      </c>
      <c r="B163">
        <v>2.8</v>
      </c>
      <c r="C163">
        <v>2.82</v>
      </c>
      <c r="D163">
        <v>0.03</v>
      </c>
      <c r="E163">
        <v>0.37</v>
      </c>
      <c r="F163">
        <v>-0.11</v>
      </c>
      <c r="G163">
        <v>0.08</v>
      </c>
      <c r="H163">
        <v>0.93</v>
      </c>
      <c r="J163" s="5">
        <v>42613</v>
      </c>
      <c r="K163" s="6">
        <f t="shared" si="15"/>
        <v>1.0040488819373992</v>
      </c>
      <c r="L163" s="6">
        <f t="shared" si="16"/>
        <v>1.7024377128517656</v>
      </c>
      <c r="M163" s="4">
        <f t="shared" si="17"/>
        <v>1.9327675210611219</v>
      </c>
      <c r="N163" s="4">
        <f t="shared" si="18"/>
        <v>-1.9227531815737586</v>
      </c>
      <c r="O163" s="4">
        <f t="shared" si="19"/>
        <v>-1.0014339487363327E-2</v>
      </c>
      <c r="P163" s="4">
        <f t="shared" si="21"/>
        <v>-1.7625237497759456</v>
      </c>
      <c r="Q163">
        <v>-0.79500000000000004</v>
      </c>
      <c r="R163">
        <v>1.1157999999999999</v>
      </c>
      <c r="S163">
        <f t="shared" si="20"/>
        <v>-1.4318954716305843E-3</v>
      </c>
    </row>
    <row r="164" spans="1:19" x14ac:dyDescent="0.3">
      <c r="A164">
        <v>200310</v>
      </c>
      <c r="B164">
        <v>6.19</v>
      </c>
      <c r="C164">
        <v>-0.79</v>
      </c>
      <c r="D164">
        <v>3.69</v>
      </c>
      <c r="E164">
        <v>-2.92</v>
      </c>
      <c r="F164">
        <v>2.2599999999999998</v>
      </c>
      <c r="G164">
        <v>7.0000000000000007E-2</v>
      </c>
      <c r="H164">
        <v>5.57</v>
      </c>
      <c r="J164" s="5">
        <v>42643</v>
      </c>
      <c r="K164" s="6">
        <f t="shared" si="15"/>
        <v>0.34333623522382173</v>
      </c>
      <c r="L164" s="6">
        <f t="shared" si="16"/>
        <v>0.96335202492211824</v>
      </c>
      <c r="M164" s="4">
        <f t="shared" si="17"/>
        <v>-0.14897196261682241</v>
      </c>
      <c r="N164" s="4">
        <f t="shared" si="18"/>
        <v>0.3178068535825545</v>
      </c>
      <c r="O164" s="4">
        <f t="shared" si="19"/>
        <v>2.9794392523364483E-2</v>
      </c>
      <c r="P164" s="4">
        <f t="shared" si="21"/>
        <v>3.108548286604361</v>
      </c>
      <c r="Q164">
        <v>-0.75800000000000001</v>
      </c>
      <c r="R164">
        <v>1.1234999999999999</v>
      </c>
      <c r="S164">
        <f t="shared" si="20"/>
        <v>6.9008782936010871E-3</v>
      </c>
    </row>
    <row r="165" spans="1:19" x14ac:dyDescent="0.3">
      <c r="A165">
        <v>200311</v>
      </c>
      <c r="B165">
        <v>4.49</v>
      </c>
      <c r="C165">
        <v>0.15</v>
      </c>
      <c r="D165">
        <v>0.42</v>
      </c>
      <c r="E165">
        <v>-0.11</v>
      </c>
      <c r="F165">
        <v>0.86</v>
      </c>
      <c r="G165">
        <v>7.0000000000000007E-2</v>
      </c>
      <c r="H165">
        <v>-0.09</v>
      </c>
      <c r="J165" s="5">
        <v>42674</v>
      </c>
      <c r="K165" s="6">
        <f t="shared" si="15"/>
        <v>-0.75539282920811468</v>
      </c>
      <c r="L165" s="6">
        <f t="shared" si="16"/>
        <v>-0.51156543119934428</v>
      </c>
      <c r="M165" s="4">
        <f t="shared" si="17"/>
        <v>6.5071122848556593</v>
      </c>
      <c r="N165" s="4">
        <f t="shared" si="18"/>
        <v>-3.939053820234951</v>
      </c>
      <c r="O165" s="4">
        <f t="shared" si="19"/>
        <v>3.028467352700118</v>
      </c>
      <c r="P165" s="4">
        <f t="shared" si="21"/>
        <v>-0.83896730716692458</v>
      </c>
      <c r="Q165">
        <v>-0.81100000000000005</v>
      </c>
      <c r="R165">
        <v>1.0981000000000001</v>
      </c>
      <c r="S165">
        <f t="shared" si="20"/>
        <v>-2.2607921673342135E-2</v>
      </c>
    </row>
    <row r="166" spans="1:19" x14ac:dyDescent="0.3">
      <c r="A166">
        <v>200312</v>
      </c>
      <c r="B166">
        <v>7.32</v>
      </c>
      <c r="C166">
        <v>-1.9</v>
      </c>
      <c r="D166">
        <v>0.56999999999999995</v>
      </c>
      <c r="E166">
        <v>0.42</v>
      </c>
      <c r="F166">
        <v>-0.2</v>
      </c>
      <c r="G166">
        <v>0.08</v>
      </c>
      <c r="H166">
        <v>-0.69</v>
      </c>
      <c r="J166" s="5">
        <v>42704</v>
      </c>
      <c r="K166" s="6">
        <f t="shared" si="15"/>
        <v>1.186433717077831</v>
      </c>
      <c r="L166" s="6">
        <f t="shared" si="16"/>
        <v>1.0370195485881577</v>
      </c>
      <c r="M166" s="4">
        <f t="shared" si="17"/>
        <v>1.9910775332892625</v>
      </c>
      <c r="N166" s="4">
        <f t="shared" si="18"/>
        <v>-1.5970101048257628</v>
      </c>
      <c r="O166" s="4">
        <f t="shared" si="19"/>
        <v>1.9392265558598549</v>
      </c>
      <c r="P166" s="4">
        <f t="shared" si="21"/>
        <v>-2.125890074605723</v>
      </c>
      <c r="Q166">
        <v>-0.754</v>
      </c>
      <c r="R166">
        <v>1.0589</v>
      </c>
      <c r="S166">
        <f t="shared" si="20"/>
        <v>-3.5698023859393579E-2</v>
      </c>
    </row>
    <row r="167" spans="1:19" x14ac:dyDescent="0.3">
      <c r="A167">
        <v>200401</v>
      </c>
      <c r="B167">
        <v>2.48</v>
      </c>
      <c r="C167">
        <v>4</v>
      </c>
      <c r="D167">
        <v>2.4500000000000002</v>
      </c>
      <c r="E167">
        <v>-1.72</v>
      </c>
      <c r="F167">
        <v>3.68</v>
      </c>
      <c r="G167">
        <v>7.0000000000000007E-2</v>
      </c>
      <c r="H167">
        <v>3.7</v>
      </c>
      <c r="J167" s="5">
        <v>42734</v>
      </c>
      <c r="K167" s="6">
        <f t="shared" si="15"/>
        <v>5.5290972580596804</v>
      </c>
      <c r="L167" s="6">
        <f t="shared" si="16"/>
        <v>-0.82561376818484344</v>
      </c>
      <c r="M167" s="4">
        <f t="shared" si="17"/>
        <v>2.0036236569363886</v>
      </c>
      <c r="N167" s="4">
        <f t="shared" si="18"/>
        <v>-0.90616145288580385</v>
      </c>
      <c r="O167" s="4">
        <f t="shared" si="19"/>
        <v>1.0571883617001046</v>
      </c>
      <c r="P167" s="4">
        <f t="shared" si="21"/>
        <v>-1.9734182751735283</v>
      </c>
      <c r="Q167">
        <v>-0.85199999999999998</v>
      </c>
      <c r="R167">
        <v>1.0517000000000001</v>
      </c>
      <c r="S167">
        <f t="shared" si="20"/>
        <v>-6.7995089243553242E-3</v>
      </c>
    </row>
    <row r="168" spans="1:19" x14ac:dyDescent="0.3">
      <c r="A168">
        <v>200402</v>
      </c>
      <c r="B168">
        <v>3.1</v>
      </c>
      <c r="C168">
        <v>1.1499999999999999</v>
      </c>
      <c r="D168">
        <v>0.4</v>
      </c>
      <c r="E168">
        <v>0.8</v>
      </c>
      <c r="F168">
        <v>-0.96</v>
      </c>
      <c r="G168">
        <v>0.06</v>
      </c>
      <c r="H168">
        <v>0.43</v>
      </c>
      <c r="J168" s="5">
        <v>42766</v>
      </c>
      <c r="K168" s="6">
        <f t="shared" si="15"/>
        <v>0.27274641930139409</v>
      </c>
      <c r="L168" s="6">
        <f t="shared" si="16"/>
        <v>2.0648305241711431</v>
      </c>
      <c r="M168" s="4">
        <f t="shared" si="17"/>
        <v>0.45776903130209295</v>
      </c>
      <c r="N168" s="4">
        <f t="shared" si="18"/>
        <v>-0.23375439896277089</v>
      </c>
      <c r="O168" s="4">
        <f t="shared" si="19"/>
        <v>0.17531579922207816</v>
      </c>
      <c r="P168" s="4">
        <f t="shared" si="21"/>
        <v>2.7563539544360069</v>
      </c>
      <c r="Q168">
        <v>-0.71399999999999997</v>
      </c>
      <c r="R168">
        <v>1.0798000000000001</v>
      </c>
      <c r="S168">
        <f t="shared" si="20"/>
        <v>2.6718646001711477E-2</v>
      </c>
    </row>
    <row r="169" spans="1:19" x14ac:dyDescent="0.3">
      <c r="A169">
        <v>200403</v>
      </c>
      <c r="B169">
        <v>-3.33</v>
      </c>
      <c r="C169">
        <v>0.84</v>
      </c>
      <c r="D169">
        <v>-0.32</v>
      </c>
      <c r="E169">
        <v>1.39</v>
      </c>
      <c r="F169">
        <v>-2.1800000000000002</v>
      </c>
      <c r="G169">
        <v>0.09</v>
      </c>
      <c r="H169">
        <v>-2.39</v>
      </c>
      <c r="J169" s="5">
        <v>42794</v>
      </c>
      <c r="K169" s="6">
        <f t="shared" si="15"/>
        <v>2.8928906803722199</v>
      </c>
      <c r="L169" s="6">
        <f t="shared" si="16"/>
        <v>3.0629727685325264E-2</v>
      </c>
      <c r="M169" s="4">
        <f t="shared" si="17"/>
        <v>-2.6545763993948563</v>
      </c>
      <c r="N169" s="4">
        <f t="shared" si="18"/>
        <v>2.7873052193645989</v>
      </c>
      <c r="O169" s="4">
        <f t="shared" si="19"/>
        <v>-1.3477080181543117</v>
      </c>
      <c r="P169" s="4">
        <f t="shared" si="21"/>
        <v>-1.6335854765506808</v>
      </c>
      <c r="Q169">
        <v>-0.85699999999999998</v>
      </c>
      <c r="R169">
        <v>1.0576000000000001</v>
      </c>
      <c r="S169">
        <f t="shared" si="20"/>
        <v>-2.0559362844971285E-2</v>
      </c>
    </row>
    <row r="170" spans="1:19" x14ac:dyDescent="0.3">
      <c r="A170">
        <v>200404</v>
      </c>
      <c r="B170">
        <v>-1.23</v>
      </c>
      <c r="C170">
        <v>-0.75</v>
      </c>
      <c r="D170">
        <v>0.85</v>
      </c>
      <c r="E170">
        <v>0.64</v>
      </c>
      <c r="F170">
        <v>-0.26</v>
      </c>
      <c r="G170">
        <v>0.08</v>
      </c>
      <c r="H170">
        <v>-1.77</v>
      </c>
      <c r="J170" s="5">
        <v>42825</v>
      </c>
      <c r="K170" s="6">
        <f t="shared" si="15"/>
        <v>3.6262776351730275</v>
      </c>
      <c r="L170" s="6">
        <f t="shared" si="16"/>
        <v>-1.2708674427337592</v>
      </c>
      <c r="M170" s="4">
        <f t="shared" si="17"/>
        <v>0.49643259481787466</v>
      </c>
      <c r="N170" s="4">
        <f t="shared" si="18"/>
        <v>0.11914382275628992</v>
      </c>
      <c r="O170" s="4">
        <f t="shared" si="19"/>
        <v>-0.27800225309800985</v>
      </c>
      <c r="P170" s="4">
        <f t="shared" si="21"/>
        <v>1.9857303792714987E-2</v>
      </c>
      <c r="Q170">
        <v>-0.81599999999999995</v>
      </c>
      <c r="R170">
        <v>1.0651999999999999</v>
      </c>
      <c r="S170">
        <f t="shared" si="20"/>
        <v>7.1860816944022687E-3</v>
      </c>
    </row>
    <row r="171" spans="1:19" x14ac:dyDescent="0.3">
      <c r="A171">
        <v>200405</v>
      </c>
      <c r="B171">
        <v>1.42</v>
      </c>
      <c r="C171">
        <v>-1.06</v>
      </c>
      <c r="D171">
        <v>-0.89</v>
      </c>
      <c r="E171">
        <v>0.83</v>
      </c>
      <c r="F171">
        <v>-1.28</v>
      </c>
      <c r="G171">
        <v>0.06</v>
      </c>
      <c r="H171">
        <v>-0.19</v>
      </c>
      <c r="J171" s="5">
        <v>42853</v>
      </c>
      <c r="K171" s="6">
        <f t="shared" si="15"/>
        <v>2.4123057579510441</v>
      </c>
      <c r="L171" s="6">
        <f t="shared" si="16"/>
        <v>1.8967306103717299</v>
      </c>
      <c r="M171" s="4">
        <f t="shared" si="17"/>
        <v>-1.2710050481872417</v>
      </c>
      <c r="N171" s="4">
        <f t="shared" si="18"/>
        <v>1.5643139054612207</v>
      </c>
      <c r="O171" s="4">
        <f t="shared" si="19"/>
        <v>-1.2905589720055071</v>
      </c>
      <c r="P171" s="4">
        <f t="shared" si="21"/>
        <v>0.23464708581918309</v>
      </c>
      <c r="Q171">
        <v>-0.85499999999999998</v>
      </c>
      <c r="R171">
        <v>1.0894999999999999</v>
      </c>
      <c r="S171">
        <f t="shared" si="20"/>
        <v>2.2812617348854758E-2</v>
      </c>
    </row>
    <row r="172" spans="1:19" x14ac:dyDescent="0.3">
      <c r="A172">
        <v>200406</v>
      </c>
      <c r="B172">
        <v>1.98</v>
      </c>
      <c r="C172">
        <v>1.23</v>
      </c>
      <c r="D172">
        <v>0.99</v>
      </c>
      <c r="E172">
        <v>0.85</v>
      </c>
      <c r="F172">
        <v>1.04</v>
      </c>
      <c r="G172">
        <v>0.08</v>
      </c>
      <c r="H172">
        <v>2.08</v>
      </c>
      <c r="J172" s="5">
        <v>42886</v>
      </c>
      <c r="K172" s="6">
        <f t="shared" si="15"/>
        <v>1.89840897793888</v>
      </c>
      <c r="L172" s="6">
        <f t="shared" si="16"/>
        <v>1.9379224475275698E-2</v>
      </c>
      <c r="M172" s="4">
        <f t="shared" si="17"/>
        <v>-0.76547936677339012</v>
      </c>
      <c r="N172" s="4">
        <f t="shared" si="18"/>
        <v>1.1724430807541797</v>
      </c>
      <c r="O172" s="4">
        <f t="shared" si="19"/>
        <v>-0.66858324439701156</v>
      </c>
      <c r="P172" s="4">
        <f t="shared" si="21"/>
        <v>-0.42634293845606536</v>
      </c>
      <c r="Q172">
        <v>-0.83899999999999997</v>
      </c>
      <c r="R172">
        <v>1.1244000000000001</v>
      </c>
      <c r="S172">
        <f t="shared" si="20"/>
        <v>3.2033042680128743E-2</v>
      </c>
    </row>
    <row r="173" spans="1:19" x14ac:dyDescent="0.3">
      <c r="A173">
        <v>200407</v>
      </c>
      <c r="B173">
        <v>-3.12</v>
      </c>
      <c r="C173">
        <v>0.13</v>
      </c>
      <c r="D173">
        <v>0.45</v>
      </c>
      <c r="E173">
        <v>1.56</v>
      </c>
      <c r="F173">
        <v>-1.1399999999999999</v>
      </c>
      <c r="G173">
        <v>0.1</v>
      </c>
      <c r="H173">
        <v>0.36</v>
      </c>
      <c r="J173" s="5">
        <v>42916</v>
      </c>
      <c r="K173" s="6">
        <f t="shared" si="15"/>
        <v>-2.124183052830714</v>
      </c>
      <c r="L173" s="6">
        <f t="shared" si="16"/>
        <v>1.5941956940311572</v>
      </c>
      <c r="M173" s="4">
        <f t="shared" si="17"/>
        <v>1.9976649746192892</v>
      </c>
      <c r="N173" s="4">
        <f t="shared" si="18"/>
        <v>-1.977983546297917</v>
      </c>
      <c r="O173" s="4">
        <f t="shared" si="19"/>
        <v>0.7774164186942063</v>
      </c>
      <c r="P173" s="4">
        <f t="shared" si="21"/>
        <v>1.525310694906354</v>
      </c>
      <c r="Q173">
        <v>-0.82</v>
      </c>
      <c r="R173">
        <v>1.1426000000000001</v>
      </c>
      <c r="S173">
        <f t="shared" si="20"/>
        <v>1.6186410530060424E-2</v>
      </c>
    </row>
    <row r="174" spans="1:19" x14ac:dyDescent="0.3">
      <c r="A174">
        <v>200408</v>
      </c>
      <c r="B174">
        <v>0.37</v>
      </c>
      <c r="C174">
        <v>-0.41</v>
      </c>
      <c r="D174">
        <v>1.32</v>
      </c>
      <c r="E174">
        <v>-0.31</v>
      </c>
      <c r="F174">
        <v>-0.48</v>
      </c>
      <c r="G174">
        <v>0.11</v>
      </c>
      <c r="H174">
        <v>1.26</v>
      </c>
      <c r="J174" s="5">
        <v>42947</v>
      </c>
      <c r="K174" s="6">
        <f t="shared" si="15"/>
        <v>-1.0582810659985837E-2</v>
      </c>
      <c r="L174" s="6">
        <f t="shared" si="16"/>
        <v>0.65611214321905087</v>
      </c>
      <c r="M174" s="4">
        <f t="shared" si="17"/>
        <v>2.4990153690255026</v>
      </c>
      <c r="N174" s="4">
        <f t="shared" si="18"/>
        <v>-2.1613105894274618</v>
      </c>
      <c r="O174" s="4">
        <f t="shared" si="19"/>
        <v>0.32805607160952543</v>
      </c>
      <c r="P174" s="4">
        <f t="shared" si="21"/>
        <v>1.8911467657490288</v>
      </c>
      <c r="Q174">
        <v>-0.66800000000000004</v>
      </c>
      <c r="R174">
        <v>1.1841999999999999</v>
      </c>
      <c r="S174">
        <f t="shared" si="20"/>
        <v>3.6408191843164683E-2</v>
      </c>
    </row>
    <row r="175" spans="1:19" x14ac:dyDescent="0.3">
      <c r="A175">
        <v>200409</v>
      </c>
      <c r="B175">
        <v>4.01</v>
      </c>
      <c r="C175">
        <v>0.21</v>
      </c>
      <c r="D175">
        <v>0.74</v>
      </c>
      <c r="E175">
        <v>-0.65</v>
      </c>
      <c r="F175">
        <v>-0.35</v>
      </c>
      <c r="G175">
        <v>0.11</v>
      </c>
      <c r="H175">
        <v>2.39</v>
      </c>
      <c r="J175" s="5">
        <v>42978</v>
      </c>
      <c r="K175" s="6">
        <f t="shared" si="15"/>
        <v>-0.31718657051171506</v>
      </c>
      <c r="L175" s="6">
        <f t="shared" si="16"/>
        <v>2.9828715365239292E-2</v>
      </c>
      <c r="M175" s="4">
        <f t="shared" si="17"/>
        <v>-0.7059462636439966</v>
      </c>
      <c r="N175" s="4">
        <f t="shared" si="18"/>
        <v>1.4417212426532324</v>
      </c>
      <c r="O175" s="4">
        <f t="shared" si="19"/>
        <v>-2.9828715365239292E-2</v>
      </c>
      <c r="P175" s="4">
        <f t="shared" si="21"/>
        <v>1.3224063811922755</v>
      </c>
      <c r="Q175">
        <v>-0.70899999999999996</v>
      </c>
      <c r="R175">
        <v>1.1910000000000001</v>
      </c>
      <c r="S175">
        <f t="shared" si="20"/>
        <v>5.7422732646512653E-3</v>
      </c>
    </row>
    <row r="176" spans="1:19" x14ac:dyDescent="0.3">
      <c r="A176">
        <v>200410</v>
      </c>
      <c r="B176">
        <v>4.0599999999999996</v>
      </c>
      <c r="C176">
        <v>0.2</v>
      </c>
      <c r="D176">
        <v>0.69</v>
      </c>
      <c r="E176">
        <v>0.15</v>
      </c>
      <c r="F176">
        <v>0.48</v>
      </c>
      <c r="G176">
        <v>0.11</v>
      </c>
      <c r="H176">
        <v>0</v>
      </c>
      <c r="J176" s="5">
        <v>43007</v>
      </c>
      <c r="K176" s="6">
        <f t="shared" si="15"/>
        <v>3.7037031244564913</v>
      </c>
      <c r="L176" s="6">
        <f t="shared" si="16"/>
        <v>-0.16130015236160489</v>
      </c>
      <c r="M176" s="4">
        <f t="shared" si="17"/>
        <v>0.47381919756221436</v>
      </c>
      <c r="N176" s="4">
        <f t="shared" si="18"/>
        <v>0.33268156424581008</v>
      </c>
      <c r="O176" s="4">
        <f t="shared" si="19"/>
        <v>-0.50406297613001527</v>
      </c>
      <c r="P176" s="4">
        <f t="shared" si="21"/>
        <v>0.63511934992381924</v>
      </c>
      <c r="Q176">
        <v>-0.69899999999999995</v>
      </c>
      <c r="R176">
        <v>1.1814</v>
      </c>
      <c r="S176">
        <f t="shared" si="20"/>
        <v>-8.0604534005038753E-3</v>
      </c>
    </row>
    <row r="177" spans="1:19" x14ac:dyDescent="0.3">
      <c r="A177">
        <v>200411</v>
      </c>
      <c r="B177">
        <v>6.86</v>
      </c>
      <c r="C177">
        <v>2.15</v>
      </c>
      <c r="D177">
        <v>1.73</v>
      </c>
      <c r="E177">
        <v>-1.44</v>
      </c>
      <c r="F177">
        <v>0.85</v>
      </c>
      <c r="G177">
        <v>0.15</v>
      </c>
      <c r="H177">
        <v>0.89</v>
      </c>
      <c r="J177" s="5">
        <v>43039</v>
      </c>
      <c r="K177" s="6">
        <f t="shared" si="15"/>
        <v>2.1898168152272683</v>
      </c>
      <c r="L177" s="6">
        <f t="shared" si="16"/>
        <v>-1.0042812982998452</v>
      </c>
      <c r="M177" s="4">
        <f t="shared" si="17"/>
        <v>-0.13187532199896959</v>
      </c>
      <c r="N177" s="4">
        <f t="shared" si="18"/>
        <v>0.10144255538382277</v>
      </c>
      <c r="O177" s="4">
        <f t="shared" si="19"/>
        <v>-0.32461617722823283</v>
      </c>
      <c r="P177" s="4">
        <f t="shared" si="21"/>
        <v>1.2375991756826377</v>
      </c>
      <c r="Q177">
        <v>-0.78700000000000003</v>
      </c>
      <c r="R177">
        <v>1.1646000000000001</v>
      </c>
      <c r="S177">
        <f t="shared" si="20"/>
        <v>-1.4220416455053231E-2</v>
      </c>
    </row>
    <row r="178" spans="1:19" x14ac:dyDescent="0.3">
      <c r="A178">
        <v>200412</v>
      </c>
      <c r="B178">
        <v>4.25</v>
      </c>
      <c r="C178">
        <v>0.6</v>
      </c>
      <c r="D178">
        <v>0.72</v>
      </c>
      <c r="E178">
        <v>0.73</v>
      </c>
      <c r="F178">
        <v>0.47</v>
      </c>
      <c r="G178">
        <v>0.16</v>
      </c>
      <c r="H178">
        <v>0.87</v>
      </c>
      <c r="J178" s="5">
        <v>43069</v>
      </c>
      <c r="K178" s="6">
        <f t="shared" si="15"/>
        <v>-2.0341709152673344</v>
      </c>
      <c r="L178" s="6">
        <f t="shared" si="16"/>
        <v>-0.28371471774193552</v>
      </c>
      <c r="M178" s="4">
        <f t="shared" si="17"/>
        <v>1.2620413306451614</v>
      </c>
      <c r="N178" s="4">
        <f t="shared" si="18"/>
        <v>-0.37176411290322586</v>
      </c>
      <c r="O178" s="4">
        <f t="shared" si="19"/>
        <v>0.88049395161290334</v>
      </c>
      <c r="P178" s="4">
        <f t="shared" si="21"/>
        <v>0.29349798387096776</v>
      </c>
      <c r="Q178">
        <v>-0.95299999999999996</v>
      </c>
      <c r="R178">
        <v>1.1903999999999999</v>
      </c>
      <c r="S178">
        <f t="shared" si="20"/>
        <v>2.2153529108706715E-2</v>
      </c>
    </row>
    <row r="179" spans="1:19" x14ac:dyDescent="0.3">
      <c r="A179">
        <v>200501</v>
      </c>
      <c r="B179">
        <v>-1.25</v>
      </c>
      <c r="C179">
        <v>3.72</v>
      </c>
      <c r="D179">
        <v>1.57</v>
      </c>
      <c r="E179">
        <v>0.15</v>
      </c>
      <c r="F179">
        <v>-0.55000000000000004</v>
      </c>
      <c r="G179">
        <v>0.16</v>
      </c>
      <c r="H179">
        <v>0.87</v>
      </c>
      <c r="J179" s="5">
        <v>43098</v>
      </c>
      <c r="K179" s="6">
        <f t="shared" si="15"/>
        <v>0.78388811739401132</v>
      </c>
      <c r="L179" s="6">
        <f t="shared" si="16"/>
        <v>1.5270437317784256</v>
      </c>
      <c r="M179" s="4">
        <f t="shared" si="17"/>
        <v>0.49579341940857974</v>
      </c>
      <c r="N179" s="4">
        <f t="shared" si="18"/>
        <v>-0.73377426072469798</v>
      </c>
      <c r="O179" s="4">
        <f t="shared" si="19"/>
        <v>0.32722365680966264</v>
      </c>
      <c r="P179" s="4">
        <f t="shared" si="21"/>
        <v>-1.4080533111203664</v>
      </c>
      <c r="Q179">
        <v>-0.68799999999999994</v>
      </c>
      <c r="R179">
        <v>1.2004999999999999</v>
      </c>
      <c r="S179">
        <f t="shared" si="20"/>
        <v>8.4845430107527431E-3</v>
      </c>
    </row>
    <row r="180" spans="1:19" x14ac:dyDescent="0.3">
      <c r="A180">
        <v>200502</v>
      </c>
      <c r="B180">
        <v>4.59</v>
      </c>
      <c r="C180">
        <v>0.95</v>
      </c>
      <c r="D180">
        <v>1.04</v>
      </c>
      <c r="E180">
        <v>0.33</v>
      </c>
      <c r="F180">
        <v>0.34</v>
      </c>
      <c r="G180">
        <v>0.16</v>
      </c>
      <c r="H180">
        <v>1.58</v>
      </c>
      <c r="J180" s="5">
        <v>43131</v>
      </c>
      <c r="K180" s="6">
        <f t="shared" si="15"/>
        <v>2.2063908644901407</v>
      </c>
      <c r="L180" s="6">
        <f t="shared" si="16"/>
        <v>0.6189141292089575</v>
      </c>
      <c r="M180" s="4">
        <f t="shared" si="17"/>
        <v>1.0637586595778958</v>
      </c>
      <c r="N180" s="4">
        <f t="shared" si="18"/>
        <v>-2.0694941195424517</v>
      </c>
      <c r="O180" s="4">
        <f t="shared" si="19"/>
        <v>0.88001852746898646</v>
      </c>
      <c r="P180" s="4">
        <f t="shared" si="21"/>
        <v>2.8624778475914283</v>
      </c>
      <c r="Q180">
        <v>-0.65</v>
      </c>
      <c r="R180">
        <v>1.2414000000000001</v>
      </c>
      <c r="S180">
        <f t="shared" si="20"/>
        <v>3.4069137859225496E-2</v>
      </c>
    </row>
    <row r="181" spans="1:19" x14ac:dyDescent="0.3">
      <c r="A181">
        <v>200503</v>
      </c>
      <c r="B181">
        <v>-2.57</v>
      </c>
      <c r="C181">
        <v>-0.12</v>
      </c>
      <c r="D181">
        <v>0.24</v>
      </c>
      <c r="E181">
        <v>0.23</v>
      </c>
      <c r="F181">
        <v>0.17</v>
      </c>
      <c r="G181">
        <v>0.21</v>
      </c>
      <c r="H181">
        <v>0.31</v>
      </c>
      <c r="J181" s="5">
        <v>43159</v>
      </c>
      <c r="K181" s="6">
        <f t="shared" si="15"/>
        <v>-3.476947656718659</v>
      </c>
      <c r="L181" s="6">
        <f t="shared" si="16"/>
        <v>1.1198458258159751</v>
      </c>
      <c r="M181" s="4">
        <f t="shared" si="17"/>
        <v>-0.7635312448745285</v>
      </c>
      <c r="N181" s="4">
        <f t="shared" si="18"/>
        <v>0.19342791536821388</v>
      </c>
      <c r="O181" s="4">
        <f t="shared" si="19"/>
        <v>-0.25451041495817617</v>
      </c>
      <c r="P181" s="4">
        <f t="shared" si="21"/>
        <v>0.63118582909627685</v>
      </c>
      <c r="Q181">
        <v>-0.66100000000000003</v>
      </c>
      <c r="R181">
        <v>1.2194</v>
      </c>
      <c r="S181">
        <f t="shared" si="20"/>
        <v>-1.772192685677465E-2</v>
      </c>
    </row>
    <row r="182" spans="1:19" x14ac:dyDescent="0.3">
      <c r="A182">
        <v>200504</v>
      </c>
      <c r="B182">
        <v>-2.59</v>
      </c>
      <c r="C182">
        <v>0.53</v>
      </c>
      <c r="D182">
        <v>-0.11</v>
      </c>
      <c r="E182">
        <v>-0.3</v>
      </c>
      <c r="F182">
        <v>0.6</v>
      </c>
      <c r="G182">
        <v>0.21</v>
      </c>
      <c r="H182">
        <v>0.87</v>
      </c>
      <c r="J182" s="5">
        <v>43189</v>
      </c>
      <c r="K182" s="6">
        <f t="shared" si="15"/>
        <v>-1.5842999248598248</v>
      </c>
      <c r="L182" s="6">
        <f t="shared" si="16"/>
        <v>-0.55409282700421947</v>
      </c>
      <c r="M182" s="4">
        <f t="shared" si="17"/>
        <v>-0.93008438818565398</v>
      </c>
      <c r="N182" s="4">
        <f t="shared" si="18"/>
        <v>1.4347046413502109</v>
      </c>
      <c r="O182" s="4">
        <f t="shared" si="19"/>
        <v>-1.3555485232067512</v>
      </c>
      <c r="P182" s="4">
        <f t="shared" si="21"/>
        <v>-0.42546413502109709</v>
      </c>
      <c r="Q182">
        <v>-0.754</v>
      </c>
      <c r="R182">
        <v>1.2323999999999999</v>
      </c>
      <c r="S182">
        <f t="shared" si="20"/>
        <v>1.0660980810234477E-2</v>
      </c>
    </row>
    <row r="183" spans="1:19" x14ac:dyDescent="0.3">
      <c r="A183">
        <v>200505</v>
      </c>
      <c r="B183">
        <v>-0.03</v>
      </c>
      <c r="C183">
        <v>-1.49</v>
      </c>
      <c r="D183">
        <v>1.18</v>
      </c>
      <c r="E183">
        <v>-0.53</v>
      </c>
      <c r="F183">
        <v>0.33</v>
      </c>
      <c r="G183">
        <v>0.24</v>
      </c>
      <c r="H183">
        <v>1.62</v>
      </c>
      <c r="J183" s="5">
        <v>43220</v>
      </c>
      <c r="K183" s="6">
        <f t="shared" si="15"/>
        <v>4.4863938645380426</v>
      </c>
      <c r="L183" s="6">
        <f t="shared" si="16"/>
        <v>-0.71425732737208136</v>
      </c>
      <c r="M183" s="4">
        <f t="shared" si="17"/>
        <v>1.5407550919026329</v>
      </c>
      <c r="N183" s="4">
        <f t="shared" si="18"/>
        <v>-0.5305911574764034</v>
      </c>
      <c r="O183" s="4">
        <f t="shared" si="19"/>
        <v>0.4387580725285643</v>
      </c>
      <c r="P183" s="4">
        <f t="shared" si="21"/>
        <v>0.71425732737208136</v>
      </c>
      <c r="Q183">
        <v>-0.65</v>
      </c>
      <c r="R183">
        <v>1.2078</v>
      </c>
      <c r="S183">
        <f t="shared" si="20"/>
        <v>-1.9961051606621205E-2</v>
      </c>
    </row>
    <row r="184" spans="1:19" x14ac:dyDescent="0.3">
      <c r="A184">
        <v>200506</v>
      </c>
      <c r="B184">
        <v>1.53</v>
      </c>
      <c r="C184">
        <v>1.06</v>
      </c>
      <c r="D184">
        <v>1.64</v>
      </c>
      <c r="E184">
        <v>0.73</v>
      </c>
      <c r="F184">
        <v>-0.09</v>
      </c>
      <c r="G184">
        <v>0.23</v>
      </c>
      <c r="H184">
        <v>3.27</v>
      </c>
      <c r="J184" s="5">
        <v>43251</v>
      </c>
      <c r="K184" s="6">
        <f t="shared" si="15"/>
        <v>0.67071534426988533</v>
      </c>
      <c r="L184" s="6">
        <f t="shared" si="16"/>
        <v>1.1052304797742238</v>
      </c>
      <c r="M184" s="4">
        <f t="shared" si="17"/>
        <v>-5.1439698965192857</v>
      </c>
      <c r="N184" s="4">
        <f t="shared" si="18"/>
        <v>2.4583631232361238</v>
      </c>
      <c r="O184" s="4">
        <f t="shared" si="19"/>
        <v>-2.4996801505174036</v>
      </c>
      <c r="P184" s="4">
        <f t="shared" si="21"/>
        <v>2.06585136406397</v>
      </c>
      <c r="Q184">
        <v>-0.58899999999999997</v>
      </c>
      <c r="R184">
        <v>1.1693</v>
      </c>
      <c r="S184">
        <f t="shared" si="20"/>
        <v>-3.1876138433515444E-2</v>
      </c>
    </row>
    <row r="185" spans="1:19" x14ac:dyDescent="0.3">
      <c r="A185">
        <v>200507</v>
      </c>
      <c r="B185">
        <v>3.82</v>
      </c>
      <c r="C185">
        <v>0.55000000000000004</v>
      </c>
      <c r="D185">
        <v>1.34</v>
      </c>
      <c r="E185">
        <v>-0.17</v>
      </c>
      <c r="F185">
        <v>-0.5</v>
      </c>
      <c r="G185">
        <v>0.24</v>
      </c>
      <c r="H185">
        <v>1.1399999999999999</v>
      </c>
      <c r="J185" s="5">
        <v>43280</v>
      </c>
      <c r="K185" s="6">
        <f t="shared" si="15"/>
        <v>-0.65516144780593055</v>
      </c>
      <c r="L185" s="6">
        <f t="shared" si="16"/>
        <v>-0.90069325573433745</v>
      </c>
      <c r="M185" s="4">
        <f t="shared" si="17"/>
        <v>-1.5612016432728517</v>
      </c>
      <c r="N185" s="4">
        <f t="shared" si="18"/>
        <v>-0.16012324546388221</v>
      </c>
      <c r="O185" s="4">
        <f t="shared" si="19"/>
        <v>-0.57043906196508032</v>
      </c>
      <c r="P185" s="4">
        <f t="shared" si="21"/>
        <v>-0.66050838753851415</v>
      </c>
      <c r="Q185">
        <v>-0.58799999999999997</v>
      </c>
      <c r="R185">
        <v>1.1684000000000001</v>
      </c>
      <c r="S185">
        <f t="shared" si="20"/>
        <v>-7.6969126828008161E-4</v>
      </c>
    </row>
    <row r="186" spans="1:19" x14ac:dyDescent="0.3">
      <c r="A186">
        <v>200508</v>
      </c>
      <c r="B186">
        <v>2.02</v>
      </c>
      <c r="C186">
        <v>2.14</v>
      </c>
      <c r="D186">
        <v>-0.11</v>
      </c>
      <c r="E186">
        <v>0.17</v>
      </c>
      <c r="F186">
        <v>0.57999999999999996</v>
      </c>
      <c r="G186">
        <v>0.3</v>
      </c>
      <c r="H186">
        <v>2.68</v>
      </c>
      <c r="J186" s="5">
        <v>43312</v>
      </c>
      <c r="K186" s="6">
        <f t="shared" si="15"/>
        <v>2.8367472086595211</v>
      </c>
      <c r="L186" s="6">
        <f t="shared" si="16"/>
        <v>-2.0487725600889575</v>
      </c>
      <c r="M186" s="4">
        <f t="shared" si="17"/>
        <v>0.39976049952955273</v>
      </c>
      <c r="N186" s="4">
        <f t="shared" si="18"/>
        <v>-0.52968266187665736</v>
      </c>
      <c r="O186" s="4">
        <f t="shared" si="19"/>
        <v>-0.85948507398853835</v>
      </c>
      <c r="P186" s="4">
        <f t="shared" si="21"/>
        <v>-0.55966469934137386</v>
      </c>
      <c r="Q186">
        <v>-0.57699999999999996</v>
      </c>
      <c r="R186">
        <v>1.1691</v>
      </c>
      <c r="S186">
        <f t="shared" si="20"/>
        <v>5.9910989387179647E-4</v>
      </c>
    </row>
    <row r="187" spans="1:19" x14ac:dyDescent="0.3">
      <c r="A187">
        <v>200509</v>
      </c>
      <c r="B187">
        <v>1.48</v>
      </c>
      <c r="C187">
        <v>-0.16</v>
      </c>
      <c r="D187">
        <v>0.12</v>
      </c>
      <c r="E187">
        <v>0.52</v>
      </c>
      <c r="F187">
        <v>-1.03</v>
      </c>
      <c r="G187">
        <v>0.28999999999999998</v>
      </c>
      <c r="H187">
        <v>2.93</v>
      </c>
      <c r="J187" s="5">
        <v>43343</v>
      </c>
      <c r="K187" s="6">
        <f t="shared" si="15"/>
        <v>-1.6945672404143783</v>
      </c>
      <c r="L187" s="6">
        <f t="shared" si="16"/>
        <v>0.86659713842440966</v>
      </c>
      <c r="M187" s="4">
        <f t="shared" si="17"/>
        <v>-2.6703283916566112</v>
      </c>
      <c r="N187" s="4">
        <f t="shared" si="18"/>
        <v>0.88675056024823307</v>
      </c>
      <c r="O187" s="4">
        <f t="shared" si="19"/>
        <v>-1.7533476986726428</v>
      </c>
      <c r="P187" s="4">
        <f t="shared" si="21"/>
        <v>2.4385640406826412</v>
      </c>
      <c r="Q187">
        <v>-0.57699999999999996</v>
      </c>
      <c r="R187">
        <v>1.1601999999999999</v>
      </c>
      <c r="S187">
        <f t="shared" si="20"/>
        <v>-7.6126935249337668E-3</v>
      </c>
    </row>
    <row r="188" spans="1:19" x14ac:dyDescent="0.3">
      <c r="A188">
        <v>200510</v>
      </c>
      <c r="B188">
        <v>-3.41</v>
      </c>
      <c r="C188">
        <v>-1.1399999999999999</v>
      </c>
      <c r="D188">
        <v>0.41</v>
      </c>
      <c r="E188">
        <v>-1.05</v>
      </c>
      <c r="F188">
        <v>1.1200000000000001</v>
      </c>
      <c r="G188">
        <v>0.27</v>
      </c>
      <c r="H188">
        <v>-1.75</v>
      </c>
      <c r="J188" s="5">
        <v>43371</v>
      </c>
      <c r="K188" s="6">
        <f t="shared" si="15"/>
        <v>0.30014268580032116</v>
      </c>
      <c r="L188" s="6">
        <f t="shared" si="16"/>
        <v>-1.3497673216132364</v>
      </c>
      <c r="M188" s="4">
        <f t="shared" si="17"/>
        <v>2.3395966907962764</v>
      </c>
      <c r="N188" s="4">
        <f t="shared" si="18"/>
        <v>-0.52990865218890026</v>
      </c>
      <c r="O188" s="4">
        <f t="shared" si="19"/>
        <v>0.63988969320923805</v>
      </c>
      <c r="P188" s="4">
        <f t="shared" si="21"/>
        <v>1.5897259565667008</v>
      </c>
      <c r="Q188">
        <v>-0.55700000000000005</v>
      </c>
      <c r="R188">
        <v>1.1604000000000001</v>
      </c>
      <c r="S188">
        <f t="shared" si="20"/>
        <v>1.7238407171205061E-4</v>
      </c>
    </row>
    <row r="189" spans="1:19" x14ac:dyDescent="0.3">
      <c r="A189">
        <v>200511</v>
      </c>
      <c r="B189">
        <v>1.29</v>
      </c>
      <c r="C189">
        <v>-0.2</v>
      </c>
      <c r="D189">
        <v>0.56000000000000005</v>
      </c>
      <c r="E189">
        <v>-0.03</v>
      </c>
      <c r="F189">
        <v>-1.5</v>
      </c>
      <c r="G189">
        <v>0.31</v>
      </c>
      <c r="H189">
        <v>1.36</v>
      </c>
      <c r="J189" s="5">
        <v>43404</v>
      </c>
      <c r="K189" s="6">
        <f t="shared" si="15"/>
        <v>-5.9384306349421587</v>
      </c>
      <c r="L189" s="6">
        <f t="shared" si="16"/>
        <v>-1.5387199434229137</v>
      </c>
      <c r="M189" s="4">
        <f t="shared" si="17"/>
        <v>1.5079455445544556</v>
      </c>
      <c r="N189" s="4">
        <f t="shared" si="18"/>
        <v>-0.36929278642149932</v>
      </c>
      <c r="O189" s="4">
        <f t="shared" si="19"/>
        <v>1.1796852899575672</v>
      </c>
      <c r="P189" s="4">
        <f t="shared" si="21"/>
        <v>-1.5079455445544556</v>
      </c>
      <c r="Q189">
        <v>-0.82099999999999995</v>
      </c>
      <c r="R189">
        <v>1.1312</v>
      </c>
      <c r="S189">
        <f t="shared" si="20"/>
        <v>-2.5163736642537127E-2</v>
      </c>
    </row>
    <row r="190" spans="1:19" x14ac:dyDescent="0.3">
      <c r="A190">
        <v>200512</v>
      </c>
      <c r="B190">
        <v>3.8</v>
      </c>
      <c r="C190">
        <v>0.62</v>
      </c>
      <c r="D190">
        <v>0.44</v>
      </c>
      <c r="E190">
        <v>-0.64</v>
      </c>
      <c r="F190">
        <v>-0.4</v>
      </c>
      <c r="G190">
        <v>0.32</v>
      </c>
      <c r="H190">
        <v>1.49</v>
      </c>
      <c r="J190" s="5">
        <v>43434</v>
      </c>
      <c r="K190" s="6">
        <f t="shared" si="15"/>
        <v>-1.1062026191654777</v>
      </c>
      <c r="L190" s="6">
        <f t="shared" si="16"/>
        <v>-1.1095095873464702</v>
      </c>
      <c r="M190" s="4">
        <f t="shared" si="17"/>
        <v>-0.56974816647521431</v>
      </c>
      <c r="N190" s="4">
        <f t="shared" si="18"/>
        <v>0.77965538570292492</v>
      </c>
      <c r="O190" s="4">
        <f t="shared" si="19"/>
        <v>0.45979676592736596</v>
      </c>
      <c r="P190" s="4">
        <f t="shared" si="21"/>
        <v>-2.0890766104091192</v>
      </c>
      <c r="Q190">
        <v>-0.71899999999999997</v>
      </c>
      <c r="R190">
        <v>1.1316999999999999</v>
      </c>
      <c r="S190">
        <f t="shared" si="20"/>
        <v>4.4200848656283931E-4</v>
      </c>
    </row>
    <row r="191" spans="1:19" x14ac:dyDescent="0.3">
      <c r="A191">
        <v>200601</v>
      </c>
      <c r="B191">
        <v>6.38</v>
      </c>
      <c r="C191">
        <v>2.34</v>
      </c>
      <c r="D191">
        <v>1.74</v>
      </c>
      <c r="E191">
        <v>-0.66</v>
      </c>
      <c r="F191">
        <v>-2.1800000000000002</v>
      </c>
      <c r="G191">
        <v>0.35</v>
      </c>
      <c r="H191">
        <v>4.2300000000000004</v>
      </c>
      <c r="J191" s="5">
        <v>43465</v>
      </c>
      <c r="K191" s="6">
        <f t="shared" si="15"/>
        <v>-5.5914491518843379</v>
      </c>
      <c r="L191" s="6">
        <f t="shared" si="16"/>
        <v>-0.51319787215487922</v>
      </c>
      <c r="M191" s="4">
        <f t="shared" si="17"/>
        <v>0.93757303566756767</v>
      </c>
      <c r="N191" s="4">
        <f t="shared" si="18"/>
        <v>0.69084328943926043</v>
      </c>
      <c r="O191" s="4">
        <f t="shared" si="19"/>
        <v>0</v>
      </c>
      <c r="P191" s="4">
        <f t="shared" si="21"/>
        <v>3.1976175111188629</v>
      </c>
      <c r="Q191">
        <v>-0.76700000000000002</v>
      </c>
      <c r="R191">
        <v>1.1467000000000001</v>
      </c>
      <c r="S191">
        <f t="shared" si="20"/>
        <v>1.3254396041353811E-2</v>
      </c>
    </row>
    <row r="192" spans="1:19" x14ac:dyDescent="0.3">
      <c r="A192">
        <v>200602</v>
      </c>
      <c r="B192">
        <v>0.55000000000000004</v>
      </c>
      <c r="C192">
        <v>2.15</v>
      </c>
      <c r="D192">
        <v>1.45</v>
      </c>
      <c r="E192">
        <v>-1.3</v>
      </c>
      <c r="F192">
        <v>-1.04</v>
      </c>
      <c r="G192">
        <v>0.34</v>
      </c>
      <c r="H192">
        <v>0.75</v>
      </c>
      <c r="J192" s="5">
        <v>43496</v>
      </c>
      <c r="K192" s="6">
        <f t="shared" si="15"/>
        <v>6.6396308932349335</v>
      </c>
      <c r="L192" s="6">
        <f t="shared" si="16"/>
        <v>0.55091282320055912</v>
      </c>
      <c r="M192" s="4">
        <f t="shared" si="17"/>
        <v>-0.9515766946191474</v>
      </c>
      <c r="N192" s="4">
        <f t="shared" si="18"/>
        <v>1.6427218728162123</v>
      </c>
      <c r="O192" s="4">
        <f t="shared" si="19"/>
        <v>-1.2821243885394829</v>
      </c>
      <c r="P192" s="4">
        <f t="shared" si="21"/>
        <v>-2.2337010831586301</v>
      </c>
      <c r="Q192">
        <v>-0.52600000000000002</v>
      </c>
      <c r="R192">
        <v>1.1448</v>
      </c>
      <c r="S192">
        <f t="shared" si="20"/>
        <v>-1.6569285776576459E-3</v>
      </c>
    </row>
    <row r="193" spans="1:19" x14ac:dyDescent="0.3">
      <c r="A193">
        <v>200603</v>
      </c>
      <c r="B193">
        <v>3.99</v>
      </c>
      <c r="C193">
        <v>0.8</v>
      </c>
      <c r="D193">
        <v>1.71</v>
      </c>
      <c r="E193">
        <v>-1.19</v>
      </c>
      <c r="F193">
        <v>0.23</v>
      </c>
      <c r="G193">
        <v>0.37</v>
      </c>
      <c r="H193">
        <v>2.2799999999999998</v>
      </c>
      <c r="J193" s="5">
        <v>43524</v>
      </c>
      <c r="K193" s="6">
        <f t="shared" si="15"/>
        <v>3.8514537895607983</v>
      </c>
      <c r="L193" s="6">
        <f t="shared" si="16"/>
        <v>-1.4698865535133234</v>
      </c>
      <c r="M193" s="4">
        <f t="shared" si="17"/>
        <v>-1.2383290827543751</v>
      </c>
      <c r="N193" s="4">
        <f t="shared" si="18"/>
        <v>-1.006771611995427E-2</v>
      </c>
      <c r="O193" s="4">
        <f t="shared" si="19"/>
        <v>-0.16108345791926831</v>
      </c>
      <c r="P193" s="4">
        <f t="shared" si="21"/>
        <v>-1.1678550699146952</v>
      </c>
      <c r="Q193">
        <v>-0.51700000000000002</v>
      </c>
      <c r="R193">
        <v>1.1371</v>
      </c>
      <c r="S193">
        <f t="shared" si="20"/>
        <v>-6.7260656883298964E-3</v>
      </c>
    </row>
    <row r="194" spans="1:19" x14ac:dyDescent="0.3">
      <c r="A194">
        <v>200604</v>
      </c>
      <c r="B194">
        <v>5.25</v>
      </c>
      <c r="C194">
        <v>2.0099999999999998</v>
      </c>
      <c r="D194">
        <v>-0.32</v>
      </c>
      <c r="E194">
        <v>1.07</v>
      </c>
      <c r="F194">
        <v>0.16</v>
      </c>
      <c r="G194">
        <v>0.36</v>
      </c>
      <c r="H194">
        <v>2.95</v>
      </c>
      <c r="J194" s="5">
        <v>43553</v>
      </c>
      <c r="K194" s="6">
        <f t="shared" si="15"/>
        <v>2.1868745020844695</v>
      </c>
      <c r="L194" s="6">
        <f t="shared" si="16"/>
        <v>-1.8245498306293459</v>
      </c>
      <c r="M194" s="4">
        <f t="shared" si="17"/>
        <v>-2.3617783918702089</v>
      </c>
      <c r="N194" s="4">
        <f t="shared" si="18"/>
        <v>1.2569121055446604</v>
      </c>
      <c r="O194" s="4">
        <f t="shared" si="19"/>
        <v>-0.88186575147085045</v>
      </c>
      <c r="P194" s="4">
        <f t="shared" si="21"/>
        <v>4.5715109645213055</v>
      </c>
      <c r="Q194">
        <v>-0.52500000000000002</v>
      </c>
      <c r="R194">
        <v>1.1217999999999999</v>
      </c>
      <c r="S194">
        <f t="shared" si="20"/>
        <v>-1.3455280977926365E-2</v>
      </c>
    </row>
    <row r="195" spans="1:19" x14ac:dyDescent="0.3">
      <c r="A195">
        <v>200605</v>
      </c>
      <c r="B195">
        <v>-3.64</v>
      </c>
      <c r="C195">
        <v>-0.96</v>
      </c>
      <c r="D195">
        <v>-0.55000000000000004</v>
      </c>
      <c r="E195">
        <v>1.02</v>
      </c>
      <c r="F195">
        <v>1.04</v>
      </c>
      <c r="G195">
        <v>0.43</v>
      </c>
      <c r="H195">
        <v>-2.86</v>
      </c>
      <c r="J195" s="5">
        <v>43585</v>
      </c>
      <c r="K195" s="6">
        <f t="shared" si="15"/>
        <v>3.9809464941156261</v>
      </c>
      <c r="L195" s="6">
        <f t="shared" si="16"/>
        <v>0.14003744984395899</v>
      </c>
      <c r="M195" s="4">
        <f t="shared" si="17"/>
        <v>-1.0402781988408381</v>
      </c>
      <c r="N195" s="4">
        <f t="shared" si="18"/>
        <v>0.34009094962104325</v>
      </c>
      <c r="O195" s="4">
        <f t="shared" si="19"/>
        <v>-0.29007757467677214</v>
      </c>
      <c r="P195" s="4">
        <f t="shared" si="21"/>
        <v>-4.391174320106999</v>
      </c>
      <c r="Q195">
        <v>-0.54600000000000004</v>
      </c>
      <c r="R195">
        <v>1.1214999999999999</v>
      </c>
      <c r="S195">
        <f t="shared" si="20"/>
        <v>-2.6742734890350395E-4</v>
      </c>
    </row>
    <row r="196" spans="1:19" x14ac:dyDescent="0.3">
      <c r="A196">
        <v>200606</v>
      </c>
      <c r="B196">
        <v>-0.21</v>
      </c>
      <c r="C196">
        <v>-1.75</v>
      </c>
      <c r="D196">
        <v>-0.51</v>
      </c>
      <c r="E196">
        <v>0.32</v>
      </c>
      <c r="F196">
        <v>-0.71</v>
      </c>
      <c r="G196">
        <v>0.4</v>
      </c>
      <c r="H196">
        <v>-1.22</v>
      </c>
      <c r="J196" s="5">
        <v>43616</v>
      </c>
      <c r="K196" s="6">
        <f t="shared" si="15"/>
        <v>-4.6943971707404497</v>
      </c>
      <c r="L196" s="6">
        <f t="shared" si="16"/>
        <v>1.2149834362968932</v>
      </c>
      <c r="M196" s="4">
        <f t="shared" si="17"/>
        <v>-1.546342555286955</v>
      </c>
      <c r="N196" s="4">
        <f t="shared" si="18"/>
        <v>-0.59242994001253468</v>
      </c>
      <c r="O196" s="4">
        <f t="shared" si="19"/>
        <v>1.0041185423941267E-2</v>
      </c>
      <c r="P196" s="4">
        <f t="shared" si="21"/>
        <v>8.5350076103500765</v>
      </c>
      <c r="Q196">
        <v>-0.54200000000000004</v>
      </c>
      <c r="R196">
        <v>1.1169</v>
      </c>
      <c r="S196">
        <f t="shared" si="20"/>
        <v>-4.1016495764600869E-3</v>
      </c>
    </row>
    <row r="197" spans="1:19" x14ac:dyDescent="0.3">
      <c r="A197">
        <v>200607</v>
      </c>
      <c r="B197">
        <v>1.01</v>
      </c>
      <c r="C197">
        <v>-1.72</v>
      </c>
      <c r="D197">
        <v>1.61</v>
      </c>
      <c r="E197">
        <v>-0.42</v>
      </c>
      <c r="F197">
        <v>0.14000000000000001</v>
      </c>
      <c r="G197">
        <v>0.4</v>
      </c>
      <c r="H197">
        <v>0.11</v>
      </c>
      <c r="J197" s="5">
        <v>43644</v>
      </c>
      <c r="K197" s="6">
        <f t="shared" si="15"/>
        <v>4.1923057927391083</v>
      </c>
      <c r="L197" s="6">
        <f t="shared" si="16"/>
        <v>-2.5140807174887891</v>
      </c>
      <c r="M197" s="4">
        <f t="shared" si="17"/>
        <v>-1.296322869955157</v>
      </c>
      <c r="N197" s="4">
        <f t="shared" si="18"/>
        <v>1.4632735426008969</v>
      </c>
      <c r="O197" s="4">
        <f t="shared" si="19"/>
        <v>9.8206278026905833E-2</v>
      </c>
      <c r="P197" s="4">
        <f t="shared" si="21"/>
        <v>-0.44192825112107625</v>
      </c>
      <c r="Q197">
        <v>-0.57099999999999995</v>
      </c>
      <c r="R197">
        <v>1.1373</v>
      </c>
      <c r="S197">
        <f t="shared" si="20"/>
        <v>1.8264840182648401E-2</v>
      </c>
    </row>
    <row r="198" spans="1:19" x14ac:dyDescent="0.3">
      <c r="A198">
        <v>200608</v>
      </c>
      <c r="B198">
        <v>2.7</v>
      </c>
      <c r="C198">
        <v>-0.2</v>
      </c>
      <c r="D198">
        <v>0.39</v>
      </c>
      <c r="E198">
        <v>-0.17</v>
      </c>
      <c r="F198">
        <v>-0.38</v>
      </c>
      <c r="G198">
        <v>0.42</v>
      </c>
      <c r="H198">
        <v>-0.16</v>
      </c>
      <c r="J198" s="5">
        <v>43677</v>
      </c>
      <c r="K198" s="6">
        <f t="shared" si="15"/>
        <v>0.29485404206057969</v>
      </c>
      <c r="L198" s="6">
        <f t="shared" si="16"/>
        <v>-1.3656635969664142</v>
      </c>
      <c r="M198" s="4">
        <f t="shared" si="17"/>
        <v>9.2413326110509217E-2</v>
      </c>
      <c r="N198" s="4">
        <f t="shared" si="18"/>
        <v>-1.1911050920910076</v>
      </c>
      <c r="O198" s="4">
        <f t="shared" si="19"/>
        <v>-3.0804442036836403E-2</v>
      </c>
      <c r="P198" s="4">
        <f t="shared" si="21"/>
        <v>1.4272724810400867</v>
      </c>
      <c r="Q198">
        <v>-0.56999999999999995</v>
      </c>
      <c r="R198">
        <v>1.1075999999999999</v>
      </c>
      <c r="S198">
        <f t="shared" si="20"/>
        <v>-2.6114481667106393E-2</v>
      </c>
    </row>
    <row r="199" spans="1:19" x14ac:dyDescent="0.3">
      <c r="A199">
        <v>200609</v>
      </c>
      <c r="B199">
        <v>0.69</v>
      </c>
      <c r="C199">
        <v>0.05</v>
      </c>
      <c r="D199">
        <v>0.32</v>
      </c>
      <c r="E199">
        <v>-0.55000000000000004</v>
      </c>
      <c r="F199">
        <v>0.75</v>
      </c>
      <c r="G199">
        <v>0.41</v>
      </c>
      <c r="H199">
        <v>1.21</v>
      </c>
      <c r="J199" s="5">
        <v>43707</v>
      </c>
      <c r="K199" s="6">
        <f t="shared" si="15"/>
        <v>-1.3563777838206106</v>
      </c>
      <c r="L199" s="6">
        <f t="shared" si="16"/>
        <v>-0.66564924421781091</v>
      </c>
      <c r="M199" s="4">
        <f t="shared" si="17"/>
        <v>-1.9767765434347109</v>
      </c>
      <c r="N199" s="4">
        <f t="shared" si="18"/>
        <v>0.88753232562374784</v>
      </c>
      <c r="O199" s="4">
        <f t="shared" si="19"/>
        <v>0</v>
      </c>
      <c r="P199" s="4">
        <f t="shared" si="21"/>
        <v>3.3080750318703322</v>
      </c>
      <c r="Q199">
        <v>-0.71</v>
      </c>
      <c r="R199">
        <v>1.0982000000000001</v>
      </c>
      <c r="S199">
        <f t="shared" si="20"/>
        <v>-8.4868183459730906E-3</v>
      </c>
    </row>
    <row r="200" spans="1:19" x14ac:dyDescent="0.3">
      <c r="A200">
        <v>200610</v>
      </c>
      <c r="B200">
        <v>3.82</v>
      </c>
      <c r="C200">
        <v>0.22</v>
      </c>
      <c r="D200">
        <v>1.5</v>
      </c>
      <c r="E200">
        <v>0.54</v>
      </c>
      <c r="F200">
        <v>-0.49</v>
      </c>
      <c r="G200">
        <v>0.41</v>
      </c>
      <c r="H200">
        <v>0.61</v>
      </c>
      <c r="J200" s="5">
        <v>43738</v>
      </c>
      <c r="K200" s="6">
        <f t="shared" si="15"/>
        <v>3.1676377498501336</v>
      </c>
      <c r="L200" s="6">
        <f t="shared" si="16"/>
        <v>-0.67510230296357465</v>
      </c>
      <c r="M200" s="4">
        <f t="shared" si="17"/>
        <v>3.103455362877328</v>
      </c>
      <c r="N200" s="4">
        <f t="shared" si="18"/>
        <v>-0.46350307367648408</v>
      </c>
      <c r="O200" s="4">
        <f t="shared" si="19"/>
        <v>1.3199761446004221</v>
      </c>
      <c r="P200" s="4">
        <f t="shared" si="21"/>
        <v>-2.3074392146068448</v>
      </c>
      <c r="Q200">
        <v>-0.57399999999999995</v>
      </c>
      <c r="R200">
        <v>1.0899000000000001</v>
      </c>
      <c r="S200">
        <f t="shared" si="20"/>
        <v>-7.5578218903660233E-3</v>
      </c>
    </row>
    <row r="201" spans="1:19" x14ac:dyDescent="0.3">
      <c r="A201">
        <v>200611</v>
      </c>
      <c r="B201">
        <v>3.76</v>
      </c>
      <c r="C201">
        <v>2.44</v>
      </c>
      <c r="D201">
        <v>0.34</v>
      </c>
      <c r="E201">
        <v>0.17</v>
      </c>
      <c r="F201">
        <v>0.22</v>
      </c>
      <c r="G201">
        <v>0.42</v>
      </c>
      <c r="H201">
        <v>1.71</v>
      </c>
      <c r="J201" s="5">
        <v>43769</v>
      </c>
      <c r="K201" s="6">
        <f t="shared" si="15"/>
        <v>1.1209388425935127</v>
      </c>
      <c r="L201" s="6">
        <f t="shared" si="16"/>
        <v>0.81117019368723098</v>
      </c>
      <c r="M201" s="4">
        <f t="shared" si="17"/>
        <v>-0.48865674318507896</v>
      </c>
      <c r="N201" s="4">
        <f t="shared" si="18"/>
        <v>1.2216418579626973</v>
      </c>
      <c r="O201" s="4">
        <f t="shared" si="19"/>
        <v>-1.5148359038737449</v>
      </c>
      <c r="P201" s="4">
        <f t="shared" si="21"/>
        <v>-1.1923224533715926</v>
      </c>
      <c r="Q201">
        <v>-0.61099999999999999</v>
      </c>
      <c r="R201">
        <v>1.1152</v>
      </c>
      <c r="S201">
        <f t="shared" si="20"/>
        <v>2.3213138820075141E-2</v>
      </c>
    </row>
    <row r="202" spans="1:19" x14ac:dyDescent="0.3">
      <c r="A202">
        <v>200612</v>
      </c>
      <c r="B202">
        <v>3.32</v>
      </c>
      <c r="C202">
        <v>0.96</v>
      </c>
      <c r="D202">
        <v>0.55000000000000004</v>
      </c>
      <c r="E202">
        <v>-0.05</v>
      </c>
      <c r="F202">
        <v>-0.57999999999999996</v>
      </c>
      <c r="G202">
        <v>0.4</v>
      </c>
      <c r="H202">
        <v>2.82</v>
      </c>
      <c r="J202" s="5">
        <v>43798</v>
      </c>
      <c r="K202" s="6">
        <f t="shared" si="15"/>
        <v>3.1793968872853045</v>
      </c>
      <c r="L202" s="6">
        <f t="shared" si="16"/>
        <v>1.9129860228716646</v>
      </c>
      <c r="M202" s="4">
        <f t="shared" si="17"/>
        <v>-2.267242693773825</v>
      </c>
      <c r="N202" s="4">
        <f t="shared" si="18"/>
        <v>1.3259321110909423</v>
      </c>
      <c r="O202" s="4">
        <f t="shared" si="19"/>
        <v>-1.7004320203303684</v>
      </c>
      <c r="P202" s="4">
        <f t="shared" si="21"/>
        <v>0.69839172263568705</v>
      </c>
      <c r="Q202">
        <v>-0.627</v>
      </c>
      <c r="R202">
        <v>1.1017999999999999</v>
      </c>
      <c r="S202">
        <f t="shared" si="20"/>
        <v>-1.2015781922525171E-2</v>
      </c>
    </row>
    <row r="203" spans="1:19" x14ac:dyDescent="0.3">
      <c r="A203">
        <v>200701</v>
      </c>
      <c r="B203">
        <v>0.61</v>
      </c>
      <c r="C203">
        <v>1.99</v>
      </c>
      <c r="D203">
        <v>0.77</v>
      </c>
      <c r="E203">
        <v>-0.65</v>
      </c>
      <c r="F203">
        <v>0.57999999999999996</v>
      </c>
      <c r="G203">
        <v>0.44</v>
      </c>
      <c r="H203">
        <v>0.93</v>
      </c>
      <c r="J203" s="5">
        <v>43830</v>
      </c>
      <c r="K203" s="6">
        <f t="shared" si="15"/>
        <v>2.4492672350708471</v>
      </c>
      <c r="L203" s="6">
        <f t="shared" si="16"/>
        <v>2.6628716668153034</v>
      </c>
      <c r="M203" s="4">
        <f t="shared" si="17"/>
        <v>0.402869883171319</v>
      </c>
      <c r="N203" s="4">
        <f t="shared" si="18"/>
        <v>-0.38321769374832781</v>
      </c>
      <c r="O203" s="4">
        <f t="shared" si="19"/>
        <v>0.10808704182645144</v>
      </c>
      <c r="P203" s="4">
        <f t="shared" si="21"/>
        <v>1.6311317221082671</v>
      </c>
      <c r="Q203">
        <v>-0.7</v>
      </c>
      <c r="R203">
        <v>1.1213</v>
      </c>
      <c r="S203">
        <f t="shared" si="20"/>
        <v>1.7698311853330928E-2</v>
      </c>
    </row>
    <row r="204" spans="1:19" x14ac:dyDescent="0.3">
      <c r="A204">
        <v>200702</v>
      </c>
      <c r="B204">
        <v>-0.51</v>
      </c>
      <c r="C204">
        <v>1.36</v>
      </c>
      <c r="D204">
        <v>-0.09</v>
      </c>
      <c r="E204">
        <v>1.04</v>
      </c>
      <c r="F204">
        <v>0.64</v>
      </c>
      <c r="G204">
        <v>0.38</v>
      </c>
      <c r="H204">
        <v>1.24</v>
      </c>
      <c r="J204" s="5">
        <v>43861</v>
      </c>
      <c r="K204" s="6">
        <f t="shared" si="15"/>
        <v>-1.3068811505219202</v>
      </c>
      <c r="L204" s="6">
        <f t="shared" si="16"/>
        <v>0.12129811592896421</v>
      </c>
      <c r="M204" s="4">
        <f t="shared" si="17"/>
        <v>-2.9111547822951409</v>
      </c>
      <c r="N204" s="4">
        <f t="shared" si="18"/>
        <v>0.56605787433516641</v>
      </c>
      <c r="O204" s="4">
        <f t="shared" si="19"/>
        <v>-1.7992553862796359</v>
      </c>
      <c r="P204" s="4">
        <f t="shared" si="21"/>
        <v>3.588402596231858</v>
      </c>
      <c r="Q204">
        <v>-0.53600000000000003</v>
      </c>
      <c r="R204">
        <v>1.1093</v>
      </c>
      <c r="S204">
        <f t="shared" si="20"/>
        <v>-1.0701863907964015E-2</v>
      </c>
    </row>
    <row r="205" spans="1:19" x14ac:dyDescent="0.3">
      <c r="A205">
        <v>200703</v>
      </c>
      <c r="B205">
        <v>3.71</v>
      </c>
      <c r="C205">
        <v>0.71</v>
      </c>
      <c r="D205">
        <v>0.04</v>
      </c>
      <c r="E205">
        <v>0.94</v>
      </c>
      <c r="F205">
        <v>0.21</v>
      </c>
      <c r="G205">
        <v>0.43</v>
      </c>
      <c r="H205">
        <v>1.98</v>
      </c>
      <c r="J205" s="5">
        <v>43889</v>
      </c>
      <c r="K205" s="6">
        <f t="shared" ref="K205:K268" si="22">IFERROR(
(
(
 (1 + ( INDEX($B:$B, MATCH(YEAR($J205)*100+MONTH($J205), $A:$A, 0)) + INDEX($G:$G, MATCH(YEAR($J205)*100+MONTH($J205), $A:$A, 0)) )/100 )
 / ($R205/$R204)
) - 1
- ( ($Q204/100)*(30/365) )
) * 100, ""
)</f>
        <v>-8.2621287715959166</v>
      </c>
      <c r="L205" s="6">
        <f t="shared" ref="L205:L268" si="23">IFERROR( INDEX($C:$C, MATCH(YEAR($J205)*100+MONTH($J205), $A:$A, 0)) / ($R205/$R204), "" )</f>
        <v>0.20121530926900053</v>
      </c>
      <c r="M205" s="4">
        <f t="shared" ref="M205:M268" si="24">IFERROR( INDEX($D:$D, MATCH(YEAR($J205)*100+MONTH($J205), $A:$A, 0)) / ($R205/$R204), "" )</f>
        <v>-0.74449664429530193</v>
      </c>
      <c r="N205" s="4">
        <f t="shared" ref="N205:N268" si="25">IFERROR( INDEX($E:$E, MATCH(YEAR($J205)*100+MONTH($J205), $A:$A, 0)) / ($R205/$R204), "" )</f>
        <v>-0.73443587883185191</v>
      </c>
      <c r="O205" s="4">
        <f t="shared" ref="O205:O268" si="26">IFERROR( INDEX($F:$F, MATCH(YEAR($J205)*100+MONTH($J205), $A:$A, 0)) / ($R205/$R204), "" )</f>
        <v>-1.549357881371304</v>
      </c>
      <c r="P205" s="4">
        <f t="shared" si="21"/>
        <v>0.76461817522220199</v>
      </c>
      <c r="Q205">
        <v>-0.61799999999999999</v>
      </c>
      <c r="R205">
        <v>1.1026</v>
      </c>
      <c r="S205">
        <f t="shared" si="20"/>
        <v>-6.0398449472639504E-3</v>
      </c>
    </row>
    <row r="206" spans="1:19" x14ac:dyDescent="0.3">
      <c r="A206">
        <v>200704</v>
      </c>
      <c r="B206">
        <v>5.54</v>
      </c>
      <c r="C206">
        <v>-0.21</v>
      </c>
      <c r="D206">
        <v>1.26</v>
      </c>
      <c r="E206">
        <v>0.12</v>
      </c>
      <c r="F206">
        <v>0.28999999999999998</v>
      </c>
      <c r="G206">
        <v>0.44</v>
      </c>
      <c r="H206">
        <v>0.54</v>
      </c>
      <c r="J206" s="5">
        <v>43921</v>
      </c>
      <c r="K206" s="6">
        <f t="shared" si="22"/>
        <v>-15.307588219004211</v>
      </c>
      <c r="L206" s="6">
        <f t="shared" si="23"/>
        <v>-5.0577064636025746</v>
      </c>
      <c r="M206" s="4">
        <f t="shared" si="24"/>
        <v>-11.294878070891128</v>
      </c>
      <c r="N206" s="4">
        <f t="shared" si="25"/>
        <v>1.7192203789321008</v>
      </c>
      <c r="O206" s="4">
        <f t="shared" si="26"/>
        <v>-3.0386220650892941</v>
      </c>
      <c r="P206" s="4">
        <f t="shared" si="21"/>
        <v>7.5665687607651178</v>
      </c>
      <c r="Q206">
        <v>-0.68</v>
      </c>
      <c r="R206">
        <v>1.1031</v>
      </c>
      <c r="S206">
        <f t="shared" ref="S206:S269" si="27">R206/R205-1</f>
        <v>4.5347360783587476E-4</v>
      </c>
    </row>
    <row r="207" spans="1:19" x14ac:dyDescent="0.3">
      <c r="A207">
        <v>200705</v>
      </c>
      <c r="B207">
        <v>1.56</v>
      </c>
      <c r="C207">
        <v>-0.75</v>
      </c>
      <c r="D207">
        <v>0.56000000000000005</v>
      </c>
      <c r="E207">
        <v>0.99</v>
      </c>
      <c r="F207">
        <v>1.08</v>
      </c>
      <c r="G207">
        <v>0.41</v>
      </c>
      <c r="H207">
        <v>1.21</v>
      </c>
      <c r="J207" s="5">
        <v>43951</v>
      </c>
      <c r="K207" s="6">
        <f t="shared" si="22"/>
        <v>7.4961186172573875</v>
      </c>
      <c r="L207" s="6">
        <f t="shared" si="23"/>
        <v>4.7527448653582836</v>
      </c>
      <c r="M207" s="4">
        <f t="shared" si="24"/>
        <v>-3.8465011410314922</v>
      </c>
      <c r="N207" s="4">
        <f t="shared" si="25"/>
        <v>2.1246380648105885</v>
      </c>
      <c r="O207" s="4">
        <f t="shared" si="26"/>
        <v>-4.148582382473756</v>
      </c>
      <c r="P207" s="4">
        <f t="shared" si="21"/>
        <v>1.027076220903697</v>
      </c>
      <c r="Q207">
        <v>-0.56799999999999995</v>
      </c>
      <c r="R207">
        <v>1.0954999999999999</v>
      </c>
      <c r="S207">
        <f t="shared" si="27"/>
        <v>-6.8896745535309556E-3</v>
      </c>
    </row>
    <row r="208" spans="1:19" x14ac:dyDescent="0.3">
      <c r="A208">
        <v>200706</v>
      </c>
      <c r="B208">
        <v>-0.16</v>
      </c>
      <c r="C208">
        <v>-0.49</v>
      </c>
      <c r="D208">
        <v>0.4</v>
      </c>
      <c r="E208">
        <v>2.27</v>
      </c>
      <c r="F208">
        <v>0.46</v>
      </c>
      <c r="G208">
        <v>0.4</v>
      </c>
      <c r="H208">
        <v>-0.56000000000000005</v>
      </c>
      <c r="J208" s="5">
        <v>43980</v>
      </c>
      <c r="K208" s="6">
        <f t="shared" si="22"/>
        <v>4.0999413948885097</v>
      </c>
      <c r="L208" s="6">
        <f t="shared" si="23"/>
        <v>0.79934690568417255</v>
      </c>
      <c r="M208" s="4">
        <f t="shared" si="24"/>
        <v>-4.0855508512746592</v>
      </c>
      <c r="N208" s="4">
        <f t="shared" si="25"/>
        <v>2.3388298351499861</v>
      </c>
      <c r="O208" s="4">
        <f t="shared" si="26"/>
        <v>-4.3322628592018724</v>
      </c>
      <c r="P208" s="4">
        <f t="shared" si="21"/>
        <v>2.8618592919556791</v>
      </c>
      <c r="Q208">
        <v>-0.52100000000000002</v>
      </c>
      <c r="R208">
        <v>1.1101000000000001</v>
      </c>
      <c r="S208">
        <f t="shared" si="27"/>
        <v>1.3327247832040312E-2</v>
      </c>
    </row>
    <row r="209" spans="1:19" x14ac:dyDescent="0.3">
      <c r="A209">
        <v>200707</v>
      </c>
      <c r="B209">
        <v>-2.2200000000000002</v>
      </c>
      <c r="C209">
        <v>1.9</v>
      </c>
      <c r="D209">
        <v>-0.36</v>
      </c>
      <c r="E209">
        <v>1.33</v>
      </c>
      <c r="F209">
        <v>-0.52</v>
      </c>
      <c r="G209">
        <v>0.4</v>
      </c>
      <c r="H209">
        <v>1.67</v>
      </c>
      <c r="J209" s="5">
        <v>44012</v>
      </c>
      <c r="K209" s="6">
        <f t="shared" si="22"/>
        <v>2.8609677251787171</v>
      </c>
      <c r="L209" s="6">
        <f t="shared" si="23"/>
        <v>-0.99804254940359638</v>
      </c>
      <c r="M209" s="4">
        <f t="shared" si="24"/>
        <v>1.7194000356061958</v>
      </c>
      <c r="N209" s="4">
        <f t="shared" si="25"/>
        <v>-1.7589264732063383</v>
      </c>
      <c r="O209" s="4">
        <f t="shared" si="26"/>
        <v>0.43479081360156674</v>
      </c>
      <c r="P209" s="4">
        <f t="shared" si="21"/>
        <v>0.74112070500267058</v>
      </c>
      <c r="Q209">
        <v>-0.54400000000000004</v>
      </c>
      <c r="R209">
        <v>1.1234</v>
      </c>
      <c r="S209">
        <f t="shared" si="27"/>
        <v>1.1980902621385292E-2</v>
      </c>
    </row>
    <row r="210" spans="1:19" x14ac:dyDescent="0.3">
      <c r="A210">
        <v>200708</v>
      </c>
      <c r="B210">
        <v>-2.08</v>
      </c>
      <c r="C210">
        <v>-3.04</v>
      </c>
      <c r="D210">
        <v>-0.06</v>
      </c>
      <c r="E210">
        <v>0.65</v>
      </c>
      <c r="F210">
        <v>1.03</v>
      </c>
      <c r="G210">
        <v>0.42</v>
      </c>
      <c r="H210">
        <v>-0.14000000000000001</v>
      </c>
      <c r="J210" s="5">
        <v>44043</v>
      </c>
      <c r="K210" s="6">
        <f t="shared" si="22"/>
        <v>-0.75881968006288691</v>
      </c>
      <c r="L210" s="6">
        <f t="shared" si="23"/>
        <v>2.0983868228901343</v>
      </c>
      <c r="M210" s="4">
        <f t="shared" si="24"/>
        <v>-4.530607913058244</v>
      </c>
      <c r="N210" s="4">
        <f t="shared" si="25"/>
        <v>0.74397350993377487</v>
      </c>
      <c r="O210" s="4">
        <f t="shared" si="26"/>
        <v>-2.1460774325012735</v>
      </c>
      <c r="P210" s="4">
        <f t="shared" si="21"/>
        <v>6.4000798098149092</v>
      </c>
      <c r="Q210">
        <v>-0.55900000000000005</v>
      </c>
      <c r="R210">
        <v>1.1778</v>
      </c>
      <c r="S210">
        <f t="shared" si="27"/>
        <v>4.8424425850097874E-2</v>
      </c>
    </row>
    <row r="211" spans="1:19" x14ac:dyDescent="0.3">
      <c r="A211">
        <v>200709</v>
      </c>
      <c r="B211">
        <v>4.82</v>
      </c>
      <c r="C211">
        <v>-3.8</v>
      </c>
      <c r="D211">
        <v>-0.85</v>
      </c>
      <c r="E211">
        <v>-0.73</v>
      </c>
      <c r="F211">
        <v>-0.86</v>
      </c>
      <c r="G211">
        <v>0.32</v>
      </c>
      <c r="H211">
        <v>3.44</v>
      </c>
      <c r="J211" s="5">
        <v>44074</v>
      </c>
      <c r="K211" s="6">
        <f t="shared" si="22"/>
        <v>3.6165618274633764</v>
      </c>
      <c r="L211" s="6">
        <f t="shared" si="23"/>
        <v>2.6149212466487932</v>
      </c>
      <c r="M211" s="4">
        <f t="shared" si="24"/>
        <v>-1.7169671581769437</v>
      </c>
      <c r="N211" s="4">
        <f t="shared" si="25"/>
        <v>0.97689510723860584</v>
      </c>
      <c r="O211" s="4">
        <f t="shared" si="26"/>
        <v>-1.6478937667560321</v>
      </c>
      <c r="P211" s="4">
        <f t="shared" si="21"/>
        <v>3.9470509383378018E-2</v>
      </c>
      <c r="Q211">
        <v>-0.56299999999999994</v>
      </c>
      <c r="R211">
        <v>1.1936</v>
      </c>
      <c r="S211">
        <f t="shared" si="27"/>
        <v>1.3414841229410834E-2</v>
      </c>
    </row>
    <row r="212" spans="1:19" x14ac:dyDescent="0.3">
      <c r="A212">
        <v>200710</v>
      </c>
      <c r="B212">
        <v>4.34</v>
      </c>
      <c r="C212">
        <v>0.24</v>
      </c>
      <c r="D212">
        <v>-0.92</v>
      </c>
      <c r="E212">
        <v>1.48</v>
      </c>
      <c r="F212">
        <v>-1.39</v>
      </c>
      <c r="G212">
        <v>0.32</v>
      </c>
      <c r="H212">
        <v>3.93</v>
      </c>
      <c r="J212" s="5">
        <v>44104</v>
      </c>
      <c r="K212" s="6">
        <f t="shared" si="22"/>
        <v>-1.1337072576677041</v>
      </c>
      <c r="L212" s="6">
        <f t="shared" si="23"/>
        <v>0.53972186673492029</v>
      </c>
      <c r="M212" s="4">
        <f t="shared" si="24"/>
        <v>-3.8086033614879282</v>
      </c>
      <c r="N212" s="4">
        <f t="shared" si="25"/>
        <v>2.3625560958962546</v>
      </c>
      <c r="O212" s="4">
        <f t="shared" si="26"/>
        <v>-1.9450354065352786</v>
      </c>
      <c r="P212" s="4">
        <f t="shared" si="21"/>
        <v>4.9491476836447408</v>
      </c>
      <c r="Q212">
        <v>-0.59599999999999997</v>
      </c>
      <c r="R212">
        <v>1.1720999999999999</v>
      </c>
      <c r="S212">
        <f t="shared" si="27"/>
        <v>-1.8012734584450518E-2</v>
      </c>
    </row>
    <row r="213" spans="1:19" x14ac:dyDescent="0.3">
      <c r="A213">
        <v>200711</v>
      </c>
      <c r="B213">
        <v>-4.03</v>
      </c>
      <c r="C213">
        <v>-4.47</v>
      </c>
      <c r="D213">
        <v>-1.76</v>
      </c>
      <c r="E213">
        <v>0.49</v>
      </c>
      <c r="F213">
        <v>1.54</v>
      </c>
      <c r="G213">
        <v>0.34</v>
      </c>
      <c r="H213">
        <v>1.88</v>
      </c>
      <c r="J213" s="5">
        <v>44134</v>
      </c>
      <c r="K213" s="6">
        <f t="shared" si="22"/>
        <v>-4.0555822570572166</v>
      </c>
      <c r="L213" s="6">
        <f t="shared" si="23"/>
        <v>1.147243066884176</v>
      </c>
      <c r="M213" s="4">
        <f t="shared" si="24"/>
        <v>-0.20127071348845194</v>
      </c>
      <c r="N213" s="4">
        <f t="shared" si="25"/>
        <v>-0.62393921181420098</v>
      </c>
      <c r="O213" s="4">
        <f t="shared" si="26"/>
        <v>-0.11069889241864857</v>
      </c>
      <c r="P213" s="4">
        <f t="shared" si="21"/>
        <v>0.66419335451189143</v>
      </c>
      <c r="Q213">
        <v>-0.71699999999999997</v>
      </c>
      <c r="R213">
        <v>1.1647000000000001</v>
      </c>
      <c r="S213">
        <f t="shared" si="27"/>
        <v>-6.3134544834057005E-3</v>
      </c>
    </row>
    <row r="214" spans="1:19" x14ac:dyDescent="0.3">
      <c r="A214">
        <v>200712</v>
      </c>
      <c r="B214">
        <v>-2.1</v>
      </c>
      <c r="C214">
        <v>-0.97</v>
      </c>
      <c r="D214">
        <v>1.22</v>
      </c>
      <c r="E214">
        <v>-0.12</v>
      </c>
      <c r="F214">
        <v>0.55000000000000004</v>
      </c>
      <c r="G214">
        <v>0.27</v>
      </c>
      <c r="H214">
        <v>2.11</v>
      </c>
      <c r="J214" s="5">
        <v>44165</v>
      </c>
      <c r="K214" s="6">
        <f t="shared" si="22"/>
        <v>13.950908533763032</v>
      </c>
      <c r="L214" s="6">
        <f t="shared" si="23"/>
        <v>1.3573681562840612</v>
      </c>
      <c r="M214" s="4">
        <f t="shared" si="24"/>
        <v>10.507396663033452</v>
      </c>
      <c r="N214" s="4">
        <f t="shared" si="25"/>
        <v>-3.7303211201475639</v>
      </c>
      <c r="O214" s="4">
        <f t="shared" si="26"/>
        <v>1.6503253123165924</v>
      </c>
      <c r="P214" s="4">
        <f t="shared" ref="P214:P276" si="28">IFERROR( INDEX($H:$H, MATCH(YEAR($J214)*100+MONTH($J214), $A:$A, 0)) / ($R214/$R213), "" )</f>
        <v>-17.958273664794163</v>
      </c>
      <c r="Q214">
        <v>-0.72699999999999998</v>
      </c>
      <c r="R214">
        <v>1.1927000000000001</v>
      </c>
      <c r="S214">
        <f t="shared" si="27"/>
        <v>2.4040525457199369E-2</v>
      </c>
    </row>
    <row r="215" spans="1:19" x14ac:dyDescent="0.3">
      <c r="A215">
        <v>200801</v>
      </c>
      <c r="B215">
        <v>-10.01</v>
      </c>
      <c r="C215">
        <v>0.47</v>
      </c>
      <c r="D215">
        <v>-0.01</v>
      </c>
      <c r="E215">
        <v>-0.93</v>
      </c>
      <c r="F215">
        <v>1.58</v>
      </c>
      <c r="G215">
        <v>0.21</v>
      </c>
      <c r="H215">
        <v>0.44</v>
      </c>
      <c r="J215" s="5">
        <v>44196</v>
      </c>
      <c r="K215" s="6">
        <f t="shared" si="22"/>
        <v>3.2396289976765318</v>
      </c>
      <c r="L215" s="6">
        <f t="shared" si="23"/>
        <v>4.3740144073346441</v>
      </c>
      <c r="M215" s="4">
        <f t="shared" si="24"/>
        <v>-1.7281262278978391</v>
      </c>
      <c r="N215" s="4">
        <f t="shared" si="25"/>
        <v>0.75178372626064194</v>
      </c>
      <c r="O215" s="4">
        <f t="shared" si="26"/>
        <v>-1.9526850032743945</v>
      </c>
      <c r="P215" s="4">
        <f t="shared" si="28"/>
        <v>2.07960952848723</v>
      </c>
      <c r="Q215">
        <v>-0.75700000000000001</v>
      </c>
      <c r="R215">
        <v>1.2216</v>
      </c>
      <c r="S215">
        <f t="shared" si="27"/>
        <v>2.4230736983315015E-2</v>
      </c>
    </row>
    <row r="216" spans="1:19" x14ac:dyDescent="0.3">
      <c r="A216">
        <v>200802</v>
      </c>
      <c r="B216">
        <v>1.96</v>
      </c>
      <c r="C216">
        <v>2.63</v>
      </c>
      <c r="D216">
        <v>-0.51</v>
      </c>
      <c r="E216">
        <v>0.51</v>
      </c>
      <c r="F216">
        <v>-1.28</v>
      </c>
      <c r="G216">
        <v>0.13</v>
      </c>
      <c r="H216">
        <v>1.76</v>
      </c>
      <c r="J216" s="5">
        <v>44225</v>
      </c>
      <c r="K216" s="6">
        <f t="shared" si="22"/>
        <v>-0.53682498803513223</v>
      </c>
      <c r="L216" s="6">
        <f t="shared" si="23"/>
        <v>1.7414040870138432</v>
      </c>
      <c r="M216" s="4">
        <f t="shared" si="24"/>
        <v>-0.29191166776532629</v>
      </c>
      <c r="N216" s="4">
        <f t="shared" si="25"/>
        <v>-0.57375741595253782</v>
      </c>
      <c r="O216" s="4">
        <f t="shared" si="26"/>
        <v>-0.20131839156229403</v>
      </c>
      <c r="P216" s="4">
        <f t="shared" si="28"/>
        <v>2.4057547791694134</v>
      </c>
      <c r="Q216">
        <v>-0.59799999999999998</v>
      </c>
      <c r="R216">
        <v>1.2136</v>
      </c>
      <c r="S216">
        <f t="shared" si="27"/>
        <v>-6.5487884741323166E-3</v>
      </c>
    </row>
    <row r="217" spans="1:19" x14ac:dyDescent="0.3">
      <c r="A217">
        <v>200803</v>
      </c>
      <c r="B217">
        <v>0.26</v>
      </c>
      <c r="C217">
        <v>-0.61</v>
      </c>
      <c r="D217">
        <v>2.37</v>
      </c>
      <c r="E217">
        <v>-0.81</v>
      </c>
      <c r="F217">
        <v>-0.22</v>
      </c>
      <c r="G217">
        <v>0.17</v>
      </c>
      <c r="H217">
        <v>0.23</v>
      </c>
      <c r="J217" s="5">
        <v>44253</v>
      </c>
      <c r="K217" s="6">
        <f t="shared" si="22"/>
        <v>3.1674612439377277</v>
      </c>
      <c r="L217" s="6">
        <f t="shared" si="23"/>
        <v>1.4271734989648033</v>
      </c>
      <c r="M217" s="4">
        <f t="shared" si="24"/>
        <v>5.7589465838509319</v>
      </c>
      <c r="N217" s="4">
        <f t="shared" si="25"/>
        <v>-1.8995478260869565</v>
      </c>
      <c r="O217" s="4">
        <f t="shared" si="26"/>
        <v>0.84424347826086954</v>
      </c>
      <c r="P217" s="4">
        <f t="shared" si="28"/>
        <v>-4.5428339544513454</v>
      </c>
      <c r="Q217">
        <v>-0.59099999999999997</v>
      </c>
      <c r="R217">
        <v>1.2075</v>
      </c>
      <c r="S217">
        <f t="shared" si="27"/>
        <v>-5.0263678312458815E-3</v>
      </c>
    </row>
    <row r="218" spans="1:19" x14ac:dyDescent="0.3">
      <c r="A218">
        <v>200804</v>
      </c>
      <c r="B218">
        <v>4.41</v>
      </c>
      <c r="C218">
        <v>-2.61</v>
      </c>
      <c r="D218">
        <v>-0.01</v>
      </c>
      <c r="E218">
        <v>1.73</v>
      </c>
      <c r="F218">
        <v>-0.8</v>
      </c>
      <c r="G218">
        <v>0.18</v>
      </c>
      <c r="H218">
        <v>0.15</v>
      </c>
      <c r="J218" s="5">
        <v>44286</v>
      </c>
      <c r="K218" s="6">
        <f t="shared" si="22"/>
        <v>6.2632812248187095</v>
      </c>
      <c r="L218" s="6">
        <f t="shared" si="23"/>
        <v>-1.6161764705882353</v>
      </c>
      <c r="M218" s="4">
        <f t="shared" si="24"/>
        <v>3.5617647058823527</v>
      </c>
      <c r="N218" s="4">
        <f t="shared" si="25"/>
        <v>0.2676470588235294</v>
      </c>
      <c r="O218" s="4">
        <f t="shared" si="26"/>
        <v>0.56617647058823539</v>
      </c>
      <c r="P218" s="4">
        <f t="shared" si="28"/>
        <v>-1.7088235294117646</v>
      </c>
      <c r="Q218">
        <v>-0.63500000000000001</v>
      </c>
      <c r="R218">
        <v>1.173</v>
      </c>
      <c r="S218">
        <f t="shared" si="27"/>
        <v>-2.8571428571428581E-2</v>
      </c>
    </row>
    <row r="219" spans="1:19" x14ac:dyDescent="0.3">
      <c r="A219">
        <v>200805</v>
      </c>
      <c r="B219">
        <v>0.85</v>
      </c>
      <c r="C219">
        <v>0.37</v>
      </c>
      <c r="D219">
        <v>-1.17</v>
      </c>
      <c r="E219">
        <v>0.41</v>
      </c>
      <c r="F219">
        <v>-0.86</v>
      </c>
      <c r="G219">
        <v>0.18</v>
      </c>
      <c r="H219">
        <v>4.4000000000000004</v>
      </c>
      <c r="J219" s="5">
        <v>44316</v>
      </c>
      <c r="K219" s="6">
        <f t="shared" si="22"/>
        <v>2.8019172383926243</v>
      </c>
      <c r="L219" s="6">
        <f t="shared" si="23"/>
        <v>1.7272961730449252</v>
      </c>
      <c r="M219" s="4">
        <f t="shared" si="24"/>
        <v>-3.1130366056572378</v>
      </c>
      <c r="N219" s="4">
        <f t="shared" si="25"/>
        <v>1.5028452579034941</v>
      </c>
      <c r="O219" s="4">
        <f t="shared" si="26"/>
        <v>-3.4936272878535775</v>
      </c>
      <c r="P219" s="4">
        <f t="shared" si="28"/>
        <v>1.6297088186356072</v>
      </c>
      <c r="Q219">
        <v>-0.627</v>
      </c>
      <c r="R219">
        <v>1.202</v>
      </c>
      <c r="S219">
        <f t="shared" si="27"/>
        <v>2.4722932651321416E-2</v>
      </c>
    </row>
    <row r="220" spans="1:19" x14ac:dyDescent="0.3">
      <c r="A220">
        <v>200806</v>
      </c>
      <c r="B220">
        <v>-8.68</v>
      </c>
      <c r="C220">
        <v>1.92</v>
      </c>
      <c r="D220">
        <v>-0.7</v>
      </c>
      <c r="E220">
        <v>-0.02</v>
      </c>
      <c r="F220">
        <v>1.34</v>
      </c>
      <c r="G220">
        <v>0.17</v>
      </c>
      <c r="H220">
        <v>9.49</v>
      </c>
      <c r="J220" s="5">
        <v>44347</v>
      </c>
      <c r="K220" s="6">
        <f t="shared" si="22"/>
        <v>2.8020372317720437</v>
      </c>
      <c r="L220" s="6">
        <f t="shared" si="23"/>
        <v>-0.73730269076633681</v>
      </c>
      <c r="M220" s="4">
        <f t="shared" si="24"/>
        <v>2.0251247239715386</v>
      </c>
      <c r="N220" s="4">
        <f t="shared" si="25"/>
        <v>1.1501921975954854</v>
      </c>
      <c r="O220" s="4">
        <f t="shared" si="26"/>
        <v>0.42272020937269977</v>
      </c>
      <c r="P220" s="4">
        <f t="shared" si="28"/>
        <v>0.76679479839699038</v>
      </c>
      <c r="Q220">
        <v>-0.63100000000000001</v>
      </c>
      <c r="R220">
        <v>1.2226999999999999</v>
      </c>
      <c r="S220">
        <f t="shared" si="27"/>
        <v>1.7221297836938376E-2</v>
      </c>
    </row>
    <row r="221" spans="1:19" x14ac:dyDescent="0.3">
      <c r="A221">
        <v>200807</v>
      </c>
      <c r="B221">
        <v>-3.83</v>
      </c>
      <c r="C221">
        <v>-1.86</v>
      </c>
      <c r="D221">
        <v>0.95</v>
      </c>
      <c r="E221">
        <v>-0.74</v>
      </c>
      <c r="F221">
        <v>1.1000000000000001</v>
      </c>
      <c r="G221">
        <v>0.15</v>
      </c>
      <c r="H221">
        <v>-2.23</v>
      </c>
      <c r="J221" s="5">
        <v>44377</v>
      </c>
      <c r="K221" s="6">
        <f t="shared" si="22"/>
        <v>1.4520299895798865</v>
      </c>
      <c r="L221" s="6">
        <f t="shared" si="23"/>
        <v>-1.7013450834879404</v>
      </c>
      <c r="M221" s="4">
        <f t="shared" si="24"/>
        <v>-2.5777955810423339</v>
      </c>
      <c r="N221" s="4">
        <f t="shared" si="25"/>
        <v>1.2064083319278123</v>
      </c>
      <c r="O221" s="4">
        <f t="shared" si="26"/>
        <v>-0.74240512734019215</v>
      </c>
      <c r="P221" s="4">
        <f t="shared" si="28"/>
        <v>-0.93831759149940963</v>
      </c>
      <c r="Q221">
        <v>-0.64500000000000002</v>
      </c>
      <c r="R221">
        <v>1.1858</v>
      </c>
      <c r="S221">
        <f t="shared" si="27"/>
        <v>-3.0179111801750147E-2</v>
      </c>
    </row>
    <row r="222" spans="1:19" x14ac:dyDescent="0.3">
      <c r="A222">
        <v>200808</v>
      </c>
      <c r="B222">
        <v>-4.57</v>
      </c>
      <c r="C222">
        <v>0.3</v>
      </c>
      <c r="D222">
        <v>-0.09</v>
      </c>
      <c r="E222">
        <v>0.7</v>
      </c>
      <c r="F222">
        <v>1.81</v>
      </c>
      <c r="G222">
        <v>0.13</v>
      </c>
      <c r="H222">
        <v>-4.99</v>
      </c>
      <c r="J222" s="5">
        <v>44407</v>
      </c>
      <c r="K222" s="6">
        <f t="shared" si="22"/>
        <v>2.0398056110142933</v>
      </c>
      <c r="L222" s="6">
        <f t="shared" si="23"/>
        <v>0.34964616680707661</v>
      </c>
      <c r="M222" s="4">
        <f t="shared" si="24"/>
        <v>-2.9769873631002524</v>
      </c>
      <c r="N222" s="4">
        <f t="shared" si="25"/>
        <v>3.2267346251053071</v>
      </c>
      <c r="O222" s="4">
        <f t="shared" si="26"/>
        <v>-2.8770884582982306</v>
      </c>
      <c r="P222" s="4">
        <f t="shared" si="28"/>
        <v>2.5674018534119627</v>
      </c>
      <c r="Q222">
        <v>-0.66200000000000003</v>
      </c>
      <c r="R222">
        <v>1.1870000000000001</v>
      </c>
      <c r="S222">
        <f t="shared" si="27"/>
        <v>1.0119750379491421E-3</v>
      </c>
    </row>
    <row r="223" spans="1:19" x14ac:dyDescent="0.3">
      <c r="A223">
        <v>200809</v>
      </c>
      <c r="B223">
        <v>-15.07</v>
      </c>
      <c r="C223">
        <v>-2.7</v>
      </c>
      <c r="D223">
        <v>0.91</v>
      </c>
      <c r="E223">
        <v>-0.18</v>
      </c>
      <c r="F223">
        <v>5.43</v>
      </c>
      <c r="G223">
        <v>0.15</v>
      </c>
      <c r="H223">
        <v>3.77</v>
      </c>
      <c r="J223" s="5">
        <v>44439</v>
      </c>
      <c r="K223" s="6">
        <f t="shared" si="22"/>
        <v>2.0284561786517536</v>
      </c>
      <c r="L223" s="6">
        <f t="shared" si="23"/>
        <v>1.7188330934033362</v>
      </c>
      <c r="M223" s="4">
        <f t="shared" si="24"/>
        <v>-1.1860953510034717</v>
      </c>
      <c r="N223" s="4">
        <f t="shared" si="25"/>
        <v>0.25129138792446437</v>
      </c>
      <c r="O223" s="4">
        <f t="shared" si="26"/>
        <v>-1.7087814378863577</v>
      </c>
      <c r="P223" s="4">
        <f t="shared" si="28"/>
        <v>6.0309933101871452E-2</v>
      </c>
      <c r="Q223">
        <v>-0.66400000000000003</v>
      </c>
      <c r="R223">
        <v>1.1809000000000001</v>
      </c>
      <c r="S223">
        <f t="shared" si="27"/>
        <v>-5.1390058972198283E-3</v>
      </c>
    </row>
    <row r="224" spans="1:19" x14ac:dyDescent="0.3">
      <c r="A224">
        <v>200810</v>
      </c>
      <c r="B224">
        <v>-22.02</v>
      </c>
      <c r="C224">
        <v>-4.6500000000000004</v>
      </c>
      <c r="D224">
        <v>-3.53</v>
      </c>
      <c r="E224">
        <v>4.09</v>
      </c>
      <c r="F224">
        <v>4.58</v>
      </c>
      <c r="G224">
        <v>0.08</v>
      </c>
      <c r="H224">
        <v>10.14</v>
      </c>
      <c r="J224" s="5">
        <v>44469</v>
      </c>
      <c r="K224" s="6">
        <f t="shared" si="22"/>
        <v>-3.0565567818865804</v>
      </c>
      <c r="L224" s="6">
        <f t="shared" si="23"/>
        <v>-0.35692141623488777</v>
      </c>
      <c r="M224" s="4">
        <f t="shared" si="24"/>
        <v>4.3850345423143349</v>
      </c>
      <c r="N224" s="4">
        <f t="shared" si="25"/>
        <v>-2.3658791018998273</v>
      </c>
      <c r="O224" s="4">
        <f t="shared" si="26"/>
        <v>2.3046925734024182</v>
      </c>
      <c r="P224" s="4">
        <f t="shared" si="28"/>
        <v>-0.60166753022452502</v>
      </c>
      <c r="Q224">
        <v>-0.66</v>
      </c>
      <c r="R224">
        <v>1.1579999999999999</v>
      </c>
      <c r="S224">
        <f t="shared" si="27"/>
        <v>-1.9391989160809642E-2</v>
      </c>
    </row>
    <row r="225" spans="1:19" x14ac:dyDescent="0.3">
      <c r="A225">
        <v>200811</v>
      </c>
      <c r="B225">
        <v>-7.18</v>
      </c>
      <c r="C225">
        <v>-1.17</v>
      </c>
      <c r="D225">
        <v>-3.63</v>
      </c>
      <c r="E225">
        <v>0.93</v>
      </c>
      <c r="F225">
        <v>3.17</v>
      </c>
      <c r="G225">
        <v>0.03</v>
      </c>
      <c r="H225">
        <v>2.39</v>
      </c>
      <c r="J225" s="5">
        <v>44498</v>
      </c>
      <c r="K225" s="6">
        <f t="shared" si="22"/>
        <v>4.4525853882858906</v>
      </c>
      <c r="L225" s="6">
        <f t="shared" si="23"/>
        <v>-1.6230835784737845</v>
      </c>
      <c r="M225" s="4">
        <f t="shared" si="24"/>
        <v>-0.64121820384149508</v>
      </c>
      <c r="N225" s="4">
        <f t="shared" si="25"/>
        <v>1.472798061948434</v>
      </c>
      <c r="O225" s="4">
        <f t="shared" si="26"/>
        <v>-0.65123723827651847</v>
      </c>
      <c r="P225" s="4">
        <f t="shared" si="28"/>
        <v>2.7351964007613772</v>
      </c>
      <c r="Q225">
        <v>-0.80800000000000005</v>
      </c>
      <c r="R225">
        <v>1.1557999999999999</v>
      </c>
      <c r="S225">
        <f t="shared" si="27"/>
        <v>-1.8998272884283018E-3</v>
      </c>
    </row>
    <row r="226" spans="1:19" x14ac:dyDescent="0.3">
      <c r="A226">
        <v>200812</v>
      </c>
      <c r="B226">
        <v>6.7</v>
      </c>
      <c r="C226">
        <v>-1.48</v>
      </c>
      <c r="D226">
        <v>1.21</v>
      </c>
      <c r="E226">
        <v>-1.72</v>
      </c>
      <c r="F226">
        <v>3.6</v>
      </c>
      <c r="G226">
        <v>0</v>
      </c>
      <c r="H226">
        <v>-0.72</v>
      </c>
      <c r="J226" s="5">
        <v>44530</v>
      </c>
      <c r="K226" s="6">
        <f t="shared" si="22"/>
        <v>-2.3664537438653452</v>
      </c>
      <c r="L226" s="6">
        <f t="shared" si="23"/>
        <v>-0.9990156994178867</v>
      </c>
      <c r="M226" s="4">
        <f t="shared" si="24"/>
        <v>-2.1509419650732049</v>
      </c>
      <c r="N226" s="4">
        <f t="shared" si="25"/>
        <v>3.4965549479626037</v>
      </c>
      <c r="O226" s="4">
        <f t="shared" si="26"/>
        <v>-1.7737625683542071</v>
      </c>
      <c r="P226" s="4">
        <f t="shared" si="28"/>
        <v>-0.46892573646145708</v>
      </c>
      <c r="Q226">
        <v>-0.95599999999999996</v>
      </c>
      <c r="R226">
        <v>1.1337999999999999</v>
      </c>
      <c r="S226">
        <f t="shared" si="27"/>
        <v>-1.9034435023360441E-2</v>
      </c>
    </row>
    <row r="227" spans="1:19" x14ac:dyDescent="0.3">
      <c r="A227">
        <v>200901</v>
      </c>
      <c r="B227">
        <v>-10.99</v>
      </c>
      <c r="C227">
        <v>4.71</v>
      </c>
      <c r="D227">
        <v>-4.05</v>
      </c>
      <c r="E227">
        <v>1.37</v>
      </c>
      <c r="F227">
        <v>-1.87</v>
      </c>
      <c r="G227">
        <v>0</v>
      </c>
      <c r="H227">
        <v>3.32</v>
      </c>
      <c r="J227" s="5">
        <v>44561</v>
      </c>
      <c r="K227" s="6">
        <f t="shared" si="22"/>
        <v>4.9525823785255554</v>
      </c>
      <c r="L227" s="6">
        <f t="shared" si="23"/>
        <v>-1.0370729991204926</v>
      </c>
      <c r="M227" s="4">
        <f t="shared" si="24"/>
        <v>1.8547651715039577</v>
      </c>
      <c r="N227" s="4">
        <f t="shared" si="25"/>
        <v>0.52850835532102025</v>
      </c>
      <c r="O227" s="4">
        <f t="shared" si="26"/>
        <v>2.8020914687774843</v>
      </c>
      <c r="P227" s="4">
        <f t="shared" si="28"/>
        <v>2.9915567282321896E-2</v>
      </c>
      <c r="Q227">
        <v>-0.70499999999999996</v>
      </c>
      <c r="R227">
        <v>1.137</v>
      </c>
      <c r="S227">
        <f t="shared" si="27"/>
        <v>2.8223672605398598E-3</v>
      </c>
    </row>
    <row r="228" spans="1:19" x14ac:dyDescent="0.3">
      <c r="A228">
        <v>200902</v>
      </c>
      <c r="B228">
        <v>-9.9600000000000009</v>
      </c>
      <c r="C228">
        <v>4.32</v>
      </c>
      <c r="D228">
        <v>-4.2300000000000004</v>
      </c>
      <c r="E228">
        <v>3.34</v>
      </c>
      <c r="F228">
        <v>-0.41</v>
      </c>
      <c r="G228">
        <v>0.01</v>
      </c>
      <c r="H228">
        <v>4.5</v>
      </c>
      <c r="J228" s="5">
        <v>44592</v>
      </c>
      <c r="K228" s="6">
        <f t="shared" si="22"/>
        <v>-4.1952190134791421</v>
      </c>
      <c r="L228" s="6">
        <f t="shared" si="23"/>
        <v>-2.3073965287049401</v>
      </c>
      <c r="M228" s="4">
        <f t="shared" si="24"/>
        <v>12.235273698264354</v>
      </c>
      <c r="N228" s="4">
        <f t="shared" si="25"/>
        <v>-5.4648865153538058</v>
      </c>
      <c r="O228" s="4">
        <f t="shared" si="26"/>
        <v>5.2726034712950609</v>
      </c>
      <c r="P228" s="4">
        <f t="shared" si="28"/>
        <v>-5.1511615487316424</v>
      </c>
      <c r="Q228">
        <v>-0.66200000000000003</v>
      </c>
      <c r="R228">
        <v>1.1234999999999999</v>
      </c>
      <c r="S228">
        <f t="shared" si="27"/>
        <v>-1.1873350923482962E-2</v>
      </c>
    </row>
    <row r="229" spans="1:19" x14ac:dyDescent="0.3">
      <c r="A229">
        <v>200903</v>
      </c>
      <c r="B229">
        <v>6.94</v>
      </c>
      <c r="C229">
        <v>-2.35</v>
      </c>
      <c r="D229">
        <v>1.46</v>
      </c>
      <c r="E229">
        <v>0.79</v>
      </c>
      <c r="F229">
        <v>-2.76</v>
      </c>
      <c r="G229">
        <v>0.02</v>
      </c>
      <c r="H229">
        <v>-10.31</v>
      </c>
      <c r="J229" s="5">
        <v>44620</v>
      </c>
      <c r="K229" s="6">
        <f t="shared" si="22"/>
        <v>-3.5783504280287608</v>
      </c>
      <c r="L229" s="6">
        <f t="shared" si="23"/>
        <v>0.42059898386665479</v>
      </c>
      <c r="M229" s="4">
        <f t="shared" si="24"/>
        <v>0.57081290667617435</v>
      </c>
      <c r="N229" s="4">
        <f t="shared" si="25"/>
        <v>0.66094126036188616</v>
      </c>
      <c r="O229" s="4">
        <f t="shared" si="26"/>
        <v>1.772524289152331</v>
      </c>
      <c r="P229" s="4">
        <f t="shared" si="28"/>
        <v>-2.0028523041269276E-2</v>
      </c>
      <c r="Q229">
        <v>-0.73499999999999999</v>
      </c>
      <c r="R229">
        <v>1.1218999999999999</v>
      </c>
      <c r="S229">
        <f t="shared" si="27"/>
        <v>-1.4241210502893287E-3</v>
      </c>
    </row>
    <row r="230" spans="1:19" x14ac:dyDescent="0.3">
      <c r="A230">
        <v>200904</v>
      </c>
      <c r="B230">
        <v>13.67</v>
      </c>
      <c r="C230">
        <v>2.09</v>
      </c>
      <c r="D230">
        <v>6.66</v>
      </c>
      <c r="E230">
        <v>-1.49</v>
      </c>
      <c r="F230">
        <v>-3.56</v>
      </c>
      <c r="G230">
        <v>0.01</v>
      </c>
      <c r="H230">
        <v>-26.09</v>
      </c>
      <c r="J230" s="5">
        <v>44651</v>
      </c>
      <c r="K230" s="6">
        <f t="shared" si="22"/>
        <v>1.0993311721506953</v>
      </c>
      <c r="L230" s="6">
        <f t="shared" si="23"/>
        <v>0.66906478720520468</v>
      </c>
      <c r="M230" s="4">
        <f t="shared" si="24"/>
        <v>0.40549381042739674</v>
      </c>
      <c r="N230" s="4">
        <f t="shared" si="25"/>
        <v>-0.28384566729917776</v>
      </c>
      <c r="O230" s="4">
        <f t="shared" si="26"/>
        <v>-0.14192283364958888</v>
      </c>
      <c r="P230" s="4">
        <f t="shared" si="28"/>
        <v>4.2272729737056105</v>
      </c>
      <c r="Q230">
        <v>-0.73499999999999999</v>
      </c>
      <c r="R230">
        <v>1.1067</v>
      </c>
      <c r="S230">
        <f t="shared" si="27"/>
        <v>-1.3548444602905718E-2</v>
      </c>
    </row>
    <row r="231" spans="1:19" x14ac:dyDescent="0.3">
      <c r="A231">
        <v>200905</v>
      </c>
      <c r="B231">
        <v>12.86</v>
      </c>
      <c r="C231">
        <v>1.0900000000000001</v>
      </c>
      <c r="D231">
        <v>-1.24</v>
      </c>
      <c r="E231">
        <v>1.35</v>
      </c>
      <c r="F231">
        <v>-2.67</v>
      </c>
      <c r="G231">
        <v>0</v>
      </c>
      <c r="H231">
        <v>-7.71</v>
      </c>
      <c r="J231" s="5">
        <v>44680</v>
      </c>
      <c r="K231" s="6">
        <f t="shared" si="22"/>
        <v>-1.1394581733860782</v>
      </c>
      <c r="L231" s="6">
        <f t="shared" si="23"/>
        <v>-1.0285120910384067</v>
      </c>
      <c r="M231" s="4">
        <f t="shared" si="24"/>
        <v>2.7706856330014227</v>
      </c>
      <c r="N231" s="4">
        <f t="shared" si="25"/>
        <v>0.5037610241820768</v>
      </c>
      <c r="O231" s="4">
        <f t="shared" si="26"/>
        <v>4.2714736842105268</v>
      </c>
      <c r="P231" s="4">
        <f t="shared" si="28"/>
        <v>2.1409843527738266</v>
      </c>
      <c r="Q231">
        <v>-0.69599999999999995</v>
      </c>
      <c r="R231">
        <v>1.0545</v>
      </c>
      <c r="S231">
        <f t="shared" si="27"/>
        <v>-4.7167253998373515E-2</v>
      </c>
    </row>
    <row r="232" spans="1:19" x14ac:dyDescent="0.3">
      <c r="A232">
        <v>200906</v>
      </c>
      <c r="B232">
        <v>-1.87</v>
      </c>
      <c r="C232">
        <v>1.61</v>
      </c>
      <c r="D232">
        <v>-1.19</v>
      </c>
      <c r="E232">
        <v>0.28999999999999998</v>
      </c>
      <c r="F232">
        <v>0.45</v>
      </c>
      <c r="G232">
        <v>0.01</v>
      </c>
      <c r="H232">
        <v>2.46</v>
      </c>
      <c r="J232" s="5">
        <v>44712</v>
      </c>
      <c r="K232" s="6">
        <f t="shared" si="22"/>
        <v>-0.4264446043936666</v>
      </c>
      <c r="L232" s="6">
        <f t="shared" si="23"/>
        <v>-1.1493991056456121</v>
      </c>
      <c r="M232" s="4">
        <f t="shared" si="24"/>
        <v>5.1379122414756857</v>
      </c>
      <c r="N232" s="4">
        <f t="shared" si="25"/>
        <v>-2.2496785913918393</v>
      </c>
      <c r="O232" s="4">
        <f t="shared" si="26"/>
        <v>1.6798910005589718</v>
      </c>
      <c r="P232" s="4">
        <f t="shared" si="28"/>
        <v>-1.6111235326998323</v>
      </c>
      <c r="Q232">
        <v>-0.61099999999999999</v>
      </c>
      <c r="R232">
        <v>1.0733999999999999</v>
      </c>
      <c r="S232">
        <f t="shared" si="27"/>
        <v>1.7923186344238839E-2</v>
      </c>
    </row>
    <row r="233" spans="1:19" x14ac:dyDescent="0.3">
      <c r="A233">
        <v>200907</v>
      </c>
      <c r="B233">
        <v>10.18</v>
      </c>
      <c r="C233">
        <v>-3.4</v>
      </c>
      <c r="D233">
        <v>3.78</v>
      </c>
      <c r="E233">
        <v>0.19</v>
      </c>
      <c r="F233">
        <v>-0.26</v>
      </c>
      <c r="G233">
        <v>0.01</v>
      </c>
      <c r="H233">
        <v>-1.56</v>
      </c>
      <c r="J233" s="5">
        <v>44742</v>
      </c>
      <c r="K233" s="6">
        <f t="shared" si="22"/>
        <v>-8.0698533133333061</v>
      </c>
      <c r="L233" s="6">
        <f t="shared" si="23"/>
        <v>-1.054561236169401</v>
      </c>
      <c r="M233" s="4">
        <f t="shared" si="24"/>
        <v>-2.5186608164822584</v>
      </c>
      <c r="N233" s="4">
        <f t="shared" si="25"/>
        <v>1.7610148798168637</v>
      </c>
      <c r="O233" s="4">
        <f t="shared" si="26"/>
        <v>0.21500763067531473</v>
      </c>
      <c r="P233" s="4">
        <f t="shared" si="28"/>
        <v>4.0544296070202206</v>
      </c>
      <c r="Q233">
        <v>-0.46600000000000003</v>
      </c>
      <c r="R233">
        <v>1.0484</v>
      </c>
      <c r="S233">
        <f t="shared" si="27"/>
        <v>-2.3290478852245111E-2</v>
      </c>
    </row>
    <row r="234" spans="1:19" x14ac:dyDescent="0.3">
      <c r="A234">
        <v>200908</v>
      </c>
      <c r="B234">
        <v>5.65</v>
      </c>
      <c r="C234">
        <v>2.64</v>
      </c>
      <c r="D234">
        <v>7.53</v>
      </c>
      <c r="E234">
        <v>-4.74</v>
      </c>
      <c r="F234">
        <v>2.4700000000000002</v>
      </c>
      <c r="G234">
        <v>0.01</v>
      </c>
      <c r="H234">
        <v>-9.2799999999999994</v>
      </c>
      <c r="J234" s="5">
        <v>44771</v>
      </c>
      <c r="K234" s="6">
        <f t="shared" si="22"/>
        <v>8.0994129158512447</v>
      </c>
      <c r="L234" s="6">
        <f t="shared" si="23"/>
        <v>0.17439138943248533</v>
      </c>
      <c r="M234" s="4">
        <f t="shared" si="24"/>
        <v>-6.1652485322896275</v>
      </c>
      <c r="N234" s="4">
        <f t="shared" si="25"/>
        <v>3.4365362035225049</v>
      </c>
      <c r="O234" s="4">
        <f t="shared" si="26"/>
        <v>-4.0315185909980427</v>
      </c>
      <c r="P234" s="4">
        <f t="shared" si="28"/>
        <v>-2.9338786692759293</v>
      </c>
      <c r="Q234">
        <v>-2.7E-2</v>
      </c>
      <c r="R234">
        <v>1.022</v>
      </c>
      <c r="S234">
        <f t="shared" si="27"/>
        <v>-2.518122853872562E-2</v>
      </c>
    </row>
    <row r="235" spans="1:19" x14ac:dyDescent="0.3">
      <c r="A235">
        <v>200909</v>
      </c>
      <c r="B235">
        <v>5.43</v>
      </c>
      <c r="C235">
        <v>1.94</v>
      </c>
      <c r="D235">
        <v>1.1299999999999999</v>
      </c>
      <c r="E235">
        <v>0.19</v>
      </c>
      <c r="F235">
        <v>1.21</v>
      </c>
      <c r="G235">
        <v>0.01</v>
      </c>
      <c r="H235">
        <v>-2.8</v>
      </c>
      <c r="J235" s="5">
        <v>44804</v>
      </c>
      <c r="K235" s="6">
        <f t="shared" si="22"/>
        <v>-4.9438520373544508</v>
      </c>
      <c r="L235" s="6">
        <f t="shared" si="23"/>
        <v>-0.5082554207280684</v>
      </c>
      <c r="M235" s="4">
        <f t="shared" si="24"/>
        <v>5.4993236522776998</v>
      </c>
      <c r="N235" s="4">
        <f t="shared" si="25"/>
        <v>-3.2629998010741987</v>
      </c>
      <c r="O235" s="4">
        <f t="shared" si="26"/>
        <v>2.2058285259598165</v>
      </c>
      <c r="P235" s="4">
        <f t="shared" si="28"/>
        <v>6.3836880843445387</v>
      </c>
      <c r="Q235">
        <v>7.6999999999999999E-2</v>
      </c>
      <c r="R235">
        <v>1.0054000000000001</v>
      </c>
      <c r="S235">
        <f t="shared" si="27"/>
        <v>-1.6242661448140794E-2</v>
      </c>
    </row>
    <row r="236" spans="1:19" x14ac:dyDescent="0.3">
      <c r="A236">
        <v>200910</v>
      </c>
      <c r="B236">
        <v>-1.85</v>
      </c>
      <c r="C236">
        <v>1.44</v>
      </c>
      <c r="D236">
        <v>-3.28</v>
      </c>
      <c r="E236">
        <v>2.86</v>
      </c>
      <c r="F236">
        <v>-0.36</v>
      </c>
      <c r="G236">
        <v>0</v>
      </c>
      <c r="H236">
        <v>3.7</v>
      </c>
      <c r="J236" s="5">
        <v>44834</v>
      </c>
      <c r="K236" s="6">
        <f t="shared" si="22"/>
        <v>-7.333517096035747</v>
      </c>
      <c r="L236" s="6">
        <f t="shared" si="23"/>
        <v>-3.600238726790451</v>
      </c>
      <c r="M236" s="4">
        <f t="shared" si="24"/>
        <v>1.2821362987145482</v>
      </c>
      <c r="N236" s="4">
        <f t="shared" si="25"/>
        <v>-0.21539889818404409</v>
      </c>
      <c r="O236" s="4">
        <f t="shared" si="26"/>
        <v>2.8206998571720061</v>
      </c>
      <c r="P236" s="4">
        <f t="shared" si="28"/>
        <v>4.1438645174454196</v>
      </c>
      <c r="Q236">
        <v>0.80100000000000005</v>
      </c>
      <c r="R236">
        <v>0.98019999999999996</v>
      </c>
      <c r="S236">
        <f t="shared" si="27"/>
        <v>-2.5064650885219919E-2</v>
      </c>
    </row>
    <row r="237" spans="1:19" x14ac:dyDescent="0.3">
      <c r="A237">
        <v>200911</v>
      </c>
      <c r="B237">
        <v>3</v>
      </c>
      <c r="C237">
        <v>-1.99</v>
      </c>
      <c r="D237">
        <v>-1.22</v>
      </c>
      <c r="E237">
        <v>2.94</v>
      </c>
      <c r="F237">
        <v>0.83</v>
      </c>
      <c r="G237">
        <v>0</v>
      </c>
      <c r="H237">
        <v>1.91</v>
      </c>
      <c r="J237" s="5">
        <v>44865</v>
      </c>
      <c r="K237" s="6">
        <f t="shared" si="22"/>
        <v>5.9588334788864632</v>
      </c>
      <c r="L237" s="6">
        <f t="shared" si="23"/>
        <v>-0.66457599676178913</v>
      </c>
      <c r="M237" s="4">
        <f t="shared" si="24"/>
        <v>2.4202469135802467</v>
      </c>
      <c r="N237" s="4">
        <f t="shared" si="25"/>
        <v>1.1605282331511839</v>
      </c>
      <c r="O237" s="4">
        <f t="shared" si="26"/>
        <v>0.12894758146124266</v>
      </c>
      <c r="P237" s="4">
        <f t="shared" si="28"/>
        <v>-1.2993948593402145</v>
      </c>
      <c r="Q237">
        <v>0.98299999999999998</v>
      </c>
      <c r="R237">
        <v>0.98819999999999997</v>
      </c>
      <c r="S237">
        <f t="shared" si="27"/>
        <v>8.1615996735360241E-3</v>
      </c>
    </row>
    <row r="238" spans="1:19" x14ac:dyDescent="0.3">
      <c r="A238">
        <v>200912</v>
      </c>
      <c r="B238">
        <v>0.94</v>
      </c>
      <c r="C238">
        <v>-1.88</v>
      </c>
      <c r="D238">
        <v>-1.24</v>
      </c>
      <c r="E238">
        <v>2.06</v>
      </c>
      <c r="F238">
        <v>-0.01</v>
      </c>
      <c r="G238">
        <v>0.01</v>
      </c>
      <c r="H238">
        <v>0.21</v>
      </c>
      <c r="J238" s="5">
        <v>44895</v>
      </c>
      <c r="K238" s="6">
        <f t="shared" si="22"/>
        <v>7.16255162590602</v>
      </c>
      <c r="L238" s="6">
        <f t="shared" si="23"/>
        <v>-1.7188564289832788</v>
      </c>
      <c r="M238" s="4">
        <f t="shared" si="24"/>
        <v>-1.0920911012877184</v>
      </c>
      <c r="N238" s="4">
        <f t="shared" si="25"/>
        <v>0.99712665769748221</v>
      </c>
      <c r="O238" s="4">
        <f t="shared" si="26"/>
        <v>-1.1395733230828367</v>
      </c>
      <c r="P238" s="4">
        <f t="shared" si="28"/>
        <v>-5.0236190659235049</v>
      </c>
      <c r="Q238">
        <v>1.25</v>
      </c>
      <c r="R238">
        <v>1.0406</v>
      </c>
      <c r="S238">
        <f t="shared" si="27"/>
        <v>5.3025703298927418E-2</v>
      </c>
    </row>
    <row r="239" spans="1:19" x14ac:dyDescent="0.3">
      <c r="A239">
        <v>201001</v>
      </c>
      <c r="B239">
        <v>-5.28</v>
      </c>
      <c r="C239">
        <v>4.68</v>
      </c>
      <c r="D239">
        <v>-1.87</v>
      </c>
      <c r="E239">
        <v>1.49</v>
      </c>
      <c r="F239">
        <v>-0.04</v>
      </c>
      <c r="G239">
        <v>0</v>
      </c>
      <c r="H239">
        <v>0.54</v>
      </c>
      <c r="J239" s="5">
        <v>44925</v>
      </c>
      <c r="K239" s="6">
        <f t="shared" si="22"/>
        <v>-3.634599604588836</v>
      </c>
      <c r="L239" s="6">
        <f t="shared" si="23"/>
        <v>1.48726576366184</v>
      </c>
      <c r="M239" s="4">
        <f t="shared" si="24"/>
        <v>2.5079383465670246</v>
      </c>
      <c r="N239" s="4">
        <f t="shared" si="25"/>
        <v>-0.82625875758991119</v>
      </c>
      <c r="O239" s="4">
        <f t="shared" si="26"/>
        <v>1.0109518916394207</v>
      </c>
      <c r="P239" s="4">
        <f t="shared" si="28"/>
        <v>2.7898383932741706</v>
      </c>
      <c r="Q239">
        <v>1.78</v>
      </c>
      <c r="R239">
        <v>1.0705</v>
      </c>
      <c r="S239">
        <f t="shared" si="27"/>
        <v>2.8733423025177895E-2</v>
      </c>
    </row>
    <row r="240" spans="1:19" x14ac:dyDescent="0.3">
      <c r="A240">
        <v>201002</v>
      </c>
      <c r="B240">
        <v>-2.1</v>
      </c>
      <c r="C240">
        <v>-0.83</v>
      </c>
      <c r="D240">
        <v>-1.79</v>
      </c>
      <c r="E240">
        <v>0.75</v>
      </c>
      <c r="F240">
        <v>-0.53</v>
      </c>
      <c r="G240">
        <v>0</v>
      </c>
      <c r="H240">
        <v>0.24</v>
      </c>
      <c r="J240" s="5">
        <v>44957</v>
      </c>
      <c r="K240" s="6">
        <f t="shared" si="22"/>
        <v>6.755880347894502</v>
      </c>
      <c r="L240" s="6">
        <f t="shared" si="23"/>
        <v>-1.3402190923317685</v>
      </c>
      <c r="M240" s="4">
        <f t="shared" si="24"/>
        <v>1.1234189450428056</v>
      </c>
      <c r="N240" s="4">
        <f t="shared" si="25"/>
        <v>-1.0938552885943109</v>
      </c>
      <c r="O240" s="4">
        <f t="shared" si="26"/>
        <v>1.1726917057902972</v>
      </c>
      <c r="P240" s="4">
        <f t="shared" si="28"/>
        <v>-5.1834944306361033</v>
      </c>
      <c r="Q240">
        <v>2.194</v>
      </c>
      <c r="R240">
        <v>1.0863</v>
      </c>
      <c r="S240">
        <f t="shared" si="27"/>
        <v>1.4759458197104225E-2</v>
      </c>
    </row>
    <row r="241" spans="1:19" x14ac:dyDescent="0.3">
      <c r="A241">
        <v>201003</v>
      </c>
      <c r="B241">
        <v>6.41</v>
      </c>
      <c r="C241">
        <v>-0.71</v>
      </c>
      <c r="D241">
        <v>4.2699999999999996</v>
      </c>
      <c r="E241">
        <v>0.12</v>
      </c>
      <c r="F241">
        <v>-0.38</v>
      </c>
      <c r="G241">
        <v>0.01</v>
      </c>
      <c r="H241">
        <v>5.15</v>
      </c>
      <c r="J241" s="5">
        <v>44985</v>
      </c>
      <c r="K241" s="6">
        <f t="shared" si="22"/>
        <v>1.4754115883986518</v>
      </c>
      <c r="L241" s="6">
        <f t="shared" si="23"/>
        <v>0.39031202723146746</v>
      </c>
      <c r="M241" s="4">
        <f t="shared" si="24"/>
        <v>3.4511800302571856</v>
      </c>
      <c r="N241" s="4">
        <f t="shared" si="25"/>
        <v>0.47248298033282904</v>
      </c>
      <c r="O241" s="4">
        <f t="shared" si="26"/>
        <v>0.81143816187594553</v>
      </c>
      <c r="P241" s="4">
        <f t="shared" si="28"/>
        <v>1.6023335854765506</v>
      </c>
      <c r="Q241">
        <v>2.6680000000000001</v>
      </c>
      <c r="R241">
        <v>1.0576000000000001</v>
      </c>
      <c r="S241">
        <f t="shared" si="27"/>
        <v>-2.6419957654423176E-2</v>
      </c>
    </row>
    <row r="242" spans="1:19" x14ac:dyDescent="0.3">
      <c r="A242">
        <v>201004</v>
      </c>
      <c r="B242">
        <v>-1.66</v>
      </c>
      <c r="C242">
        <v>3.12</v>
      </c>
      <c r="D242">
        <v>-0.28999999999999998</v>
      </c>
      <c r="E242">
        <v>2.25</v>
      </c>
      <c r="F242">
        <v>-0.74</v>
      </c>
      <c r="G242">
        <v>0.01</v>
      </c>
      <c r="H242">
        <v>2.2000000000000002</v>
      </c>
      <c r="J242" s="5">
        <v>45016</v>
      </c>
      <c r="K242" s="6">
        <f t="shared" si="22"/>
        <v>-0.30394492743732232</v>
      </c>
      <c r="L242" s="6">
        <f t="shared" si="23"/>
        <v>-3.7956121413414525</v>
      </c>
      <c r="M242" s="4">
        <f t="shared" si="24"/>
        <v>-5.9910176215518032</v>
      </c>
      <c r="N242" s="4">
        <f t="shared" si="25"/>
        <v>3.7273106375126854</v>
      </c>
      <c r="O242" s="4">
        <f t="shared" si="26"/>
        <v>-0.3122354460743611</v>
      </c>
      <c r="P242" s="4">
        <f t="shared" si="28"/>
        <v>0.20490451148629948</v>
      </c>
      <c r="Q242">
        <v>2.7069999999999999</v>
      </c>
      <c r="R242">
        <v>1.0839000000000001</v>
      </c>
      <c r="S242">
        <f t="shared" si="27"/>
        <v>2.4867624810892552E-2</v>
      </c>
    </row>
    <row r="243" spans="1:19" x14ac:dyDescent="0.3">
      <c r="A243">
        <v>201005</v>
      </c>
      <c r="B243">
        <v>-12.05</v>
      </c>
      <c r="C243">
        <v>-0.55000000000000004</v>
      </c>
      <c r="D243">
        <v>-3.59</v>
      </c>
      <c r="E243">
        <v>0.68</v>
      </c>
      <c r="F243">
        <v>-0.85</v>
      </c>
      <c r="G243">
        <v>0.01</v>
      </c>
      <c r="H243">
        <v>0.96</v>
      </c>
      <c r="J243" s="5">
        <v>45044</v>
      </c>
      <c r="K243" s="6">
        <f t="shared" si="22"/>
        <v>1.9310734161541621</v>
      </c>
      <c r="L243" s="6">
        <f t="shared" si="23"/>
        <v>-1.003337870950177</v>
      </c>
      <c r="M243" s="4">
        <f t="shared" si="24"/>
        <v>1.1213776204737271</v>
      </c>
      <c r="N243" s="4">
        <f t="shared" si="25"/>
        <v>-1.3574571195208276</v>
      </c>
      <c r="O243" s="4">
        <f t="shared" si="26"/>
        <v>1.0426844541246938</v>
      </c>
      <c r="P243" s="4">
        <f t="shared" si="28"/>
        <v>-0.39346583174516747</v>
      </c>
      <c r="Q243">
        <v>2.7530000000000001</v>
      </c>
      <c r="R243">
        <v>1.1019000000000001</v>
      </c>
      <c r="S243">
        <f t="shared" si="27"/>
        <v>1.6606698034874023E-2</v>
      </c>
    </row>
    <row r="244" spans="1:19" x14ac:dyDescent="0.3">
      <c r="A244">
        <v>201006</v>
      </c>
      <c r="B244">
        <v>-0.98</v>
      </c>
      <c r="C244">
        <v>-7.0000000000000007E-2</v>
      </c>
      <c r="D244">
        <v>-2.2200000000000002</v>
      </c>
      <c r="E244">
        <v>-1.07</v>
      </c>
      <c r="F244">
        <v>-1.1100000000000001</v>
      </c>
      <c r="G244">
        <v>0.01</v>
      </c>
      <c r="H244">
        <v>1.65</v>
      </c>
      <c r="J244" s="5">
        <v>45077</v>
      </c>
      <c r="K244" s="6">
        <f t="shared" si="22"/>
        <v>-2.6438490497848721</v>
      </c>
      <c r="L244" s="6">
        <f t="shared" si="23"/>
        <v>0.97932921695200681</v>
      </c>
      <c r="M244" s="4">
        <f t="shared" si="24"/>
        <v>-1.2679736177378615</v>
      </c>
      <c r="N244" s="4">
        <f t="shared" si="25"/>
        <v>-0.76284591636261589</v>
      </c>
      <c r="O244" s="4">
        <f t="shared" si="26"/>
        <v>0.1133960145944429</v>
      </c>
      <c r="P244" s="4">
        <f t="shared" si="28"/>
        <v>2.5771821498737024</v>
      </c>
      <c r="Q244">
        <v>2.9209999999999998</v>
      </c>
      <c r="R244">
        <v>1.0689</v>
      </c>
      <c r="S244">
        <f t="shared" si="27"/>
        <v>-2.994827116798271E-2</v>
      </c>
    </row>
    <row r="245" spans="1:19" x14ac:dyDescent="0.3">
      <c r="A245">
        <v>201007</v>
      </c>
      <c r="B245">
        <v>11.88</v>
      </c>
      <c r="C245">
        <v>-1.71</v>
      </c>
      <c r="D245">
        <v>4.59</v>
      </c>
      <c r="E245">
        <v>-2.85</v>
      </c>
      <c r="F245">
        <v>0.97</v>
      </c>
      <c r="G245">
        <v>0.01</v>
      </c>
      <c r="H245">
        <v>-1.86</v>
      </c>
      <c r="J245" s="5">
        <v>45107</v>
      </c>
      <c r="K245" s="6">
        <f t="shared" si="22"/>
        <v>2.2504668961282444</v>
      </c>
      <c r="L245" s="6">
        <f t="shared" si="23"/>
        <v>-2.1948262902190852</v>
      </c>
      <c r="M245" s="4">
        <f t="shared" si="24"/>
        <v>2.3613979283160691</v>
      </c>
      <c r="N245" s="4">
        <f t="shared" si="25"/>
        <v>9.7983316527637726E-2</v>
      </c>
      <c r="O245" s="4">
        <f t="shared" si="26"/>
        <v>0.84265652213768438</v>
      </c>
      <c r="P245" s="4">
        <f t="shared" si="28"/>
        <v>1.9498679988999905</v>
      </c>
      <c r="Q245">
        <v>3.3820000000000001</v>
      </c>
      <c r="R245">
        <v>1.0909</v>
      </c>
      <c r="S245">
        <f t="shared" si="27"/>
        <v>2.0581906632987312E-2</v>
      </c>
    </row>
    <row r="246" spans="1:19" x14ac:dyDescent="0.3">
      <c r="A246">
        <v>201008</v>
      </c>
      <c r="B246">
        <v>-4.26</v>
      </c>
      <c r="C246">
        <v>-7.0000000000000007E-2</v>
      </c>
      <c r="D246">
        <v>-2.69</v>
      </c>
      <c r="E246">
        <v>2.63</v>
      </c>
      <c r="F246">
        <v>-2.11</v>
      </c>
      <c r="G246">
        <v>0.01</v>
      </c>
      <c r="H246">
        <v>3.8</v>
      </c>
      <c r="J246" s="5">
        <v>45138</v>
      </c>
      <c r="K246" s="6">
        <f t="shared" si="22"/>
        <v>1.7986028269229153</v>
      </c>
      <c r="L246" s="6">
        <f t="shared" si="23"/>
        <v>0.47615895244157502</v>
      </c>
      <c r="M246" s="4">
        <f t="shared" si="24"/>
        <v>2.7180740201873244</v>
      </c>
      <c r="N246" s="4">
        <f t="shared" si="25"/>
        <v>-1.5276766390833867</v>
      </c>
      <c r="O246" s="4">
        <f t="shared" si="26"/>
        <v>0.67455851595889804</v>
      </c>
      <c r="P246" s="4">
        <f t="shared" si="28"/>
        <v>-2.5494343911975998</v>
      </c>
      <c r="Q246">
        <v>3.5430000000000001</v>
      </c>
      <c r="R246">
        <v>1.0996999999999999</v>
      </c>
      <c r="S246">
        <f t="shared" si="27"/>
        <v>8.066733889448896E-3</v>
      </c>
    </row>
    <row r="247" spans="1:19" x14ac:dyDescent="0.3">
      <c r="A247">
        <v>201009</v>
      </c>
      <c r="B247">
        <v>11.56</v>
      </c>
      <c r="C247">
        <v>0.92</v>
      </c>
      <c r="D247">
        <v>-0.26</v>
      </c>
      <c r="E247">
        <v>-0.5</v>
      </c>
      <c r="F247">
        <v>1.55</v>
      </c>
      <c r="G247">
        <v>0.01</v>
      </c>
      <c r="H247">
        <v>4.3499999999999996</v>
      </c>
      <c r="J247" s="5">
        <v>45169</v>
      </c>
      <c r="K247" s="6">
        <f t="shared" si="22"/>
        <v>-3.0798755892002916</v>
      </c>
      <c r="L247" s="6">
        <f t="shared" si="23"/>
        <v>-0.32454486765655255</v>
      </c>
      <c r="M247" s="4">
        <f t="shared" si="24"/>
        <v>1.6835765009683663</v>
      </c>
      <c r="N247" s="4">
        <f t="shared" si="25"/>
        <v>0.6997998708844414</v>
      </c>
      <c r="O247" s="4">
        <f t="shared" si="26"/>
        <v>1.8255648805681082</v>
      </c>
      <c r="P247" s="4">
        <f t="shared" si="28"/>
        <v>1.2170432537120721</v>
      </c>
      <c r="Q247">
        <v>3.581</v>
      </c>
      <c r="R247">
        <v>1.0843</v>
      </c>
      <c r="S247">
        <f t="shared" si="27"/>
        <v>-1.4003819223424419E-2</v>
      </c>
    </row>
    <row r="248" spans="1:19" x14ac:dyDescent="0.3">
      <c r="A248">
        <v>201010</v>
      </c>
      <c r="B248">
        <v>4.9800000000000004</v>
      </c>
      <c r="C248">
        <v>0.61</v>
      </c>
      <c r="D248">
        <v>7.0000000000000007E-2</v>
      </c>
      <c r="E248">
        <v>1.39</v>
      </c>
      <c r="F248">
        <v>-0.32</v>
      </c>
      <c r="G248">
        <v>0.01</v>
      </c>
      <c r="H248">
        <v>0.19</v>
      </c>
      <c r="J248" s="5">
        <v>45198</v>
      </c>
      <c r="K248" s="6">
        <f t="shared" si="22"/>
        <v>-2.396591133528271</v>
      </c>
      <c r="L248" s="6">
        <f t="shared" si="23"/>
        <v>-1.3947299725716451</v>
      </c>
      <c r="M248" s="4">
        <f t="shared" si="24"/>
        <v>3.6304000756644288</v>
      </c>
      <c r="N248" s="4">
        <f t="shared" si="25"/>
        <v>0.13331977678993664</v>
      </c>
      <c r="O248" s="4">
        <f t="shared" si="26"/>
        <v>1.3434531353447463</v>
      </c>
      <c r="P248" s="4">
        <f t="shared" si="28"/>
        <v>4.1021469781518966E-2</v>
      </c>
      <c r="Q248">
        <v>3.64</v>
      </c>
      <c r="R248">
        <v>1.0572999999999999</v>
      </c>
      <c r="S248">
        <f t="shared" si="27"/>
        <v>-2.4900857696209644E-2</v>
      </c>
    </row>
    <row r="249" spans="1:19" x14ac:dyDescent="0.3">
      <c r="A249">
        <v>201011</v>
      </c>
      <c r="B249">
        <v>-8.0299999999999994</v>
      </c>
      <c r="C249">
        <v>1.06</v>
      </c>
      <c r="D249">
        <v>-3.42</v>
      </c>
      <c r="E249">
        <v>1.75</v>
      </c>
      <c r="F249">
        <v>0.12</v>
      </c>
      <c r="G249">
        <v>0.01</v>
      </c>
      <c r="H249">
        <v>7.91</v>
      </c>
      <c r="J249" s="5">
        <v>45230</v>
      </c>
      <c r="K249" s="6">
        <f t="shared" si="22"/>
        <v>-4.2173530230901592</v>
      </c>
      <c r="L249" s="6">
        <f t="shared" si="23"/>
        <v>-1.9696274231678481</v>
      </c>
      <c r="M249" s="4">
        <f t="shared" si="24"/>
        <v>0.77985248226950332</v>
      </c>
      <c r="N249" s="4">
        <f t="shared" si="25"/>
        <v>0.56989219858156004</v>
      </c>
      <c r="O249" s="4">
        <f t="shared" si="26"/>
        <v>0.80984680851063817</v>
      </c>
      <c r="P249" s="4">
        <f t="shared" si="28"/>
        <v>1.2697598108747041</v>
      </c>
      <c r="Q249">
        <v>3.7410000000000001</v>
      </c>
      <c r="R249">
        <v>1.0575000000000001</v>
      </c>
      <c r="S249">
        <f t="shared" si="27"/>
        <v>1.89161070651922E-4</v>
      </c>
    </row>
    <row r="250" spans="1:19" x14ac:dyDescent="0.3">
      <c r="A250">
        <v>201012</v>
      </c>
      <c r="B250">
        <v>9.0399999999999991</v>
      </c>
      <c r="C250">
        <v>2.12</v>
      </c>
      <c r="D250">
        <v>1.17</v>
      </c>
      <c r="E250">
        <v>-1.67</v>
      </c>
      <c r="F250">
        <v>1.17</v>
      </c>
      <c r="G250">
        <v>0.01</v>
      </c>
      <c r="H250">
        <v>1.88</v>
      </c>
      <c r="J250" s="5">
        <v>45260</v>
      </c>
      <c r="K250" s="6">
        <f t="shared" si="22"/>
        <v>6.1903851695469845</v>
      </c>
      <c r="L250" s="6">
        <f t="shared" si="23"/>
        <v>-0.25252571638501109</v>
      </c>
      <c r="M250" s="4">
        <f t="shared" si="24"/>
        <v>-0.88384000734753876</v>
      </c>
      <c r="N250" s="4">
        <f t="shared" si="25"/>
        <v>-1.2043534166054375</v>
      </c>
      <c r="O250" s="4">
        <f t="shared" si="26"/>
        <v>-2.4184193607641449</v>
      </c>
      <c r="P250" s="4">
        <f t="shared" si="28"/>
        <v>1.3694663850110216</v>
      </c>
      <c r="Q250">
        <v>3.6869999999999998</v>
      </c>
      <c r="R250">
        <v>1.0888</v>
      </c>
      <c r="S250">
        <f t="shared" si="27"/>
        <v>2.9598108747044716E-2</v>
      </c>
    </row>
    <row r="251" spans="1:19" x14ac:dyDescent="0.3">
      <c r="A251">
        <v>201101</v>
      </c>
      <c r="B251">
        <v>3.68</v>
      </c>
      <c r="C251">
        <v>-0.16</v>
      </c>
      <c r="D251">
        <v>5.47</v>
      </c>
      <c r="E251">
        <v>-3</v>
      </c>
      <c r="F251">
        <v>1.31</v>
      </c>
      <c r="G251">
        <v>0.01</v>
      </c>
      <c r="H251">
        <v>-5.51</v>
      </c>
      <c r="J251" s="5">
        <v>45289</v>
      </c>
      <c r="K251" s="6">
        <f t="shared" si="22"/>
        <v>3.7439849028413352</v>
      </c>
      <c r="L251" s="6">
        <f t="shared" si="23"/>
        <v>3.4225346498777061</v>
      </c>
      <c r="M251" s="4">
        <f t="shared" si="24"/>
        <v>-0.60165594709665726</v>
      </c>
      <c r="N251" s="4">
        <f t="shared" si="25"/>
        <v>0.2564435184346408</v>
      </c>
      <c r="O251" s="4">
        <f t="shared" si="26"/>
        <v>-1.1638590452033697</v>
      </c>
      <c r="P251" s="4">
        <f t="shared" si="28"/>
        <v>-3.7677470785397222</v>
      </c>
      <c r="Q251">
        <v>3.6579999999999999</v>
      </c>
      <c r="R251">
        <v>1.1039000000000001</v>
      </c>
      <c r="S251">
        <f t="shared" si="27"/>
        <v>1.386847905951516E-2</v>
      </c>
    </row>
    <row r="252" spans="1:19" x14ac:dyDescent="0.3">
      <c r="A252">
        <v>201102</v>
      </c>
      <c r="B252">
        <v>3.06</v>
      </c>
      <c r="C252">
        <v>-1.08</v>
      </c>
      <c r="D252">
        <v>0.7</v>
      </c>
      <c r="E252">
        <v>0.5</v>
      </c>
      <c r="F252">
        <v>0.06</v>
      </c>
      <c r="G252">
        <v>0.01</v>
      </c>
      <c r="H252">
        <v>-0.17</v>
      </c>
      <c r="J252" s="5">
        <v>45322</v>
      </c>
      <c r="K252" s="6">
        <f t="shared" si="22"/>
        <v>0.62996642581998141</v>
      </c>
      <c r="L252" s="6">
        <f t="shared" si="23"/>
        <v>-1.6020733961915326</v>
      </c>
      <c r="M252" s="4">
        <f t="shared" si="24"/>
        <v>-1.0204289147716767</v>
      </c>
      <c r="N252" s="4">
        <f t="shared" si="25"/>
        <v>0.72450452948789046</v>
      </c>
      <c r="O252" s="4">
        <f t="shared" si="26"/>
        <v>0.31633296357921981</v>
      </c>
      <c r="P252" s="4">
        <f t="shared" si="28"/>
        <v>3.3470068404510998</v>
      </c>
      <c r="Q252">
        <v>3.722</v>
      </c>
      <c r="R252">
        <v>1.0818000000000001</v>
      </c>
      <c r="S252">
        <f t="shared" si="27"/>
        <v>-2.0019929341425824E-2</v>
      </c>
    </row>
    <row r="253" spans="1:19" x14ac:dyDescent="0.3">
      <c r="A253">
        <v>201103</v>
      </c>
      <c r="B253">
        <v>-0.17</v>
      </c>
      <c r="C253">
        <v>2.12</v>
      </c>
      <c r="D253">
        <v>-1.85</v>
      </c>
      <c r="E253">
        <v>1.96</v>
      </c>
      <c r="F253">
        <v>-0.35</v>
      </c>
      <c r="G253">
        <v>0.01</v>
      </c>
      <c r="H253">
        <v>2.1800000000000002</v>
      </c>
      <c r="J253" s="5">
        <v>45351</v>
      </c>
      <c r="K253" s="6">
        <f t="shared" si="22"/>
        <v>1.5064301788238612</v>
      </c>
      <c r="L253" s="6">
        <f t="shared" si="23"/>
        <v>-2.8934770939379919</v>
      </c>
      <c r="M253" s="4">
        <f t="shared" si="24"/>
        <v>-0.7609143914854235</v>
      </c>
      <c r="N253" s="4">
        <f t="shared" si="25"/>
        <v>1.091311429893568</v>
      </c>
      <c r="O253" s="4">
        <f t="shared" si="26"/>
        <v>-1.952346136048126</v>
      </c>
      <c r="P253" s="4">
        <f t="shared" si="28"/>
        <v>3.3540305414160114</v>
      </c>
      <c r="Q253">
        <v>3.7709999999999999</v>
      </c>
      <c r="R253">
        <v>1.0805</v>
      </c>
      <c r="S253">
        <f t="shared" si="27"/>
        <v>-1.2017008689222397E-3</v>
      </c>
    </row>
    <row r="254" spans="1:19" x14ac:dyDescent="0.3">
      <c r="A254">
        <v>201104</v>
      </c>
      <c r="B254">
        <v>8.14</v>
      </c>
      <c r="C254">
        <v>-1.08</v>
      </c>
      <c r="D254">
        <v>-0.76</v>
      </c>
      <c r="E254">
        <v>1.06</v>
      </c>
      <c r="F254">
        <v>0.69</v>
      </c>
      <c r="G254">
        <v>0</v>
      </c>
      <c r="H254">
        <v>2.4900000000000002</v>
      </c>
      <c r="J254" s="5">
        <v>45380</v>
      </c>
      <c r="K254" s="6">
        <f t="shared" si="22"/>
        <v>3.5242021531859775</v>
      </c>
      <c r="L254" s="6">
        <f t="shared" si="23"/>
        <v>-1.1015291936978686</v>
      </c>
      <c r="M254" s="4">
        <f t="shared" si="24"/>
        <v>3.5749629286376274</v>
      </c>
      <c r="N254" s="4">
        <f t="shared" si="25"/>
        <v>-2.1029193697868398</v>
      </c>
      <c r="O254" s="4">
        <f t="shared" si="26"/>
        <v>0.44061167747914737</v>
      </c>
      <c r="P254" s="4">
        <f t="shared" si="28"/>
        <v>0.38052826691380909</v>
      </c>
      <c r="Q254">
        <v>3.68</v>
      </c>
      <c r="R254">
        <v>1.079</v>
      </c>
      <c r="S254">
        <f t="shared" si="27"/>
        <v>-1.3882461823230274E-3</v>
      </c>
    </row>
    <row r="255" spans="1:19" x14ac:dyDescent="0.3">
      <c r="A255">
        <v>201105</v>
      </c>
      <c r="B255">
        <v>-3.06</v>
      </c>
      <c r="C255">
        <v>0.21</v>
      </c>
      <c r="D255">
        <v>-2.25</v>
      </c>
      <c r="E255">
        <v>1.86</v>
      </c>
      <c r="F255">
        <v>-0.6</v>
      </c>
      <c r="G255">
        <v>0</v>
      </c>
      <c r="H255">
        <v>0.6</v>
      </c>
      <c r="J255" s="5">
        <v>45412</v>
      </c>
      <c r="K255" s="6">
        <f t="shared" si="22"/>
        <v>-1.2137258321795847</v>
      </c>
      <c r="L255" s="6">
        <f t="shared" si="23"/>
        <v>1.0419744984061503</v>
      </c>
      <c r="M255" s="4">
        <f t="shared" si="24"/>
        <v>2.9944121507594224</v>
      </c>
      <c r="N255" s="4">
        <f t="shared" si="25"/>
        <v>-0.3540690043127695</v>
      </c>
      <c r="O255" s="4">
        <f t="shared" si="26"/>
        <v>1.1532533283330206</v>
      </c>
      <c r="P255" s="4">
        <f t="shared" si="28"/>
        <v>-0.93069566847927998</v>
      </c>
      <c r="Q255">
        <v>3.6379999999999999</v>
      </c>
      <c r="R255">
        <v>1.0666</v>
      </c>
      <c r="S255">
        <f t="shared" si="27"/>
        <v>-1.1492122335495791E-2</v>
      </c>
    </row>
    <row r="256" spans="1:19" x14ac:dyDescent="0.3">
      <c r="A256">
        <v>201106</v>
      </c>
      <c r="B256">
        <v>-2.0499999999999998</v>
      </c>
      <c r="C256">
        <v>-1.2</v>
      </c>
      <c r="D256">
        <v>0.08</v>
      </c>
      <c r="E256">
        <v>1.05</v>
      </c>
      <c r="F256">
        <v>-0.69</v>
      </c>
      <c r="G256">
        <v>0</v>
      </c>
      <c r="H256">
        <v>2.34</v>
      </c>
      <c r="J256" s="5">
        <v>45443</v>
      </c>
      <c r="K256" s="6">
        <f t="shared" si="22"/>
        <v>3.3424925698064412</v>
      </c>
      <c r="L256" s="6">
        <f t="shared" si="23"/>
        <v>2.3105733775811208</v>
      </c>
      <c r="M256" s="4">
        <f t="shared" si="24"/>
        <v>0.3834568584070796</v>
      </c>
      <c r="N256" s="4">
        <f t="shared" si="25"/>
        <v>-1.2781895280235989</v>
      </c>
      <c r="O256" s="4">
        <f t="shared" si="26"/>
        <v>0.34412794985250733</v>
      </c>
      <c r="P256" s="4">
        <f t="shared" si="28"/>
        <v>0.91439712389380534</v>
      </c>
      <c r="Q256">
        <v>3.5880000000000001</v>
      </c>
      <c r="R256">
        <v>1.0848</v>
      </c>
      <c r="S256">
        <f t="shared" si="27"/>
        <v>1.7063566472904634E-2</v>
      </c>
    </row>
    <row r="257" spans="1:19" x14ac:dyDescent="0.3">
      <c r="A257">
        <v>201107</v>
      </c>
      <c r="B257">
        <v>-3.33</v>
      </c>
      <c r="C257">
        <v>0.22</v>
      </c>
      <c r="D257">
        <v>-4.05</v>
      </c>
      <c r="E257">
        <v>2.2400000000000002</v>
      </c>
      <c r="F257">
        <v>-0.48</v>
      </c>
      <c r="G257">
        <v>0</v>
      </c>
      <c r="H257">
        <v>1.62</v>
      </c>
      <c r="J257" s="5">
        <v>45471</v>
      </c>
      <c r="K257" s="6">
        <f t="shared" si="22"/>
        <v>-1.9409192314036445</v>
      </c>
      <c r="L257" s="6">
        <f t="shared" si="23"/>
        <v>-1.4885242229067488</v>
      </c>
      <c r="M257" s="4">
        <f t="shared" si="24"/>
        <v>-2.3593615233828062</v>
      </c>
      <c r="N257" s="4">
        <f t="shared" si="25"/>
        <v>0.13163819658359005</v>
      </c>
      <c r="O257" s="4">
        <f t="shared" si="26"/>
        <v>-0.21264631755810698</v>
      </c>
      <c r="P257" s="4">
        <f t="shared" si="28"/>
        <v>2.6530159619154303</v>
      </c>
      <c r="Q257">
        <v>3.3639999999999999</v>
      </c>
      <c r="R257">
        <v>1.0712999999999999</v>
      </c>
      <c r="S257">
        <f t="shared" si="27"/>
        <v>-1.244469026548678E-2</v>
      </c>
    </row>
    <row r="258" spans="1:19" x14ac:dyDescent="0.3">
      <c r="A258">
        <v>201108</v>
      </c>
      <c r="B258">
        <v>-10.1</v>
      </c>
      <c r="C258">
        <v>0.87</v>
      </c>
      <c r="D258">
        <v>-3.79</v>
      </c>
      <c r="E258">
        <v>3.52</v>
      </c>
      <c r="F258">
        <v>-1.1200000000000001</v>
      </c>
      <c r="G258">
        <v>0.01</v>
      </c>
      <c r="H258">
        <v>-0.42</v>
      </c>
      <c r="J258" s="5">
        <v>45504</v>
      </c>
      <c r="K258" s="6">
        <f t="shared" si="22"/>
        <v>0.6093695871683843</v>
      </c>
      <c r="L258" s="6">
        <f t="shared" si="23"/>
        <v>1.9692287086643265</v>
      </c>
      <c r="M258" s="4">
        <f t="shared" si="24"/>
        <v>1.3161176796600778</v>
      </c>
      <c r="N258" s="4">
        <f t="shared" si="25"/>
        <v>-3.1567033068538701</v>
      </c>
      <c r="O258" s="4">
        <f t="shared" si="26"/>
        <v>2.9686864954738592</v>
      </c>
      <c r="P258" s="4">
        <f t="shared" si="28"/>
        <v>-0.46509421762423792</v>
      </c>
      <c r="Q258">
        <v>3.3410000000000002</v>
      </c>
      <c r="R258">
        <v>1.0826</v>
      </c>
      <c r="S258">
        <f t="shared" si="27"/>
        <v>1.0547932418556893E-2</v>
      </c>
    </row>
    <row r="259" spans="1:19" x14ac:dyDescent="0.3">
      <c r="A259">
        <v>201109</v>
      </c>
      <c r="B259">
        <v>-11.61</v>
      </c>
      <c r="C259">
        <v>-1.1299999999999999</v>
      </c>
      <c r="D259">
        <v>-1.88</v>
      </c>
      <c r="E259">
        <v>2.27</v>
      </c>
      <c r="F259">
        <v>1.44</v>
      </c>
      <c r="G259">
        <v>0</v>
      </c>
      <c r="H259">
        <v>-1.19</v>
      </c>
      <c r="J259" s="5">
        <v>45534</v>
      </c>
      <c r="K259" s="6">
        <f t="shared" si="22"/>
        <v>1.0966590271095911</v>
      </c>
      <c r="L259" s="6">
        <f t="shared" si="23"/>
        <v>-2.1557929036929764</v>
      </c>
      <c r="M259" s="4">
        <f t="shared" si="24"/>
        <v>-0.81332186821144092</v>
      </c>
      <c r="N259" s="4">
        <f t="shared" si="25"/>
        <v>0.25477552498189721</v>
      </c>
      <c r="O259" s="4">
        <f t="shared" si="26"/>
        <v>-0.38216328747284578</v>
      </c>
      <c r="P259" s="4">
        <f t="shared" si="28"/>
        <v>0.71533128167994209</v>
      </c>
      <c r="Q259">
        <v>3.2629999999999999</v>
      </c>
      <c r="R259">
        <v>1.1048</v>
      </c>
      <c r="S259">
        <f t="shared" si="27"/>
        <v>2.0506188804729319E-2</v>
      </c>
    </row>
    <row r="260" spans="1:19" x14ac:dyDescent="0.3">
      <c r="A260">
        <v>201110</v>
      </c>
      <c r="B260">
        <v>10.97</v>
      </c>
      <c r="C260">
        <v>-3.37</v>
      </c>
      <c r="D260">
        <v>-1.23</v>
      </c>
      <c r="E260">
        <v>1.27</v>
      </c>
      <c r="F260">
        <v>-3</v>
      </c>
      <c r="G260">
        <v>0</v>
      </c>
      <c r="H260">
        <v>0.1</v>
      </c>
      <c r="J260" s="5">
        <v>45565</v>
      </c>
      <c r="K260" s="6">
        <f t="shared" si="22"/>
        <v>-0.17638755989691085</v>
      </c>
      <c r="L260" s="6">
        <f t="shared" si="23"/>
        <v>-0.43656219128872931</v>
      </c>
      <c r="M260" s="4">
        <f t="shared" si="24"/>
        <v>1.7264050291872477</v>
      </c>
      <c r="N260" s="4">
        <f t="shared" si="25"/>
        <v>-3.2742164346654694</v>
      </c>
      <c r="O260" s="4">
        <f t="shared" si="26"/>
        <v>1.5577332734620568</v>
      </c>
      <c r="P260" s="4">
        <f t="shared" si="28"/>
        <v>-0.44648405927256407</v>
      </c>
      <c r="Q260">
        <v>3.0329999999999999</v>
      </c>
      <c r="R260">
        <v>1.1134999999999999</v>
      </c>
      <c r="S260">
        <f t="shared" si="27"/>
        <v>7.8747284576392573E-3</v>
      </c>
    </row>
    <row r="261" spans="1:19" x14ac:dyDescent="0.3">
      <c r="A261">
        <v>201111</v>
      </c>
      <c r="B261">
        <v>-4.84</v>
      </c>
      <c r="C261">
        <v>-2.52</v>
      </c>
      <c r="D261">
        <v>-3.36</v>
      </c>
      <c r="E261">
        <v>2.73</v>
      </c>
      <c r="F261">
        <v>-0.42</v>
      </c>
      <c r="G261">
        <v>0</v>
      </c>
      <c r="H261">
        <v>6.22</v>
      </c>
      <c r="J261" s="5">
        <v>45596</v>
      </c>
      <c r="K261" s="6">
        <f t="shared" si="22"/>
        <v>-3.6927551464258288</v>
      </c>
      <c r="L261" s="6">
        <f t="shared" si="23"/>
        <v>-0.51153068724733552</v>
      </c>
      <c r="M261" s="4">
        <f t="shared" si="24"/>
        <v>1.4220553105475926</v>
      </c>
      <c r="N261" s="4">
        <f t="shared" si="25"/>
        <v>-0.8491409408305769</v>
      </c>
      <c r="O261" s="4">
        <f t="shared" si="26"/>
        <v>0.99236953325983079</v>
      </c>
      <c r="P261" s="4">
        <f t="shared" si="28"/>
        <v>1.8619717015803012</v>
      </c>
      <c r="Q261">
        <v>2.7869999999999999</v>
      </c>
      <c r="R261">
        <v>1.0884</v>
      </c>
      <c r="S261">
        <f t="shared" si="27"/>
        <v>-2.2541535698248683E-2</v>
      </c>
    </row>
    <row r="262" spans="1:19" x14ac:dyDescent="0.3">
      <c r="A262">
        <v>201112</v>
      </c>
      <c r="B262">
        <v>-2.2000000000000002</v>
      </c>
      <c r="C262">
        <v>-0.98</v>
      </c>
      <c r="D262">
        <v>-1.07</v>
      </c>
      <c r="E262">
        <v>0.38</v>
      </c>
      <c r="F262">
        <v>0.27</v>
      </c>
      <c r="G262">
        <v>0</v>
      </c>
      <c r="H262">
        <v>2.86</v>
      </c>
      <c r="J262" s="5">
        <v>45625</v>
      </c>
      <c r="K262" s="6">
        <f t="shared" si="22"/>
        <v>0.63598587009029528</v>
      </c>
      <c r="L262" s="6">
        <f t="shared" si="23"/>
        <v>-0.71002741798241453</v>
      </c>
      <c r="M262" s="4">
        <f t="shared" si="24"/>
        <v>0.27783681573224922</v>
      </c>
      <c r="N262" s="4">
        <f t="shared" si="25"/>
        <v>-0.74089817528599788</v>
      </c>
      <c r="O262" s="4">
        <f t="shared" si="26"/>
        <v>-0.11319277677980523</v>
      </c>
      <c r="P262" s="4">
        <f t="shared" si="28"/>
        <v>3.0870757303583245</v>
      </c>
      <c r="Q262">
        <v>2.6030000000000002</v>
      </c>
      <c r="R262">
        <v>1.0577000000000001</v>
      </c>
      <c r="S262">
        <f t="shared" si="27"/>
        <v>-2.8206541712605615E-2</v>
      </c>
    </row>
    <row r="263" spans="1:19" x14ac:dyDescent="0.3">
      <c r="A263">
        <v>201201</v>
      </c>
      <c r="B263">
        <v>5.68</v>
      </c>
      <c r="C263">
        <v>2.67</v>
      </c>
      <c r="D263">
        <v>1.06</v>
      </c>
      <c r="E263">
        <v>-2.08</v>
      </c>
      <c r="F263">
        <v>-2.1</v>
      </c>
      <c r="G263">
        <v>0</v>
      </c>
      <c r="H263">
        <v>-8.99</v>
      </c>
      <c r="J263" s="5">
        <v>45657</v>
      </c>
      <c r="K263" s="6">
        <f t="shared" si="22"/>
        <v>-0.15434022189821139</v>
      </c>
      <c r="L263" s="6">
        <f t="shared" si="23"/>
        <v>1.3382142167278348</v>
      </c>
      <c r="M263" s="4">
        <f t="shared" si="24"/>
        <v>1.6446754877342091</v>
      </c>
      <c r="N263" s="4">
        <f t="shared" si="25"/>
        <v>-0.28603051960594944</v>
      </c>
      <c r="O263" s="4">
        <f t="shared" si="26"/>
        <v>-1.4812294765308094</v>
      </c>
      <c r="P263" s="4">
        <f t="shared" si="28"/>
        <v>-0.57206103921189888</v>
      </c>
      <c r="Q263">
        <v>2.5430000000000001</v>
      </c>
      <c r="R263">
        <v>1.0354000000000001</v>
      </c>
      <c r="S263">
        <f t="shared" si="27"/>
        <v>-2.1083483029214367E-2</v>
      </c>
    </row>
    <row r="264" spans="1:19" x14ac:dyDescent="0.3">
      <c r="A264">
        <v>201202</v>
      </c>
      <c r="B264">
        <v>6.41</v>
      </c>
      <c r="C264">
        <v>1.38</v>
      </c>
      <c r="D264">
        <v>-0.36</v>
      </c>
      <c r="E264">
        <v>-0.79</v>
      </c>
      <c r="F264">
        <v>-0.76</v>
      </c>
      <c r="G264">
        <v>0</v>
      </c>
      <c r="H264">
        <v>-1.86</v>
      </c>
      <c r="J264" s="5">
        <v>45688</v>
      </c>
      <c r="K264" s="6">
        <f t="shared" si="22"/>
        <v>5.9089944079130126</v>
      </c>
      <c r="L264" s="6">
        <f t="shared" si="23"/>
        <v>-3.6072128932638488</v>
      </c>
      <c r="M264" s="4">
        <f t="shared" si="24"/>
        <v>-0.19984558965450688</v>
      </c>
      <c r="N264" s="4">
        <f t="shared" si="25"/>
        <v>0.1598764717236055</v>
      </c>
      <c r="O264" s="4">
        <f t="shared" si="26"/>
        <v>-1.2290503763752172</v>
      </c>
      <c r="P264" s="4">
        <f t="shared" si="28"/>
        <v>0.6295136074116966</v>
      </c>
      <c r="Q264">
        <v>2.5030000000000001</v>
      </c>
      <c r="R264">
        <v>1.0362</v>
      </c>
      <c r="S264">
        <f t="shared" si="27"/>
        <v>7.726482518832789E-4</v>
      </c>
    </row>
    <row r="265" spans="1:19" x14ac:dyDescent="0.3">
      <c r="A265">
        <v>201203</v>
      </c>
      <c r="B265">
        <v>0.02</v>
      </c>
      <c r="C265">
        <v>0.76</v>
      </c>
      <c r="D265">
        <v>-1.41</v>
      </c>
      <c r="E265">
        <v>1</v>
      </c>
      <c r="F265">
        <v>1.64</v>
      </c>
      <c r="G265">
        <v>0</v>
      </c>
      <c r="H265">
        <v>3.83</v>
      </c>
      <c r="J265" s="5">
        <v>45716</v>
      </c>
      <c r="K265" s="6">
        <f t="shared" si="22"/>
        <v>2.6752012015184037</v>
      </c>
      <c r="L265" s="6">
        <f t="shared" si="23"/>
        <v>-2.2172183132530123</v>
      </c>
      <c r="M265" s="4">
        <f t="shared" si="24"/>
        <v>4.2446746987951807</v>
      </c>
      <c r="N265" s="4">
        <f t="shared" si="25"/>
        <v>-1.238446265060241</v>
      </c>
      <c r="O265" s="4">
        <f t="shared" si="26"/>
        <v>0.99874698795180716</v>
      </c>
      <c r="P265" s="4">
        <f t="shared" si="28"/>
        <v>1.5680327710843374</v>
      </c>
      <c r="Q265">
        <v>2.298</v>
      </c>
      <c r="R265">
        <v>1.0375000000000001</v>
      </c>
      <c r="S265">
        <f t="shared" si="27"/>
        <v>1.2545840571318578E-3</v>
      </c>
    </row>
    <row r="266" spans="1:19" x14ac:dyDescent="0.3">
      <c r="A266">
        <v>201204</v>
      </c>
      <c r="B266">
        <v>-2.23</v>
      </c>
      <c r="C266">
        <v>1.25</v>
      </c>
      <c r="D266">
        <v>-4.1900000000000004</v>
      </c>
      <c r="E266">
        <v>3.01</v>
      </c>
      <c r="F266">
        <v>-0.67</v>
      </c>
      <c r="G266">
        <v>0</v>
      </c>
      <c r="H266">
        <v>8.94</v>
      </c>
      <c r="J266" s="5">
        <v>45747</v>
      </c>
      <c r="K266" s="6">
        <f t="shared" si="22"/>
        <v>-4.0839164682458957</v>
      </c>
      <c r="L266" s="6">
        <f t="shared" si="23"/>
        <v>1.4484328772189352</v>
      </c>
      <c r="M266" s="4">
        <f t="shared" si="24"/>
        <v>5.3141179733727828</v>
      </c>
      <c r="N266" s="4">
        <f t="shared" si="25"/>
        <v>-1.6402782914201188</v>
      </c>
      <c r="O266" s="4">
        <f t="shared" si="26"/>
        <v>3.5491401627218946</v>
      </c>
      <c r="P266" s="4">
        <f t="shared" si="28"/>
        <v>2.7433894230769238</v>
      </c>
      <c r="Q266">
        <v>2.129</v>
      </c>
      <c r="R266">
        <v>1.0815999999999999</v>
      </c>
      <c r="S266">
        <f t="shared" si="27"/>
        <v>4.2506024096385264E-2</v>
      </c>
    </row>
    <row r="267" spans="1:19" x14ac:dyDescent="0.3">
      <c r="A267">
        <v>201205</v>
      </c>
      <c r="B267">
        <v>-12.32</v>
      </c>
      <c r="C267">
        <v>0.31</v>
      </c>
      <c r="D267">
        <v>-2.57</v>
      </c>
      <c r="E267">
        <v>2.64</v>
      </c>
      <c r="F267">
        <v>1.39</v>
      </c>
      <c r="G267">
        <v>0.01</v>
      </c>
      <c r="H267">
        <v>7.43</v>
      </c>
      <c r="J267" s="5">
        <v>45777</v>
      </c>
      <c r="K267" s="6">
        <f t="shared" si="22"/>
        <v>-0.57001454995744405</v>
      </c>
      <c r="L267" s="6">
        <f t="shared" si="23"/>
        <v>1.9096045197740112</v>
      </c>
      <c r="M267" s="4">
        <f t="shared" si="24"/>
        <v>-0.73519774011299432</v>
      </c>
      <c r="N267" s="4">
        <f t="shared" si="25"/>
        <v>-1.0120903954802261</v>
      </c>
      <c r="O267" s="4">
        <f t="shared" si="26"/>
        <v>-0.63016949152542379</v>
      </c>
      <c r="P267" s="4">
        <f t="shared" si="28"/>
        <v>2.6161581920903956</v>
      </c>
      <c r="Q267">
        <v>1.9079999999999999</v>
      </c>
      <c r="R267">
        <v>1.1328</v>
      </c>
      <c r="S267">
        <f t="shared" si="27"/>
        <v>4.7337278106508895E-2</v>
      </c>
    </row>
    <row r="268" spans="1:19" x14ac:dyDescent="0.3">
      <c r="A268">
        <v>201206</v>
      </c>
      <c r="B268">
        <v>7.13</v>
      </c>
      <c r="C268">
        <v>-4.3499999999999996</v>
      </c>
      <c r="D268">
        <v>3.13</v>
      </c>
      <c r="E268">
        <v>-0.45</v>
      </c>
      <c r="F268">
        <v>2.02</v>
      </c>
      <c r="G268">
        <v>0</v>
      </c>
      <c r="H268">
        <v>-3.77</v>
      </c>
      <c r="J268" s="5">
        <v>45807</v>
      </c>
      <c r="K268" s="6">
        <f t="shared" si="22"/>
        <v>4.9468918391319461</v>
      </c>
      <c r="L268" s="6">
        <f t="shared" si="23"/>
        <v>1.1181246144355337</v>
      </c>
      <c r="M268" s="4">
        <f t="shared" si="24"/>
        <v>1.4176222790164801</v>
      </c>
      <c r="N268" s="4">
        <f t="shared" si="25"/>
        <v>-3.99330219441262E-2</v>
      </c>
      <c r="O268" s="4">
        <f t="shared" si="26"/>
        <v>-1.1081413589495022</v>
      </c>
      <c r="P268" s="4">
        <f t="shared" si="28"/>
        <v>0.76871067242442936</v>
      </c>
      <c r="Q268">
        <v>1.89</v>
      </c>
      <c r="R268">
        <v>1.1347</v>
      </c>
      <c r="S268">
        <f t="shared" si="27"/>
        <v>1.6772598870056221E-3</v>
      </c>
    </row>
    <row r="269" spans="1:19" x14ac:dyDescent="0.3">
      <c r="A269">
        <v>201207</v>
      </c>
      <c r="B269">
        <v>0.56000000000000005</v>
      </c>
      <c r="C269">
        <v>-1.34</v>
      </c>
      <c r="D269">
        <v>-2.58</v>
      </c>
      <c r="E269">
        <v>2.46</v>
      </c>
      <c r="F269">
        <v>-2.16</v>
      </c>
      <c r="G269">
        <v>0</v>
      </c>
      <c r="H269">
        <v>4.66</v>
      </c>
      <c r="J269" s="5">
        <v>45838</v>
      </c>
      <c r="K269" s="6">
        <f t="shared" ref="K269:K276" si="29">IFERROR(
(
(
 (1 + ( INDEX($B:$B, MATCH(YEAR($J269)*100+MONTH($J269), $A:$A, 0)) + INDEX($G:$G, MATCH(YEAR($J269)*100+MONTH($J269), $A:$A, 0)) )/100 )
 / ($R269/$R268)
) - 1
- ( ($Q268/100)*(30/365) )
) * 100, ""
)</f>
        <v>-0.94249610959835362</v>
      </c>
      <c r="L269" s="6">
        <f t="shared" ref="L269:L276" si="30">IFERROR( INDEX($C:$C, MATCH(YEAR($J269)*100+MONTH($J269), $A:$A, 0)) / ($R269/$R268), "" )</f>
        <v>2.5895842877746666</v>
      </c>
      <c r="M269" s="4">
        <f t="shared" ref="M269:M276" si="31">IFERROR( INDEX($D:$D, MATCH(YEAR($J269)*100+MONTH($J269), $A:$A, 0)) / ($R269/$R268), "" )</f>
        <v>0.77013659115975219</v>
      </c>
      <c r="N269" s="4">
        <f t="shared" ref="N269:N276" si="32">IFERROR( INDEX($E:$E, MATCH(YEAR($J269)*100+MONTH($J269), $A:$A, 0)) / ($R269/$R268), "" )</f>
        <v>-0.72200305421226763</v>
      </c>
      <c r="O269" s="4">
        <f t="shared" ref="O269:O276" si="33">IFERROR( INDEX($F:$F, MATCH(YEAR($J269)*100+MONTH($J269), $A:$A, 0)) / ($R269/$R268), "" )</f>
        <v>4.8133536947484512E-2</v>
      </c>
      <c r="P269" s="4">
        <f t="shared" si="28"/>
        <v>0.3176813438533978</v>
      </c>
      <c r="Q269">
        <v>1.8580000000000001</v>
      </c>
      <c r="R269">
        <v>1.1787000000000001</v>
      </c>
      <c r="S269">
        <f t="shared" si="27"/>
        <v>3.8776769190094429E-2</v>
      </c>
    </row>
    <row r="270" spans="1:19" x14ac:dyDescent="0.3">
      <c r="A270">
        <v>201208</v>
      </c>
      <c r="B270">
        <v>4.5</v>
      </c>
      <c r="C270">
        <v>0.06</v>
      </c>
      <c r="D270">
        <v>3.19</v>
      </c>
      <c r="E270">
        <v>-1.86</v>
      </c>
      <c r="F270">
        <v>1.48</v>
      </c>
      <c r="G270">
        <v>0.01</v>
      </c>
      <c r="H270">
        <v>-2.93</v>
      </c>
      <c r="J270" s="5">
        <v>45869</v>
      </c>
      <c r="K270" s="6">
        <f t="shared" si="29"/>
        <v>0.782833006318296</v>
      </c>
      <c r="L270" s="6">
        <f t="shared" si="30"/>
        <v>0.62987910643889622</v>
      </c>
      <c r="M270" s="4">
        <f t="shared" si="31"/>
        <v>2.7673377135348232</v>
      </c>
      <c r="N270" s="4">
        <f t="shared" si="32"/>
        <v>-1.56953482260184</v>
      </c>
      <c r="O270" s="4">
        <f t="shared" si="33"/>
        <v>2.5401681997371881</v>
      </c>
      <c r="P270" s="4">
        <f t="shared" si="28"/>
        <v>2.178762155059133</v>
      </c>
      <c r="Q270">
        <v>1.903</v>
      </c>
      <c r="R270">
        <v>1.1415</v>
      </c>
      <c r="S270">
        <f t="shared" ref="S270:S276" si="34">R270/R269-1</f>
        <v>-3.156019343344374E-2</v>
      </c>
    </row>
    <row r="271" spans="1:19" x14ac:dyDescent="0.3">
      <c r="A271">
        <v>201209</v>
      </c>
      <c r="B271">
        <v>3.49</v>
      </c>
      <c r="C271">
        <v>1.65</v>
      </c>
      <c r="D271">
        <v>2.16</v>
      </c>
      <c r="E271">
        <v>-1.52</v>
      </c>
      <c r="F271">
        <v>0.82</v>
      </c>
      <c r="G271">
        <v>0.01</v>
      </c>
      <c r="H271">
        <v>-0.91</v>
      </c>
      <c r="J271" s="5">
        <v>45898</v>
      </c>
      <c r="K271" s="6">
        <f t="shared" si="29"/>
        <v>0.90433694457010327</v>
      </c>
      <c r="L271" s="6">
        <f t="shared" si="30"/>
        <v>-0.84982457641622433</v>
      </c>
      <c r="M271" s="4">
        <f t="shared" si="31"/>
        <v>1.8657068286838949</v>
      </c>
      <c r="N271" s="4">
        <f t="shared" si="32"/>
        <v>0.66423070340578461</v>
      </c>
      <c r="O271" s="4">
        <f t="shared" si="33"/>
        <v>0.99634605510867691</v>
      </c>
      <c r="P271" s="4">
        <f t="shared" si="28"/>
        <v>-0.95727366079068954</v>
      </c>
      <c r="Q271">
        <v>1.857</v>
      </c>
      <c r="R271">
        <v>1.1686000000000001</v>
      </c>
      <c r="S271">
        <f t="shared" si="34"/>
        <v>2.374069207183549E-2</v>
      </c>
    </row>
    <row r="272" spans="1:19" x14ac:dyDescent="0.3">
      <c r="A272">
        <v>201210</v>
      </c>
      <c r="B272">
        <v>1.66</v>
      </c>
      <c r="C272">
        <v>-0.56000000000000005</v>
      </c>
      <c r="D272">
        <v>1.78</v>
      </c>
      <c r="E272">
        <v>-1.1299999999999999</v>
      </c>
      <c r="F272">
        <v>-0.33</v>
      </c>
      <c r="G272">
        <v>0.01</v>
      </c>
      <c r="H272">
        <v>0.57999999999999996</v>
      </c>
      <c r="J272" s="5">
        <v>45930</v>
      </c>
      <c r="K272" s="6">
        <f t="shared" si="29"/>
        <v>0.98196164757140214</v>
      </c>
      <c r="L272" s="6">
        <f t="shared" si="30"/>
        <v>-1.2648048406340548</v>
      </c>
      <c r="M272" s="4">
        <f t="shared" si="31"/>
        <v>0.46807738196693366</v>
      </c>
      <c r="N272" s="4">
        <f t="shared" si="32"/>
        <v>0.38840463610022158</v>
      </c>
      <c r="O272" s="4">
        <f t="shared" si="33"/>
        <v>-1.3743548662007841</v>
      </c>
      <c r="P272" s="4">
        <f t="shared" si="28"/>
        <v>2.8682188512016364</v>
      </c>
      <c r="Q272">
        <v>1.786</v>
      </c>
      <c r="R272">
        <v>1.1734</v>
      </c>
      <c r="S272">
        <f t="shared" si="34"/>
        <v>4.1074790347424006E-3</v>
      </c>
    </row>
    <row r="273" spans="1:19" x14ac:dyDescent="0.3">
      <c r="A273">
        <v>201211</v>
      </c>
      <c r="B273">
        <v>2.27</v>
      </c>
      <c r="C273">
        <v>-2.44</v>
      </c>
      <c r="D273">
        <v>-0.57999999999999996</v>
      </c>
      <c r="E273">
        <v>0.56000000000000005</v>
      </c>
      <c r="F273">
        <v>-0.93</v>
      </c>
      <c r="G273">
        <v>0.01</v>
      </c>
      <c r="H273">
        <v>2.37</v>
      </c>
      <c r="J273" s="5">
        <v>45961</v>
      </c>
      <c r="K273" s="6">
        <f t="shared" si="29"/>
        <v>2.374415499387915</v>
      </c>
      <c r="L273" s="6">
        <f t="shared" si="30"/>
        <v>-1.901931177949207</v>
      </c>
      <c r="M273" s="4">
        <f t="shared" si="31"/>
        <v>2.034150992459045E-2</v>
      </c>
      <c r="N273" s="4">
        <f t="shared" si="32"/>
        <v>-1.0374170061541128</v>
      </c>
      <c r="O273" s="4">
        <f t="shared" si="33"/>
        <v>0.22375660917049495</v>
      </c>
      <c r="P273" s="4">
        <f t="shared" si="28"/>
        <v>-1.6273207939672361</v>
      </c>
      <c r="Q273">
        <v>1.7649999999999999</v>
      </c>
      <c r="R273">
        <v>1.1536999999999999</v>
      </c>
      <c r="S273">
        <f t="shared" si="34"/>
        <v>-1.6788818817112694E-2</v>
      </c>
    </row>
    <row r="274" spans="1:19" x14ac:dyDescent="0.3">
      <c r="A274">
        <v>201212</v>
      </c>
      <c r="B274">
        <v>3.38</v>
      </c>
      <c r="C274">
        <v>2.5</v>
      </c>
      <c r="D274">
        <v>3.03</v>
      </c>
      <c r="E274">
        <v>-0.73</v>
      </c>
      <c r="F274">
        <v>0.83</v>
      </c>
      <c r="G274">
        <v>0.01</v>
      </c>
      <c r="H274">
        <v>-0.97</v>
      </c>
      <c r="J274" s="5">
        <v>45989</v>
      </c>
      <c r="K274" s="6">
        <f t="shared" si="29"/>
        <v>0.343614038320256</v>
      </c>
      <c r="L274" s="6">
        <f t="shared" si="30"/>
        <v>-1.1340041386445936</v>
      </c>
      <c r="M274" s="4">
        <f t="shared" si="31"/>
        <v>2.4072719434385235</v>
      </c>
      <c r="N274" s="4">
        <f t="shared" si="32"/>
        <v>0.34815916537334018</v>
      </c>
      <c r="O274" s="4">
        <f t="shared" si="33"/>
        <v>1.1141093291946886</v>
      </c>
      <c r="P274" s="4">
        <f t="shared" si="28"/>
        <v>0.86542421107087419</v>
      </c>
      <c r="Q274">
        <v>1.885</v>
      </c>
      <c r="R274">
        <v>1.1597999999999999</v>
      </c>
      <c r="S274">
        <f t="shared" si="34"/>
        <v>5.2873363959435871E-3</v>
      </c>
    </row>
    <row r="275" spans="1:19" x14ac:dyDescent="0.3">
      <c r="A275">
        <v>201301</v>
      </c>
      <c r="B275">
        <v>6.2</v>
      </c>
      <c r="C275">
        <v>0.63</v>
      </c>
      <c r="D275">
        <v>4.33</v>
      </c>
      <c r="E275">
        <v>-3.48</v>
      </c>
      <c r="F275">
        <v>1.77</v>
      </c>
      <c r="G275">
        <v>0</v>
      </c>
      <c r="H275">
        <v>-0.4</v>
      </c>
      <c r="K275" s="6" t="str">
        <f t="shared" si="29"/>
        <v/>
      </c>
      <c r="L275" s="6" t="str">
        <f t="shared" si="30"/>
        <v/>
      </c>
      <c r="M275" s="4" t="str">
        <f t="shared" si="31"/>
        <v/>
      </c>
      <c r="N275" s="4" t="str">
        <f t="shared" si="32"/>
        <v/>
      </c>
      <c r="O275" s="4" t="str">
        <f t="shared" si="33"/>
        <v/>
      </c>
      <c r="P275" s="4" t="str">
        <f t="shared" si="28"/>
        <v/>
      </c>
      <c r="Q275">
        <v>2.0430000000000001</v>
      </c>
      <c r="R275">
        <v>1.1746000000000001</v>
      </c>
      <c r="S275">
        <f t="shared" si="34"/>
        <v>1.2760820831178021E-2</v>
      </c>
    </row>
    <row r="276" spans="1:19" x14ac:dyDescent="0.3">
      <c r="A276">
        <v>201302</v>
      </c>
      <c r="B276">
        <v>-2.4900000000000002</v>
      </c>
      <c r="C276">
        <v>1.97</v>
      </c>
      <c r="D276">
        <v>-3.35</v>
      </c>
      <c r="E276">
        <v>2</v>
      </c>
      <c r="F276">
        <v>-1.35</v>
      </c>
      <c r="G276">
        <v>0</v>
      </c>
      <c r="H276">
        <v>4.54</v>
      </c>
      <c r="K276" s="6" t="str">
        <f t="shared" si="29"/>
        <v/>
      </c>
      <c r="L276" s="6" t="str">
        <f t="shared" si="30"/>
        <v/>
      </c>
      <c r="M276" s="4" t="str">
        <f t="shared" si="31"/>
        <v/>
      </c>
      <c r="N276" s="4" t="str">
        <f t="shared" si="32"/>
        <v/>
      </c>
      <c r="O276" s="4" t="str">
        <f t="shared" si="33"/>
        <v/>
      </c>
      <c r="P276" s="4" t="str">
        <f t="shared" si="28"/>
        <v/>
      </c>
      <c r="Q276">
        <v>1.99</v>
      </c>
      <c r="R276">
        <v>1.1667000000000001</v>
      </c>
      <c r="S276">
        <f t="shared" si="34"/>
        <v>-6.725693853226633E-3</v>
      </c>
    </row>
    <row r="277" spans="1:19" x14ac:dyDescent="0.3">
      <c r="A277">
        <v>201303</v>
      </c>
      <c r="B277">
        <v>-0.54</v>
      </c>
      <c r="C277">
        <v>-0.82</v>
      </c>
      <c r="D277">
        <v>-4.3</v>
      </c>
      <c r="E277">
        <v>2.2400000000000002</v>
      </c>
      <c r="F277">
        <v>-0.28000000000000003</v>
      </c>
      <c r="G277">
        <v>0</v>
      </c>
      <c r="H277">
        <v>2.65</v>
      </c>
    </row>
    <row r="278" spans="1:19" x14ac:dyDescent="0.3">
      <c r="A278">
        <v>201304</v>
      </c>
      <c r="B278">
        <v>4.16</v>
      </c>
      <c r="C278">
        <v>-1.38</v>
      </c>
      <c r="D278">
        <v>3.67</v>
      </c>
      <c r="E278">
        <v>-1.06</v>
      </c>
      <c r="F278">
        <v>1.21</v>
      </c>
      <c r="G278">
        <v>0</v>
      </c>
      <c r="H278">
        <v>0.98</v>
      </c>
    </row>
    <row r="279" spans="1:19" x14ac:dyDescent="0.3">
      <c r="A279">
        <v>201305</v>
      </c>
      <c r="B279">
        <v>1.05</v>
      </c>
      <c r="C279">
        <v>1.22</v>
      </c>
      <c r="D279">
        <v>2.82</v>
      </c>
      <c r="E279">
        <v>-1.05</v>
      </c>
      <c r="F279">
        <v>-0.13</v>
      </c>
      <c r="G279">
        <v>0</v>
      </c>
      <c r="H279">
        <v>0.54</v>
      </c>
    </row>
    <row r="280" spans="1:19" x14ac:dyDescent="0.3">
      <c r="A280">
        <v>201306</v>
      </c>
      <c r="B280">
        <v>-4.6399999999999997</v>
      </c>
      <c r="C280">
        <v>2.14</v>
      </c>
      <c r="D280">
        <v>-2.56</v>
      </c>
      <c r="E280">
        <v>2.2200000000000002</v>
      </c>
      <c r="F280">
        <v>0.45</v>
      </c>
      <c r="G280">
        <v>0</v>
      </c>
      <c r="H280">
        <v>1.2</v>
      </c>
    </row>
    <row r="281" spans="1:19" x14ac:dyDescent="0.3">
      <c r="A281">
        <v>201307</v>
      </c>
      <c r="B281">
        <v>7.45</v>
      </c>
      <c r="C281">
        <v>-1.45</v>
      </c>
      <c r="D281">
        <v>2.8</v>
      </c>
      <c r="E281">
        <v>-0.62</v>
      </c>
      <c r="F281">
        <v>0.28999999999999998</v>
      </c>
      <c r="G281">
        <v>0</v>
      </c>
      <c r="H281">
        <v>3.6</v>
      </c>
    </row>
    <row r="282" spans="1:19" x14ac:dyDescent="0.3">
      <c r="A282">
        <v>201308</v>
      </c>
      <c r="B282">
        <v>-0.7</v>
      </c>
      <c r="C282">
        <v>2.64</v>
      </c>
      <c r="D282">
        <v>0.51</v>
      </c>
      <c r="E282">
        <v>-0.01</v>
      </c>
      <c r="F282">
        <v>0.92</v>
      </c>
      <c r="G282">
        <v>0</v>
      </c>
      <c r="H282">
        <v>-2.35</v>
      </c>
    </row>
    <row r="283" spans="1:19" x14ac:dyDescent="0.3">
      <c r="A283">
        <v>201309</v>
      </c>
      <c r="B283">
        <v>7.05</v>
      </c>
      <c r="C283">
        <v>0.14000000000000001</v>
      </c>
      <c r="D283">
        <v>1.38</v>
      </c>
      <c r="E283">
        <v>-0.92</v>
      </c>
      <c r="F283">
        <v>1.56</v>
      </c>
      <c r="G283">
        <v>0</v>
      </c>
      <c r="H283">
        <v>2.42</v>
      </c>
    </row>
    <row r="284" spans="1:19" x14ac:dyDescent="0.3">
      <c r="A284">
        <v>201310</v>
      </c>
      <c r="B284">
        <v>4.49</v>
      </c>
      <c r="C284">
        <v>0.02</v>
      </c>
      <c r="D284">
        <v>4.3899999999999997</v>
      </c>
      <c r="E284">
        <v>-1.74</v>
      </c>
      <c r="F284">
        <v>1.76</v>
      </c>
      <c r="G284">
        <v>0</v>
      </c>
      <c r="H284">
        <v>1.98</v>
      </c>
    </row>
    <row r="285" spans="1:19" x14ac:dyDescent="0.3">
      <c r="A285">
        <v>201311</v>
      </c>
      <c r="B285">
        <v>1.33</v>
      </c>
      <c r="C285">
        <v>0.8</v>
      </c>
      <c r="D285">
        <v>-0.42</v>
      </c>
      <c r="E285">
        <v>0.68</v>
      </c>
      <c r="F285">
        <v>0.63</v>
      </c>
      <c r="G285">
        <v>0</v>
      </c>
      <c r="H285">
        <v>2.5499999999999998</v>
      </c>
    </row>
    <row r="286" spans="1:19" x14ac:dyDescent="0.3">
      <c r="A286">
        <v>201312</v>
      </c>
      <c r="B286">
        <v>2.37</v>
      </c>
      <c r="C286">
        <v>0.56000000000000005</v>
      </c>
      <c r="D286">
        <v>-0.2</v>
      </c>
      <c r="E286">
        <v>0.38</v>
      </c>
      <c r="F286">
        <v>0.28000000000000003</v>
      </c>
      <c r="G286">
        <v>0</v>
      </c>
      <c r="H286">
        <v>1.5</v>
      </c>
    </row>
    <row r="287" spans="1:19" x14ac:dyDescent="0.3">
      <c r="A287">
        <v>201401</v>
      </c>
      <c r="B287">
        <v>-3.03</v>
      </c>
      <c r="C287">
        <v>3.64</v>
      </c>
      <c r="D287">
        <v>2.58</v>
      </c>
      <c r="E287">
        <v>-1.22</v>
      </c>
      <c r="F287">
        <v>2.0499999999999998</v>
      </c>
      <c r="G287">
        <v>0</v>
      </c>
      <c r="H287">
        <v>2.3199999999999998</v>
      </c>
    </row>
    <row r="288" spans="1:19" x14ac:dyDescent="0.3">
      <c r="A288">
        <v>201402</v>
      </c>
      <c r="B288">
        <v>7.42</v>
      </c>
      <c r="C288">
        <v>0.54</v>
      </c>
      <c r="D288">
        <v>0.37</v>
      </c>
      <c r="E288">
        <v>0.69</v>
      </c>
      <c r="F288">
        <v>0.95</v>
      </c>
      <c r="G288">
        <v>0</v>
      </c>
      <c r="H288">
        <v>2.2000000000000002</v>
      </c>
    </row>
    <row r="289" spans="1:8" x14ac:dyDescent="0.3">
      <c r="A289">
        <v>201403</v>
      </c>
      <c r="B289">
        <v>-0.54</v>
      </c>
      <c r="C289">
        <v>0.65</v>
      </c>
      <c r="D289">
        <v>1.72</v>
      </c>
      <c r="E289">
        <v>1.06</v>
      </c>
      <c r="F289">
        <v>0.12</v>
      </c>
      <c r="G289">
        <v>0</v>
      </c>
      <c r="H289">
        <v>-0.99</v>
      </c>
    </row>
    <row r="290" spans="1:8" x14ac:dyDescent="0.3">
      <c r="A290">
        <v>201404</v>
      </c>
      <c r="B290">
        <v>1.77</v>
      </c>
      <c r="C290">
        <v>-2.0499999999999998</v>
      </c>
      <c r="D290">
        <v>0.28999999999999998</v>
      </c>
      <c r="E290">
        <v>0.45</v>
      </c>
      <c r="F290">
        <v>-1.1399999999999999</v>
      </c>
      <c r="G290">
        <v>0</v>
      </c>
      <c r="H290">
        <v>-3.54</v>
      </c>
    </row>
    <row r="291" spans="1:8" x14ac:dyDescent="0.3">
      <c r="A291">
        <v>201405</v>
      </c>
      <c r="B291">
        <v>0.77</v>
      </c>
      <c r="C291">
        <v>-0.6</v>
      </c>
      <c r="D291">
        <v>-0.41</v>
      </c>
      <c r="E291">
        <v>0.67</v>
      </c>
      <c r="F291">
        <v>-0.39</v>
      </c>
      <c r="G291">
        <v>0</v>
      </c>
      <c r="H291">
        <v>-0.23</v>
      </c>
    </row>
    <row r="292" spans="1:8" x14ac:dyDescent="0.3">
      <c r="A292">
        <v>201406</v>
      </c>
      <c r="B292">
        <v>-0.12</v>
      </c>
      <c r="C292">
        <v>0.21</v>
      </c>
      <c r="D292">
        <v>-1.76</v>
      </c>
      <c r="E292">
        <v>2.0699999999999998</v>
      </c>
      <c r="F292">
        <v>-0.96</v>
      </c>
      <c r="G292">
        <v>0</v>
      </c>
      <c r="H292">
        <v>0.33</v>
      </c>
    </row>
    <row r="293" spans="1:8" x14ac:dyDescent="0.3">
      <c r="A293">
        <v>201407</v>
      </c>
      <c r="B293">
        <v>-4.0999999999999996</v>
      </c>
      <c r="C293">
        <v>-0.61</v>
      </c>
      <c r="D293">
        <v>0.4</v>
      </c>
      <c r="E293">
        <v>-1.63</v>
      </c>
      <c r="F293">
        <v>0.4</v>
      </c>
      <c r="G293">
        <v>0</v>
      </c>
      <c r="H293">
        <v>-0.57999999999999996</v>
      </c>
    </row>
    <row r="294" spans="1:8" x14ac:dyDescent="0.3">
      <c r="A294">
        <v>201408</v>
      </c>
      <c r="B294">
        <v>-0.02</v>
      </c>
      <c r="C294">
        <v>-0.93</v>
      </c>
      <c r="D294">
        <v>-1.01</v>
      </c>
      <c r="E294">
        <v>0.23</v>
      </c>
      <c r="F294">
        <v>-0.77</v>
      </c>
      <c r="G294">
        <v>0</v>
      </c>
      <c r="H294">
        <v>0.33</v>
      </c>
    </row>
    <row r="295" spans="1:8" x14ac:dyDescent="0.3">
      <c r="A295">
        <v>201409</v>
      </c>
      <c r="B295">
        <v>-3.79</v>
      </c>
      <c r="C295">
        <v>-2.17</v>
      </c>
      <c r="D295">
        <v>-0.44</v>
      </c>
      <c r="E295">
        <v>-0.44</v>
      </c>
      <c r="F295">
        <v>0.38</v>
      </c>
      <c r="G295">
        <v>0</v>
      </c>
      <c r="H295">
        <v>2.4900000000000002</v>
      </c>
    </row>
    <row r="296" spans="1:8" x14ac:dyDescent="0.3">
      <c r="A296">
        <v>201410</v>
      </c>
      <c r="B296">
        <v>-2.7</v>
      </c>
      <c r="C296">
        <v>-1.1399999999999999</v>
      </c>
      <c r="D296">
        <v>-3.09</v>
      </c>
      <c r="E296">
        <v>2.33</v>
      </c>
      <c r="F296">
        <v>-0.53</v>
      </c>
      <c r="G296">
        <v>0</v>
      </c>
      <c r="H296">
        <v>1.08</v>
      </c>
    </row>
    <row r="297" spans="1:8" x14ac:dyDescent="0.3">
      <c r="A297">
        <v>201411</v>
      </c>
      <c r="B297">
        <v>2.12</v>
      </c>
      <c r="C297">
        <v>-1.35</v>
      </c>
      <c r="D297">
        <v>-1.82</v>
      </c>
      <c r="E297">
        <v>0.67</v>
      </c>
      <c r="F297">
        <v>0.24</v>
      </c>
      <c r="G297">
        <v>0</v>
      </c>
      <c r="H297">
        <v>-0.62</v>
      </c>
    </row>
    <row r="298" spans="1:8" x14ac:dyDescent="0.3">
      <c r="A298">
        <v>201412</v>
      </c>
      <c r="B298">
        <v>-3.7</v>
      </c>
      <c r="C298">
        <v>2.31</v>
      </c>
      <c r="D298">
        <v>-2.35</v>
      </c>
      <c r="E298">
        <v>1.57</v>
      </c>
      <c r="F298">
        <v>-1.93</v>
      </c>
      <c r="G298">
        <v>0</v>
      </c>
      <c r="H298">
        <v>1.98</v>
      </c>
    </row>
    <row r="299" spans="1:8" x14ac:dyDescent="0.3">
      <c r="A299">
        <v>201501</v>
      </c>
      <c r="B299">
        <v>-0.31</v>
      </c>
      <c r="C299">
        <v>-1.54</v>
      </c>
      <c r="D299">
        <v>-3.52</v>
      </c>
      <c r="E299">
        <v>2.84</v>
      </c>
      <c r="F299">
        <v>-1.07</v>
      </c>
      <c r="G299">
        <v>0</v>
      </c>
      <c r="H299">
        <v>3.51</v>
      </c>
    </row>
    <row r="300" spans="1:8" x14ac:dyDescent="0.3">
      <c r="A300">
        <v>201502</v>
      </c>
      <c r="B300">
        <v>6.21</v>
      </c>
      <c r="C300">
        <v>0.87</v>
      </c>
      <c r="D300">
        <v>1.96</v>
      </c>
      <c r="E300">
        <v>-1.97</v>
      </c>
      <c r="F300">
        <v>-0.13</v>
      </c>
      <c r="G300">
        <v>0</v>
      </c>
      <c r="H300">
        <v>-3.97</v>
      </c>
    </row>
    <row r="301" spans="1:8" x14ac:dyDescent="0.3">
      <c r="A301">
        <v>201503</v>
      </c>
      <c r="B301">
        <v>-2.2799999999999998</v>
      </c>
      <c r="C301">
        <v>-0.32</v>
      </c>
      <c r="D301">
        <v>-0.35</v>
      </c>
      <c r="E301">
        <v>0.01</v>
      </c>
      <c r="F301">
        <v>0.79</v>
      </c>
      <c r="G301">
        <v>0</v>
      </c>
      <c r="H301">
        <v>1.57</v>
      </c>
    </row>
    <row r="302" spans="1:8" x14ac:dyDescent="0.3">
      <c r="A302">
        <v>201504</v>
      </c>
      <c r="B302">
        <v>4.79</v>
      </c>
      <c r="C302">
        <v>2.0699999999999998</v>
      </c>
      <c r="D302">
        <v>0.33</v>
      </c>
      <c r="E302">
        <v>0.02</v>
      </c>
      <c r="F302">
        <v>-0.41</v>
      </c>
      <c r="G302">
        <v>0</v>
      </c>
      <c r="H302">
        <v>-2.14</v>
      </c>
    </row>
    <row r="303" spans="1:8" x14ac:dyDescent="0.3">
      <c r="A303">
        <v>201505</v>
      </c>
      <c r="B303">
        <v>-0.15</v>
      </c>
      <c r="C303">
        <v>1.51</v>
      </c>
      <c r="D303">
        <v>-2.4700000000000002</v>
      </c>
      <c r="E303">
        <v>0.06</v>
      </c>
      <c r="F303">
        <v>-0.66</v>
      </c>
      <c r="G303">
        <v>0</v>
      </c>
      <c r="H303">
        <v>3.56</v>
      </c>
    </row>
    <row r="304" spans="1:8" x14ac:dyDescent="0.3">
      <c r="A304">
        <v>201506</v>
      </c>
      <c r="B304">
        <v>-2.84</v>
      </c>
      <c r="C304">
        <v>1.95</v>
      </c>
      <c r="D304">
        <v>0.15</v>
      </c>
      <c r="E304">
        <v>-0.15</v>
      </c>
      <c r="F304">
        <v>-0.22</v>
      </c>
      <c r="G304">
        <v>0</v>
      </c>
      <c r="H304">
        <v>0.91</v>
      </c>
    </row>
    <row r="305" spans="1:8" x14ac:dyDescent="0.3">
      <c r="A305">
        <v>201507</v>
      </c>
      <c r="B305">
        <v>2.39</v>
      </c>
      <c r="C305">
        <v>-0.93</v>
      </c>
      <c r="D305">
        <v>-2.65</v>
      </c>
      <c r="E305">
        <v>0.94</v>
      </c>
      <c r="F305">
        <v>-0.75</v>
      </c>
      <c r="G305">
        <v>0</v>
      </c>
      <c r="H305">
        <v>3.53</v>
      </c>
    </row>
    <row r="306" spans="1:8" x14ac:dyDescent="0.3">
      <c r="A306">
        <v>201508</v>
      </c>
      <c r="B306">
        <v>-6.02</v>
      </c>
      <c r="C306">
        <v>3.63</v>
      </c>
      <c r="D306">
        <v>-1</v>
      </c>
      <c r="E306">
        <v>0.79</v>
      </c>
      <c r="F306">
        <v>-0.9</v>
      </c>
      <c r="G306">
        <v>0</v>
      </c>
      <c r="H306">
        <v>2.12</v>
      </c>
    </row>
    <row r="307" spans="1:8" x14ac:dyDescent="0.3">
      <c r="A307">
        <v>201509</v>
      </c>
      <c r="B307">
        <v>-4.2699999999999996</v>
      </c>
      <c r="C307">
        <v>1.17</v>
      </c>
      <c r="D307">
        <v>-3.63</v>
      </c>
      <c r="E307">
        <v>2.7</v>
      </c>
      <c r="F307">
        <v>-0.98</v>
      </c>
      <c r="G307">
        <v>0</v>
      </c>
      <c r="H307">
        <v>4.28</v>
      </c>
    </row>
    <row r="308" spans="1:8" x14ac:dyDescent="0.3">
      <c r="A308">
        <v>201510</v>
      </c>
      <c r="B308">
        <v>6.19</v>
      </c>
      <c r="C308">
        <v>-2.94</v>
      </c>
      <c r="D308">
        <v>-0.77</v>
      </c>
      <c r="E308">
        <v>1.98</v>
      </c>
      <c r="F308">
        <v>-0.06</v>
      </c>
      <c r="G308">
        <v>0</v>
      </c>
      <c r="H308">
        <v>-1.56</v>
      </c>
    </row>
    <row r="309" spans="1:8" x14ac:dyDescent="0.3">
      <c r="A309">
        <v>201511</v>
      </c>
      <c r="B309">
        <v>-1.49</v>
      </c>
      <c r="C309">
        <v>0.31</v>
      </c>
      <c r="D309">
        <v>-2.8</v>
      </c>
      <c r="E309">
        <v>3.03</v>
      </c>
      <c r="F309">
        <v>-2.12</v>
      </c>
      <c r="G309">
        <v>0</v>
      </c>
      <c r="H309">
        <v>2.61</v>
      </c>
    </row>
    <row r="310" spans="1:8" x14ac:dyDescent="0.3">
      <c r="A310">
        <v>201512</v>
      </c>
      <c r="B310">
        <v>-1.86</v>
      </c>
      <c r="C310">
        <v>3.74</v>
      </c>
      <c r="D310">
        <v>-1.25</v>
      </c>
      <c r="E310">
        <v>0.67</v>
      </c>
      <c r="F310">
        <v>-1.65</v>
      </c>
      <c r="G310">
        <v>0.01</v>
      </c>
      <c r="H310">
        <v>4.01</v>
      </c>
    </row>
    <row r="311" spans="1:8" x14ac:dyDescent="0.3">
      <c r="A311">
        <v>201601</v>
      </c>
      <c r="B311">
        <v>-6.43</v>
      </c>
      <c r="C311">
        <v>-0.62</v>
      </c>
      <c r="D311">
        <v>-1.49</v>
      </c>
      <c r="E311">
        <v>2.4700000000000002</v>
      </c>
      <c r="F311">
        <v>2.2799999999999998</v>
      </c>
      <c r="G311">
        <v>0.01</v>
      </c>
      <c r="H311">
        <v>1.1499999999999999</v>
      </c>
    </row>
    <row r="312" spans="1:8" x14ac:dyDescent="0.3">
      <c r="A312">
        <v>201602</v>
      </c>
      <c r="B312">
        <v>-1.71</v>
      </c>
      <c r="C312">
        <v>1.47</v>
      </c>
      <c r="D312">
        <v>0.37</v>
      </c>
      <c r="E312">
        <v>0.65</v>
      </c>
      <c r="F312">
        <v>0.88</v>
      </c>
      <c r="G312">
        <v>0.02</v>
      </c>
      <c r="H312">
        <v>-0.7</v>
      </c>
    </row>
    <row r="313" spans="1:8" x14ac:dyDescent="0.3">
      <c r="A313">
        <v>201603</v>
      </c>
      <c r="B313">
        <v>6.7</v>
      </c>
      <c r="C313">
        <v>1.79</v>
      </c>
      <c r="D313">
        <v>1.19</v>
      </c>
      <c r="E313">
        <v>0.74</v>
      </c>
      <c r="F313">
        <v>-1.1200000000000001</v>
      </c>
      <c r="G313">
        <v>0.02</v>
      </c>
      <c r="H313">
        <v>-1.49</v>
      </c>
    </row>
    <row r="314" spans="1:8" x14ac:dyDescent="0.3">
      <c r="A314">
        <v>201604</v>
      </c>
      <c r="B314">
        <v>2.38</v>
      </c>
      <c r="C314">
        <v>-0.56000000000000005</v>
      </c>
      <c r="D314">
        <v>3.35</v>
      </c>
      <c r="E314">
        <v>-1.88</v>
      </c>
      <c r="F314">
        <v>0.9</v>
      </c>
      <c r="G314">
        <v>0.01</v>
      </c>
      <c r="H314">
        <v>-3.91</v>
      </c>
    </row>
    <row r="315" spans="1:8" x14ac:dyDescent="0.3">
      <c r="A315">
        <v>201605</v>
      </c>
      <c r="B315">
        <v>-0.38</v>
      </c>
      <c r="C315">
        <v>1.41</v>
      </c>
      <c r="D315">
        <v>-2.87</v>
      </c>
      <c r="E315">
        <v>1.76</v>
      </c>
      <c r="F315">
        <v>-0.48</v>
      </c>
      <c r="G315">
        <v>0.01</v>
      </c>
      <c r="H315">
        <v>3.81</v>
      </c>
    </row>
    <row r="316" spans="1:8" x14ac:dyDescent="0.3">
      <c r="A316">
        <v>201606</v>
      </c>
      <c r="B316">
        <v>-5.01</v>
      </c>
      <c r="C316">
        <v>-2.2400000000000002</v>
      </c>
      <c r="D316">
        <v>-1.64</v>
      </c>
      <c r="E316">
        <v>3.25</v>
      </c>
      <c r="F316">
        <v>2.82</v>
      </c>
      <c r="G316">
        <v>0.02</v>
      </c>
      <c r="H316">
        <v>7.1</v>
      </c>
    </row>
    <row r="317" spans="1:8" x14ac:dyDescent="0.3">
      <c r="A317">
        <v>201607</v>
      </c>
      <c r="B317">
        <v>4.4400000000000004</v>
      </c>
      <c r="C317">
        <v>1.51</v>
      </c>
      <c r="D317">
        <v>0.21</v>
      </c>
      <c r="E317">
        <v>7.0000000000000007E-2</v>
      </c>
      <c r="F317">
        <v>-0.86</v>
      </c>
      <c r="G317">
        <v>0.02</v>
      </c>
      <c r="H317">
        <v>-0.1</v>
      </c>
    </row>
    <row r="318" spans="1:8" x14ac:dyDescent="0.3">
      <c r="A318">
        <v>201608</v>
      </c>
      <c r="B318">
        <v>0.78</v>
      </c>
      <c r="C318">
        <v>1.7</v>
      </c>
      <c r="D318">
        <v>1.93</v>
      </c>
      <c r="E318">
        <v>-1.92</v>
      </c>
      <c r="F318">
        <v>-0.01</v>
      </c>
      <c r="G318">
        <v>0.02</v>
      </c>
      <c r="H318">
        <v>-1.76</v>
      </c>
    </row>
    <row r="319" spans="1:8" x14ac:dyDescent="0.3">
      <c r="A319">
        <v>201609</v>
      </c>
      <c r="B319">
        <v>0.95</v>
      </c>
      <c r="C319">
        <v>0.97</v>
      </c>
      <c r="D319">
        <v>-0.15</v>
      </c>
      <c r="E319">
        <v>0.32</v>
      </c>
      <c r="F319">
        <v>0.03</v>
      </c>
      <c r="G319">
        <v>0.02</v>
      </c>
      <c r="H319">
        <v>3.13</v>
      </c>
    </row>
    <row r="320" spans="1:8" x14ac:dyDescent="0.3">
      <c r="A320">
        <v>201610</v>
      </c>
      <c r="B320">
        <v>-3.08</v>
      </c>
      <c r="C320">
        <v>-0.5</v>
      </c>
      <c r="D320">
        <v>6.36</v>
      </c>
      <c r="E320">
        <v>-3.85</v>
      </c>
      <c r="F320">
        <v>2.96</v>
      </c>
      <c r="G320">
        <v>0.02</v>
      </c>
      <c r="H320">
        <v>-0.82</v>
      </c>
    </row>
    <row r="321" spans="1:8" x14ac:dyDescent="0.3">
      <c r="A321">
        <v>201611</v>
      </c>
      <c r="B321">
        <v>-2.5</v>
      </c>
      <c r="C321">
        <v>1</v>
      </c>
      <c r="D321">
        <v>1.92</v>
      </c>
      <c r="E321">
        <v>-1.54</v>
      </c>
      <c r="F321">
        <v>1.87</v>
      </c>
      <c r="G321">
        <v>0.01</v>
      </c>
      <c r="H321">
        <v>-2.0499999999999998</v>
      </c>
    </row>
    <row r="322" spans="1:8" x14ac:dyDescent="0.3">
      <c r="A322">
        <v>201612</v>
      </c>
      <c r="B322">
        <v>4.72</v>
      </c>
      <c r="C322">
        <v>-0.82</v>
      </c>
      <c r="D322">
        <v>1.99</v>
      </c>
      <c r="E322">
        <v>-0.9</v>
      </c>
      <c r="F322">
        <v>1.05</v>
      </c>
      <c r="G322">
        <v>0.03</v>
      </c>
      <c r="H322">
        <v>-1.96</v>
      </c>
    </row>
    <row r="323" spans="1:8" x14ac:dyDescent="0.3">
      <c r="A323">
        <v>201701</v>
      </c>
      <c r="B323">
        <v>2.84</v>
      </c>
      <c r="C323">
        <v>2.12</v>
      </c>
      <c r="D323">
        <v>0.47</v>
      </c>
      <c r="E323">
        <v>-0.24</v>
      </c>
      <c r="F323">
        <v>0.18</v>
      </c>
      <c r="G323">
        <v>0.04</v>
      </c>
      <c r="H323">
        <v>2.83</v>
      </c>
    </row>
    <row r="324" spans="1:8" x14ac:dyDescent="0.3">
      <c r="A324">
        <v>201702</v>
      </c>
      <c r="B324">
        <v>0.68</v>
      </c>
      <c r="C324">
        <v>0.03</v>
      </c>
      <c r="D324">
        <v>-2.6</v>
      </c>
      <c r="E324">
        <v>2.73</v>
      </c>
      <c r="F324">
        <v>-1.32</v>
      </c>
      <c r="G324">
        <v>0.04</v>
      </c>
      <c r="H324">
        <v>-1.6</v>
      </c>
    </row>
    <row r="325" spans="1:8" x14ac:dyDescent="0.3">
      <c r="A325">
        <v>201703</v>
      </c>
      <c r="B325">
        <v>4.2699999999999996</v>
      </c>
      <c r="C325">
        <v>-1.28</v>
      </c>
      <c r="D325">
        <v>0.5</v>
      </c>
      <c r="E325">
        <v>0.12</v>
      </c>
      <c r="F325">
        <v>-0.28000000000000003</v>
      </c>
      <c r="G325">
        <v>0.03</v>
      </c>
      <c r="H325">
        <v>0.02</v>
      </c>
    </row>
    <row r="326" spans="1:8" x14ac:dyDescent="0.3">
      <c r="A326">
        <v>201704</v>
      </c>
      <c r="B326">
        <v>4.63</v>
      </c>
      <c r="C326">
        <v>1.94</v>
      </c>
      <c r="D326">
        <v>-1.3</v>
      </c>
      <c r="E326">
        <v>1.6</v>
      </c>
      <c r="F326">
        <v>-1.32</v>
      </c>
      <c r="G326">
        <v>0.05</v>
      </c>
      <c r="H326">
        <v>0.24</v>
      </c>
    </row>
    <row r="327" spans="1:8" x14ac:dyDescent="0.3">
      <c r="A327">
        <v>201705</v>
      </c>
      <c r="B327">
        <v>5.03</v>
      </c>
      <c r="C327">
        <v>0.02</v>
      </c>
      <c r="D327">
        <v>-0.79</v>
      </c>
      <c r="E327">
        <v>1.21</v>
      </c>
      <c r="F327">
        <v>-0.69</v>
      </c>
      <c r="G327">
        <v>0.06</v>
      </c>
      <c r="H327">
        <v>-0.44</v>
      </c>
    </row>
    <row r="328" spans="1:8" x14ac:dyDescent="0.3">
      <c r="A328">
        <v>201706</v>
      </c>
      <c r="B328">
        <v>-0.67</v>
      </c>
      <c r="C328">
        <v>1.62</v>
      </c>
      <c r="D328">
        <v>2.0299999999999998</v>
      </c>
      <c r="E328">
        <v>-2.0099999999999998</v>
      </c>
      <c r="F328">
        <v>0.79</v>
      </c>
      <c r="G328">
        <v>0.06</v>
      </c>
      <c r="H328">
        <v>1.55</v>
      </c>
    </row>
    <row r="329" spans="1:8" x14ac:dyDescent="0.3">
      <c r="A329">
        <v>201707</v>
      </c>
      <c r="B329">
        <v>3.49</v>
      </c>
      <c r="C329">
        <v>0.68</v>
      </c>
      <c r="D329">
        <v>2.59</v>
      </c>
      <c r="E329">
        <v>-2.2400000000000002</v>
      </c>
      <c r="F329">
        <v>0.34</v>
      </c>
      <c r="G329">
        <v>7.0000000000000007E-2</v>
      </c>
      <c r="H329">
        <v>1.96</v>
      </c>
    </row>
    <row r="330" spans="1:8" x14ac:dyDescent="0.3">
      <c r="A330">
        <v>201708</v>
      </c>
      <c r="B330">
        <v>0.11</v>
      </c>
      <c r="C330">
        <v>0.03</v>
      </c>
      <c r="D330">
        <v>-0.71</v>
      </c>
      <c r="E330">
        <v>1.45</v>
      </c>
      <c r="F330">
        <v>-0.03</v>
      </c>
      <c r="G330">
        <v>0.09</v>
      </c>
      <c r="H330">
        <v>1.33</v>
      </c>
    </row>
    <row r="331" spans="1:8" x14ac:dyDescent="0.3">
      <c r="A331">
        <v>201709</v>
      </c>
      <c r="B331">
        <v>2.72</v>
      </c>
      <c r="C331">
        <v>-0.16</v>
      </c>
      <c r="D331">
        <v>0.47</v>
      </c>
      <c r="E331">
        <v>0.33</v>
      </c>
      <c r="F331">
        <v>-0.5</v>
      </c>
      <c r="G331">
        <v>0.09</v>
      </c>
      <c r="H331">
        <v>0.63</v>
      </c>
    </row>
    <row r="332" spans="1:8" x14ac:dyDescent="0.3">
      <c r="A332">
        <v>201710</v>
      </c>
      <c r="B332">
        <v>0.59</v>
      </c>
      <c r="C332">
        <v>-0.99</v>
      </c>
      <c r="D332">
        <v>-0.13</v>
      </c>
      <c r="E332">
        <v>0.1</v>
      </c>
      <c r="F332">
        <v>-0.32</v>
      </c>
      <c r="G332">
        <v>0.09</v>
      </c>
      <c r="H332">
        <v>1.22</v>
      </c>
    </row>
    <row r="333" spans="1:8" x14ac:dyDescent="0.3">
      <c r="A333">
        <v>201711</v>
      </c>
      <c r="B333">
        <v>-0.01</v>
      </c>
      <c r="C333">
        <v>-0.28999999999999998</v>
      </c>
      <c r="D333">
        <v>1.29</v>
      </c>
      <c r="E333">
        <v>-0.38</v>
      </c>
      <c r="F333">
        <v>0.9</v>
      </c>
      <c r="G333">
        <v>0.08</v>
      </c>
      <c r="H333">
        <v>0.3</v>
      </c>
    </row>
    <row r="334" spans="1:8" x14ac:dyDescent="0.3">
      <c r="A334">
        <v>201712</v>
      </c>
      <c r="B334">
        <v>1.47</v>
      </c>
      <c r="C334">
        <v>1.54</v>
      </c>
      <c r="D334">
        <v>0.5</v>
      </c>
      <c r="E334">
        <v>-0.74</v>
      </c>
      <c r="F334">
        <v>0.33</v>
      </c>
      <c r="G334">
        <v>0.09</v>
      </c>
      <c r="H334">
        <v>-1.42</v>
      </c>
    </row>
    <row r="335" spans="1:8" x14ac:dyDescent="0.3">
      <c r="A335">
        <v>201801</v>
      </c>
      <c r="B335">
        <v>5.52</v>
      </c>
      <c r="C335">
        <v>0.64</v>
      </c>
      <c r="D335">
        <v>1.1000000000000001</v>
      </c>
      <c r="E335">
        <v>-2.14</v>
      </c>
      <c r="F335">
        <v>0.91</v>
      </c>
      <c r="G335">
        <v>0.11</v>
      </c>
      <c r="H335">
        <v>2.96</v>
      </c>
    </row>
    <row r="336" spans="1:8" x14ac:dyDescent="0.3">
      <c r="A336">
        <v>201802</v>
      </c>
      <c r="B336">
        <v>-5.35</v>
      </c>
      <c r="C336">
        <v>1.1000000000000001</v>
      </c>
      <c r="D336">
        <v>-0.75</v>
      </c>
      <c r="E336">
        <v>0.19</v>
      </c>
      <c r="F336">
        <v>-0.25</v>
      </c>
      <c r="G336">
        <v>0.11</v>
      </c>
      <c r="H336">
        <v>0.62</v>
      </c>
    </row>
    <row r="337" spans="1:8" x14ac:dyDescent="0.3">
      <c r="A337">
        <v>201803</v>
      </c>
      <c r="B337">
        <v>-0.71</v>
      </c>
      <c r="C337">
        <v>-0.56000000000000005</v>
      </c>
      <c r="D337">
        <v>-0.94</v>
      </c>
      <c r="E337">
        <v>1.45</v>
      </c>
      <c r="F337">
        <v>-1.37</v>
      </c>
      <c r="G337">
        <v>0.12</v>
      </c>
      <c r="H337">
        <v>-0.43</v>
      </c>
    </row>
    <row r="338" spans="1:8" x14ac:dyDescent="0.3">
      <c r="A338">
        <v>201804</v>
      </c>
      <c r="B338">
        <v>2.2000000000000002</v>
      </c>
      <c r="C338">
        <v>-0.7</v>
      </c>
      <c r="D338">
        <v>1.51</v>
      </c>
      <c r="E338">
        <v>-0.52</v>
      </c>
      <c r="F338">
        <v>0.43</v>
      </c>
      <c r="G338">
        <v>0.14000000000000001</v>
      </c>
      <c r="H338">
        <v>0.7</v>
      </c>
    </row>
    <row r="339" spans="1:8" x14ac:dyDescent="0.3">
      <c r="A339">
        <v>201805</v>
      </c>
      <c r="B339">
        <v>-2.73</v>
      </c>
      <c r="C339">
        <v>1.07</v>
      </c>
      <c r="D339">
        <v>-4.9800000000000004</v>
      </c>
      <c r="E339">
        <v>2.38</v>
      </c>
      <c r="F339">
        <v>-2.42</v>
      </c>
      <c r="G339">
        <v>0.14000000000000001</v>
      </c>
      <c r="H339">
        <v>2</v>
      </c>
    </row>
    <row r="340" spans="1:8" x14ac:dyDescent="0.3">
      <c r="A340">
        <v>201806</v>
      </c>
      <c r="B340">
        <v>-0.92</v>
      </c>
      <c r="C340">
        <v>-0.9</v>
      </c>
      <c r="D340">
        <v>-1.56</v>
      </c>
      <c r="E340">
        <v>-0.16</v>
      </c>
      <c r="F340">
        <v>-0.56999999999999995</v>
      </c>
      <c r="G340">
        <v>0.14000000000000001</v>
      </c>
      <c r="H340">
        <v>-0.66</v>
      </c>
    </row>
    <row r="341" spans="1:8" x14ac:dyDescent="0.3">
      <c r="A341">
        <v>201807</v>
      </c>
      <c r="B341">
        <v>2.69</v>
      </c>
      <c r="C341">
        <v>-2.0499999999999998</v>
      </c>
      <c r="D341">
        <v>0.4</v>
      </c>
      <c r="E341">
        <v>-0.53</v>
      </c>
      <c r="F341">
        <v>-0.86</v>
      </c>
      <c r="G341">
        <v>0.16</v>
      </c>
      <c r="H341">
        <v>-0.56000000000000005</v>
      </c>
    </row>
    <row r="342" spans="1:8" x14ac:dyDescent="0.3">
      <c r="A342">
        <v>201808</v>
      </c>
      <c r="B342">
        <v>-2.65</v>
      </c>
      <c r="C342">
        <v>0.86</v>
      </c>
      <c r="D342">
        <v>-2.65</v>
      </c>
      <c r="E342">
        <v>0.88</v>
      </c>
      <c r="F342">
        <v>-1.74</v>
      </c>
      <c r="G342">
        <v>0.16</v>
      </c>
      <c r="H342">
        <v>2.42</v>
      </c>
    </row>
    <row r="343" spans="1:8" x14ac:dyDescent="0.3">
      <c r="A343">
        <v>201809</v>
      </c>
      <c r="B343">
        <v>0.12</v>
      </c>
      <c r="C343">
        <v>-1.35</v>
      </c>
      <c r="D343">
        <v>2.34</v>
      </c>
      <c r="E343">
        <v>-0.53</v>
      </c>
      <c r="F343">
        <v>0.64</v>
      </c>
      <c r="G343">
        <v>0.15</v>
      </c>
      <c r="H343">
        <v>1.59</v>
      </c>
    </row>
    <row r="344" spans="1:8" x14ac:dyDescent="0.3">
      <c r="A344">
        <v>201810</v>
      </c>
      <c r="B344">
        <v>-8.5399999999999991</v>
      </c>
      <c r="C344">
        <v>-1.5</v>
      </c>
      <c r="D344">
        <v>1.47</v>
      </c>
      <c r="E344">
        <v>-0.36</v>
      </c>
      <c r="F344">
        <v>1.1499999999999999</v>
      </c>
      <c r="G344">
        <v>0.19</v>
      </c>
      <c r="H344">
        <v>-1.47</v>
      </c>
    </row>
    <row r="345" spans="1:8" x14ac:dyDescent="0.3">
      <c r="A345">
        <v>201811</v>
      </c>
      <c r="B345">
        <v>-1.31</v>
      </c>
      <c r="C345">
        <v>-1.1100000000000001</v>
      </c>
      <c r="D345">
        <v>-0.56999999999999995</v>
      </c>
      <c r="E345">
        <v>0.78</v>
      </c>
      <c r="F345">
        <v>0.46</v>
      </c>
      <c r="G345">
        <v>0.18</v>
      </c>
      <c r="H345">
        <v>-2.09</v>
      </c>
    </row>
    <row r="346" spans="1:8" x14ac:dyDescent="0.3">
      <c r="A346">
        <v>201812</v>
      </c>
      <c r="B346">
        <v>-4.59</v>
      </c>
      <c r="C346">
        <v>-0.52</v>
      </c>
      <c r="D346">
        <v>0.95</v>
      </c>
      <c r="E346">
        <v>0.7</v>
      </c>
      <c r="F346">
        <v>0</v>
      </c>
      <c r="G346">
        <v>0.19</v>
      </c>
      <c r="H346">
        <v>3.24</v>
      </c>
    </row>
    <row r="347" spans="1:8" x14ac:dyDescent="0.3">
      <c r="A347">
        <v>201901</v>
      </c>
      <c r="B347">
        <v>6.19</v>
      </c>
      <c r="C347">
        <v>0.55000000000000004</v>
      </c>
      <c r="D347">
        <v>-0.95</v>
      </c>
      <c r="E347">
        <v>1.64</v>
      </c>
      <c r="F347">
        <v>-1.28</v>
      </c>
      <c r="G347">
        <v>0.21</v>
      </c>
      <c r="H347">
        <v>-2.23</v>
      </c>
    </row>
    <row r="348" spans="1:8" x14ac:dyDescent="0.3">
      <c r="A348">
        <v>201902</v>
      </c>
      <c r="B348">
        <v>2.93</v>
      </c>
      <c r="C348">
        <v>-1.46</v>
      </c>
      <c r="D348">
        <v>-1.23</v>
      </c>
      <c r="E348">
        <v>-0.01</v>
      </c>
      <c r="F348">
        <v>-0.16</v>
      </c>
      <c r="G348">
        <v>0.18</v>
      </c>
      <c r="H348">
        <v>-1.1599999999999999</v>
      </c>
    </row>
    <row r="349" spans="1:8" x14ac:dyDescent="0.3">
      <c r="A349">
        <v>201903</v>
      </c>
      <c r="B349">
        <v>0.57999999999999996</v>
      </c>
      <c r="C349">
        <v>-1.8</v>
      </c>
      <c r="D349">
        <v>-2.33</v>
      </c>
      <c r="E349">
        <v>1.24</v>
      </c>
      <c r="F349">
        <v>-0.87</v>
      </c>
      <c r="G349">
        <v>0.19</v>
      </c>
      <c r="H349">
        <v>4.51</v>
      </c>
    </row>
    <row r="350" spans="1:8" x14ac:dyDescent="0.3">
      <c r="A350">
        <v>201904</v>
      </c>
      <c r="B350">
        <v>3.7</v>
      </c>
      <c r="C350">
        <v>0.14000000000000001</v>
      </c>
      <c r="D350">
        <v>-1.04</v>
      </c>
      <c r="E350">
        <v>0.34</v>
      </c>
      <c r="F350">
        <v>-0.28999999999999998</v>
      </c>
      <c r="G350">
        <v>0.21</v>
      </c>
      <c r="H350">
        <v>-4.3899999999999997</v>
      </c>
    </row>
    <row r="351" spans="1:8" x14ac:dyDescent="0.3">
      <c r="A351">
        <v>201905</v>
      </c>
      <c r="B351">
        <v>-5.34</v>
      </c>
      <c r="C351">
        <v>1.21</v>
      </c>
      <c r="D351">
        <v>-1.54</v>
      </c>
      <c r="E351">
        <v>-0.59</v>
      </c>
      <c r="F351">
        <v>0.01</v>
      </c>
      <c r="G351">
        <v>0.21</v>
      </c>
      <c r="H351">
        <v>8.5</v>
      </c>
    </row>
    <row r="352" spans="1:8" x14ac:dyDescent="0.3">
      <c r="A352">
        <v>201906</v>
      </c>
      <c r="B352">
        <v>5.87</v>
      </c>
      <c r="C352">
        <v>-2.56</v>
      </c>
      <c r="D352">
        <v>-1.32</v>
      </c>
      <c r="E352">
        <v>1.49</v>
      </c>
      <c r="F352">
        <v>0.1</v>
      </c>
      <c r="G352">
        <v>0.18</v>
      </c>
      <c r="H352">
        <v>-0.45</v>
      </c>
    </row>
    <row r="353" spans="1:8" x14ac:dyDescent="0.3">
      <c r="A353">
        <v>201907</v>
      </c>
      <c r="B353">
        <v>-2.56</v>
      </c>
      <c r="C353">
        <v>-1.33</v>
      </c>
      <c r="D353">
        <v>0.09</v>
      </c>
      <c r="E353">
        <v>-1.1599999999999999</v>
      </c>
      <c r="F353">
        <v>-0.03</v>
      </c>
      <c r="G353">
        <v>0.19</v>
      </c>
      <c r="H353">
        <v>1.39</v>
      </c>
    </row>
    <row r="354" spans="1:8" x14ac:dyDescent="0.3">
      <c r="A354">
        <v>201908</v>
      </c>
      <c r="B354">
        <v>-2.4</v>
      </c>
      <c r="C354">
        <v>-0.66</v>
      </c>
      <c r="D354">
        <v>-1.96</v>
      </c>
      <c r="E354">
        <v>0.88</v>
      </c>
      <c r="F354">
        <v>0</v>
      </c>
      <c r="G354">
        <v>0.16</v>
      </c>
      <c r="H354">
        <v>3.28</v>
      </c>
    </row>
    <row r="355" spans="1:8" x14ac:dyDescent="0.3">
      <c r="A355">
        <v>201909</v>
      </c>
      <c r="B355">
        <v>2.15</v>
      </c>
      <c r="C355">
        <v>-0.67</v>
      </c>
      <c r="D355">
        <v>3.08</v>
      </c>
      <c r="E355">
        <v>-0.46</v>
      </c>
      <c r="F355">
        <v>1.31</v>
      </c>
      <c r="G355">
        <v>0.18</v>
      </c>
      <c r="H355">
        <v>-2.29</v>
      </c>
    </row>
    <row r="356" spans="1:8" x14ac:dyDescent="0.3">
      <c r="A356">
        <v>201910</v>
      </c>
      <c r="B356">
        <v>3.27</v>
      </c>
      <c r="C356">
        <v>0.83</v>
      </c>
      <c r="D356">
        <v>-0.5</v>
      </c>
      <c r="E356">
        <v>1.25</v>
      </c>
      <c r="F356">
        <v>-1.55</v>
      </c>
      <c r="G356">
        <v>0.15</v>
      </c>
      <c r="H356">
        <v>-1.22</v>
      </c>
    </row>
    <row r="357" spans="1:8" x14ac:dyDescent="0.3">
      <c r="A357">
        <v>201911</v>
      </c>
      <c r="B357">
        <v>1.77</v>
      </c>
      <c r="C357">
        <v>1.89</v>
      </c>
      <c r="D357">
        <v>-2.2400000000000002</v>
      </c>
      <c r="E357">
        <v>1.31</v>
      </c>
      <c r="F357">
        <v>-1.68</v>
      </c>
      <c r="G357">
        <v>0.12</v>
      </c>
      <c r="H357">
        <v>0.69</v>
      </c>
    </row>
    <row r="358" spans="1:8" x14ac:dyDescent="0.3">
      <c r="A358">
        <v>201912</v>
      </c>
      <c r="B358">
        <v>4.07</v>
      </c>
      <c r="C358">
        <v>2.71</v>
      </c>
      <c r="D358">
        <v>0.41</v>
      </c>
      <c r="E358">
        <v>-0.39</v>
      </c>
      <c r="F358">
        <v>0.11</v>
      </c>
      <c r="G358">
        <v>0.14000000000000001</v>
      </c>
      <c r="H358">
        <v>1.66</v>
      </c>
    </row>
    <row r="359" spans="1:8" x14ac:dyDescent="0.3">
      <c r="A359">
        <v>202001</v>
      </c>
      <c r="B359">
        <v>-2.5499999999999998</v>
      </c>
      <c r="C359">
        <v>0.12</v>
      </c>
      <c r="D359">
        <v>-2.88</v>
      </c>
      <c r="E359">
        <v>0.56000000000000005</v>
      </c>
      <c r="F359">
        <v>-1.78</v>
      </c>
      <c r="G359">
        <v>0.13</v>
      </c>
      <c r="H359">
        <v>3.55</v>
      </c>
    </row>
    <row r="360" spans="1:8" x14ac:dyDescent="0.3">
      <c r="A360">
        <v>202002</v>
      </c>
      <c r="B360">
        <v>-8.98</v>
      </c>
      <c r="C360">
        <v>0.2</v>
      </c>
      <c r="D360">
        <v>-0.74</v>
      </c>
      <c r="E360">
        <v>-0.73</v>
      </c>
      <c r="F360">
        <v>-1.54</v>
      </c>
      <c r="G360">
        <v>0.12</v>
      </c>
      <c r="H360">
        <v>0.76</v>
      </c>
    </row>
    <row r="361" spans="1:8" x14ac:dyDescent="0.3">
      <c r="A361">
        <v>202003</v>
      </c>
      <c r="B361">
        <v>-15.44</v>
      </c>
      <c r="C361">
        <v>-5.0599999999999996</v>
      </c>
      <c r="D361">
        <v>-11.3</v>
      </c>
      <c r="E361">
        <v>1.72</v>
      </c>
      <c r="F361">
        <v>-3.04</v>
      </c>
      <c r="G361">
        <v>0.12</v>
      </c>
      <c r="H361">
        <v>7.57</v>
      </c>
    </row>
    <row r="362" spans="1:8" x14ac:dyDescent="0.3">
      <c r="A362">
        <v>202004</v>
      </c>
      <c r="B362">
        <v>6.7</v>
      </c>
      <c r="C362">
        <v>4.72</v>
      </c>
      <c r="D362">
        <v>-3.82</v>
      </c>
      <c r="E362">
        <v>2.11</v>
      </c>
      <c r="F362">
        <v>-4.12</v>
      </c>
      <c r="G362">
        <v>0</v>
      </c>
      <c r="H362">
        <v>1.02</v>
      </c>
    </row>
    <row r="363" spans="1:8" x14ac:dyDescent="0.3">
      <c r="A363">
        <v>202005</v>
      </c>
      <c r="B363">
        <v>5.43</v>
      </c>
      <c r="C363">
        <v>0.81</v>
      </c>
      <c r="D363">
        <v>-4.1399999999999997</v>
      </c>
      <c r="E363">
        <v>2.37</v>
      </c>
      <c r="F363">
        <v>-4.3899999999999997</v>
      </c>
      <c r="G363">
        <v>0.01</v>
      </c>
      <c r="H363">
        <v>2.9</v>
      </c>
    </row>
    <row r="364" spans="1:8" x14ac:dyDescent="0.3">
      <c r="A364">
        <v>202006</v>
      </c>
      <c r="B364">
        <v>4.04</v>
      </c>
      <c r="C364">
        <v>-1.01</v>
      </c>
      <c r="D364">
        <v>1.74</v>
      </c>
      <c r="E364">
        <v>-1.78</v>
      </c>
      <c r="F364">
        <v>0.44</v>
      </c>
      <c r="G364">
        <v>0.01</v>
      </c>
      <c r="H364">
        <v>0.75</v>
      </c>
    </row>
    <row r="365" spans="1:8" x14ac:dyDescent="0.3">
      <c r="A365">
        <v>202007</v>
      </c>
      <c r="B365">
        <v>3.99</v>
      </c>
      <c r="C365">
        <v>2.2000000000000002</v>
      </c>
      <c r="D365">
        <v>-4.75</v>
      </c>
      <c r="E365">
        <v>0.78</v>
      </c>
      <c r="F365">
        <v>-2.25</v>
      </c>
      <c r="G365">
        <v>0.01</v>
      </c>
      <c r="H365">
        <v>6.71</v>
      </c>
    </row>
    <row r="366" spans="1:8" x14ac:dyDescent="0.3">
      <c r="A366">
        <v>202008</v>
      </c>
      <c r="B366">
        <v>4.95</v>
      </c>
      <c r="C366">
        <v>2.65</v>
      </c>
      <c r="D366">
        <v>-1.74</v>
      </c>
      <c r="E366">
        <v>0.99</v>
      </c>
      <c r="F366">
        <v>-1.67</v>
      </c>
      <c r="G366">
        <v>0.01</v>
      </c>
      <c r="H366">
        <v>0.04</v>
      </c>
    </row>
    <row r="367" spans="1:8" x14ac:dyDescent="0.3">
      <c r="A367">
        <v>202009</v>
      </c>
      <c r="B367">
        <v>-2.97</v>
      </c>
      <c r="C367">
        <v>0.53</v>
      </c>
      <c r="D367">
        <v>-3.74</v>
      </c>
      <c r="E367">
        <v>2.3199999999999998</v>
      </c>
      <c r="F367">
        <v>-1.91</v>
      </c>
      <c r="G367">
        <v>0.01</v>
      </c>
      <c r="H367">
        <v>4.8600000000000003</v>
      </c>
    </row>
    <row r="368" spans="1:8" x14ac:dyDescent="0.3">
      <c r="A368">
        <v>202010</v>
      </c>
      <c r="B368">
        <v>-4.72</v>
      </c>
      <c r="C368">
        <v>1.1399999999999999</v>
      </c>
      <c r="D368">
        <v>-0.2</v>
      </c>
      <c r="E368">
        <v>-0.62</v>
      </c>
      <c r="F368">
        <v>-0.11</v>
      </c>
      <c r="G368">
        <v>0.01</v>
      </c>
      <c r="H368">
        <v>0.66</v>
      </c>
    </row>
    <row r="369" spans="1:8" x14ac:dyDescent="0.3">
      <c r="A369">
        <v>202011</v>
      </c>
      <c r="B369">
        <v>16.62</v>
      </c>
      <c r="C369">
        <v>1.39</v>
      </c>
      <c r="D369">
        <v>10.76</v>
      </c>
      <c r="E369">
        <v>-3.82</v>
      </c>
      <c r="F369">
        <v>1.69</v>
      </c>
      <c r="G369">
        <v>0.01</v>
      </c>
      <c r="H369">
        <v>-18.39</v>
      </c>
    </row>
    <row r="370" spans="1:8" x14ac:dyDescent="0.3">
      <c r="A370">
        <v>202012</v>
      </c>
      <c r="B370">
        <v>5.67</v>
      </c>
      <c r="C370">
        <v>4.4800000000000004</v>
      </c>
      <c r="D370">
        <v>-1.77</v>
      </c>
      <c r="E370">
        <v>0.77</v>
      </c>
      <c r="F370">
        <v>-2</v>
      </c>
      <c r="G370">
        <v>0.01</v>
      </c>
      <c r="H370">
        <v>2.13</v>
      </c>
    </row>
    <row r="371" spans="1:8" x14ac:dyDescent="0.3">
      <c r="A371">
        <v>202101</v>
      </c>
      <c r="B371">
        <v>-1.25</v>
      </c>
      <c r="C371">
        <v>1.73</v>
      </c>
      <c r="D371">
        <v>-0.28999999999999998</v>
      </c>
      <c r="E371">
        <v>-0.56999999999999995</v>
      </c>
      <c r="F371">
        <v>-0.2</v>
      </c>
      <c r="G371">
        <v>0</v>
      </c>
      <c r="H371">
        <v>2.39</v>
      </c>
    </row>
    <row r="372" spans="1:8" x14ac:dyDescent="0.3">
      <c r="A372">
        <v>202102</v>
      </c>
      <c r="B372">
        <v>2.6</v>
      </c>
      <c r="C372">
        <v>1.42</v>
      </c>
      <c r="D372">
        <v>5.73</v>
      </c>
      <c r="E372">
        <v>-1.89</v>
      </c>
      <c r="F372">
        <v>0.84</v>
      </c>
      <c r="G372">
        <v>0</v>
      </c>
      <c r="H372">
        <v>-4.5199999999999996</v>
      </c>
    </row>
    <row r="373" spans="1:8" x14ac:dyDescent="0.3">
      <c r="A373">
        <v>202103</v>
      </c>
      <c r="B373">
        <v>3.18</v>
      </c>
      <c r="C373">
        <v>-1.57</v>
      </c>
      <c r="D373">
        <v>3.46</v>
      </c>
      <c r="E373">
        <v>0.26</v>
      </c>
      <c r="F373">
        <v>0.55000000000000004</v>
      </c>
      <c r="G373">
        <v>0</v>
      </c>
      <c r="H373">
        <v>-1.66</v>
      </c>
    </row>
    <row r="374" spans="1:8" x14ac:dyDescent="0.3">
      <c r="A374">
        <v>202104</v>
      </c>
      <c r="B374">
        <v>5.29</v>
      </c>
      <c r="C374">
        <v>1.77</v>
      </c>
      <c r="D374">
        <v>-3.19</v>
      </c>
      <c r="E374">
        <v>1.54</v>
      </c>
      <c r="F374">
        <v>-3.58</v>
      </c>
      <c r="G374">
        <v>0</v>
      </c>
      <c r="H374">
        <v>1.67</v>
      </c>
    </row>
    <row r="375" spans="1:8" x14ac:dyDescent="0.3">
      <c r="A375">
        <v>202105</v>
      </c>
      <c r="B375">
        <v>4.5199999999999996</v>
      </c>
      <c r="C375">
        <v>-0.75</v>
      </c>
      <c r="D375">
        <v>2.06</v>
      </c>
      <c r="E375">
        <v>1.17</v>
      </c>
      <c r="F375">
        <v>0.43</v>
      </c>
      <c r="G375">
        <v>0</v>
      </c>
      <c r="H375">
        <v>0.78</v>
      </c>
    </row>
    <row r="376" spans="1:8" x14ac:dyDescent="0.3">
      <c r="A376">
        <v>202106</v>
      </c>
      <c r="B376">
        <v>-1.66</v>
      </c>
      <c r="C376">
        <v>-1.65</v>
      </c>
      <c r="D376">
        <v>-2.5</v>
      </c>
      <c r="E376">
        <v>1.17</v>
      </c>
      <c r="F376">
        <v>-0.72</v>
      </c>
      <c r="G376">
        <v>0</v>
      </c>
      <c r="H376">
        <v>-0.91</v>
      </c>
    </row>
    <row r="377" spans="1:8" x14ac:dyDescent="0.3">
      <c r="A377">
        <v>202107</v>
      </c>
      <c r="B377">
        <v>2.09</v>
      </c>
      <c r="C377">
        <v>0.35</v>
      </c>
      <c r="D377">
        <v>-2.98</v>
      </c>
      <c r="E377">
        <v>3.23</v>
      </c>
      <c r="F377">
        <v>-2.88</v>
      </c>
      <c r="G377">
        <v>0</v>
      </c>
      <c r="H377">
        <v>2.57</v>
      </c>
    </row>
    <row r="378" spans="1:8" x14ac:dyDescent="0.3">
      <c r="A378">
        <v>202108</v>
      </c>
      <c r="B378">
        <v>1.45</v>
      </c>
      <c r="C378">
        <v>1.71</v>
      </c>
      <c r="D378">
        <v>-1.18</v>
      </c>
      <c r="E378">
        <v>0.25</v>
      </c>
      <c r="F378">
        <v>-1.7</v>
      </c>
      <c r="G378">
        <v>0</v>
      </c>
      <c r="H378">
        <v>0.06</v>
      </c>
    </row>
    <row r="379" spans="1:8" x14ac:dyDescent="0.3">
      <c r="A379">
        <v>202109</v>
      </c>
      <c r="B379">
        <v>-4.99</v>
      </c>
      <c r="C379">
        <v>-0.35</v>
      </c>
      <c r="D379">
        <v>4.3</v>
      </c>
      <c r="E379">
        <v>-2.3199999999999998</v>
      </c>
      <c r="F379">
        <v>2.2599999999999998</v>
      </c>
      <c r="G379">
        <v>0</v>
      </c>
      <c r="H379">
        <v>-0.59</v>
      </c>
    </row>
    <row r="380" spans="1:8" x14ac:dyDescent="0.3">
      <c r="A380">
        <v>202110</v>
      </c>
      <c r="B380">
        <v>4.2</v>
      </c>
      <c r="C380">
        <v>-1.62</v>
      </c>
      <c r="D380">
        <v>-0.64</v>
      </c>
      <c r="E380">
        <v>1.47</v>
      </c>
      <c r="F380">
        <v>-0.65</v>
      </c>
      <c r="G380">
        <v>0</v>
      </c>
      <c r="H380">
        <v>2.73</v>
      </c>
    </row>
    <row r="381" spans="1:8" x14ac:dyDescent="0.3">
      <c r="A381">
        <v>202111</v>
      </c>
      <c r="B381">
        <v>-4.29</v>
      </c>
      <c r="C381">
        <v>-0.98</v>
      </c>
      <c r="D381">
        <v>-2.11</v>
      </c>
      <c r="E381">
        <v>3.43</v>
      </c>
      <c r="F381">
        <v>-1.74</v>
      </c>
      <c r="G381">
        <v>0</v>
      </c>
      <c r="H381">
        <v>-0.46</v>
      </c>
    </row>
    <row r="382" spans="1:8" x14ac:dyDescent="0.3">
      <c r="A382">
        <v>202112</v>
      </c>
      <c r="B382">
        <v>5.16</v>
      </c>
      <c r="C382">
        <v>-1.04</v>
      </c>
      <c r="D382">
        <v>1.86</v>
      </c>
      <c r="E382">
        <v>0.53</v>
      </c>
      <c r="F382">
        <v>2.81</v>
      </c>
      <c r="G382">
        <v>0.01</v>
      </c>
      <c r="H382">
        <v>0.03</v>
      </c>
    </row>
    <row r="383" spans="1:8" x14ac:dyDescent="0.3">
      <c r="A383">
        <v>202201</v>
      </c>
      <c r="B383">
        <v>-5.39</v>
      </c>
      <c r="C383">
        <v>-2.2799999999999998</v>
      </c>
      <c r="D383">
        <v>12.09</v>
      </c>
      <c r="E383">
        <v>-5.4</v>
      </c>
      <c r="F383">
        <v>5.21</v>
      </c>
      <c r="G383">
        <v>0</v>
      </c>
      <c r="H383">
        <v>-5.09</v>
      </c>
    </row>
    <row r="384" spans="1:8" x14ac:dyDescent="0.3">
      <c r="A384">
        <v>202202</v>
      </c>
      <c r="B384">
        <v>-3.77</v>
      </c>
      <c r="C384">
        <v>0.42</v>
      </c>
      <c r="D384">
        <v>0.56999999999999995</v>
      </c>
      <c r="E384">
        <v>0.66</v>
      </c>
      <c r="F384">
        <v>1.77</v>
      </c>
      <c r="G384">
        <v>0</v>
      </c>
      <c r="H384">
        <v>-0.02</v>
      </c>
    </row>
    <row r="385" spans="1:8" x14ac:dyDescent="0.3">
      <c r="A385">
        <v>202203</v>
      </c>
      <c r="B385">
        <v>-0.33</v>
      </c>
      <c r="C385">
        <v>0.66</v>
      </c>
      <c r="D385">
        <v>0.4</v>
      </c>
      <c r="E385">
        <v>-0.28000000000000003</v>
      </c>
      <c r="F385">
        <v>-0.14000000000000001</v>
      </c>
      <c r="G385">
        <v>0</v>
      </c>
      <c r="H385">
        <v>4.17</v>
      </c>
    </row>
    <row r="386" spans="1:8" x14ac:dyDescent="0.3">
      <c r="A386">
        <v>202204</v>
      </c>
      <c r="B386">
        <v>-5.86</v>
      </c>
      <c r="C386">
        <v>-0.98</v>
      </c>
      <c r="D386">
        <v>2.64</v>
      </c>
      <c r="E386">
        <v>0.48</v>
      </c>
      <c r="F386">
        <v>4.07</v>
      </c>
      <c r="G386">
        <v>0</v>
      </c>
      <c r="H386">
        <v>2.04</v>
      </c>
    </row>
    <row r="387" spans="1:8" x14ac:dyDescent="0.3">
      <c r="A387">
        <v>202205</v>
      </c>
      <c r="B387">
        <v>1.27</v>
      </c>
      <c r="C387">
        <v>-1.17</v>
      </c>
      <c r="D387">
        <v>5.23</v>
      </c>
      <c r="E387">
        <v>-2.29</v>
      </c>
      <c r="F387">
        <v>1.71</v>
      </c>
      <c r="G387">
        <v>0.03</v>
      </c>
      <c r="H387">
        <v>-1.64</v>
      </c>
    </row>
    <row r="388" spans="1:8" x14ac:dyDescent="0.3">
      <c r="A388">
        <v>202206</v>
      </c>
      <c r="B388">
        <v>-10.32</v>
      </c>
      <c r="C388">
        <v>-1.03</v>
      </c>
      <c r="D388">
        <v>-2.46</v>
      </c>
      <c r="E388">
        <v>1.72</v>
      </c>
      <c r="F388">
        <v>0.21</v>
      </c>
      <c r="G388">
        <v>0.06</v>
      </c>
      <c r="H388">
        <v>3.96</v>
      </c>
    </row>
    <row r="389" spans="1:8" x14ac:dyDescent="0.3">
      <c r="A389">
        <v>202207</v>
      </c>
      <c r="B389">
        <v>5.26</v>
      </c>
      <c r="C389">
        <v>0.17</v>
      </c>
      <c r="D389">
        <v>-6.01</v>
      </c>
      <c r="E389">
        <v>3.35</v>
      </c>
      <c r="F389">
        <v>-3.93</v>
      </c>
      <c r="G389">
        <v>0.08</v>
      </c>
      <c r="H389">
        <v>-2.86</v>
      </c>
    </row>
    <row r="390" spans="1:8" x14ac:dyDescent="0.3">
      <c r="A390">
        <v>202208</v>
      </c>
      <c r="B390">
        <v>-6.68</v>
      </c>
      <c r="C390">
        <v>-0.5</v>
      </c>
      <c r="D390">
        <v>5.41</v>
      </c>
      <c r="E390">
        <v>-3.21</v>
      </c>
      <c r="F390">
        <v>2.17</v>
      </c>
      <c r="G390">
        <v>0.19</v>
      </c>
      <c r="H390">
        <v>6.28</v>
      </c>
    </row>
    <row r="391" spans="1:8" x14ac:dyDescent="0.3">
      <c r="A391">
        <v>202209</v>
      </c>
      <c r="B391">
        <v>-9.84</v>
      </c>
      <c r="C391">
        <v>-3.51</v>
      </c>
      <c r="D391">
        <v>1.25</v>
      </c>
      <c r="E391">
        <v>-0.21</v>
      </c>
      <c r="F391">
        <v>2.75</v>
      </c>
      <c r="G391">
        <v>0.19</v>
      </c>
      <c r="H391">
        <v>4.04</v>
      </c>
    </row>
    <row r="392" spans="1:8" x14ac:dyDescent="0.3">
      <c r="A392">
        <v>202210</v>
      </c>
      <c r="B392">
        <v>6.66</v>
      </c>
      <c r="C392">
        <v>-0.67</v>
      </c>
      <c r="D392">
        <v>2.44</v>
      </c>
      <c r="E392">
        <v>1.17</v>
      </c>
      <c r="F392">
        <v>0.13</v>
      </c>
      <c r="G392">
        <v>0.23</v>
      </c>
      <c r="H392">
        <v>-1.31</v>
      </c>
    </row>
    <row r="393" spans="1:8" x14ac:dyDescent="0.3">
      <c r="A393">
        <v>202211</v>
      </c>
      <c r="B393">
        <v>12.64</v>
      </c>
      <c r="C393">
        <v>-1.81</v>
      </c>
      <c r="D393">
        <v>-1.1499999999999999</v>
      </c>
      <c r="E393">
        <v>1.05</v>
      </c>
      <c r="F393">
        <v>-1.2</v>
      </c>
      <c r="G393">
        <v>0.28999999999999998</v>
      </c>
      <c r="H393">
        <v>-5.29</v>
      </c>
    </row>
    <row r="394" spans="1:8" x14ac:dyDescent="0.3">
      <c r="A394">
        <v>202212</v>
      </c>
      <c r="B394">
        <v>-1.0900000000000001</v>
      </c>
      <c r="C394">
        <v>1.53</v>
      </c>
      <c r="D394">
        <v>2.58</v>
      </c>
      <c r="E394">
        <v>-0.85</v>
      </c>
      <c r="F394">
        <v>1.04</v>
      </c>
      <c r="G394">
        <v>0.33</v>
      </c>
      <c r="H394">
        <v>2.87</v>
      </c>
    </row>
    <row r="395" spans="1:8" x14ac:dyDescent="0.3">
      <c r="A395">
        <v>202301</v>
      </c>
      <c r="B395">
        <v>8.1300000000000008</v>
      </c>
      <c r="C395">
        <v>-1.36</v>
      </c>
      <c r="D395">
        <v>1.1399999999999999</v>
      </c>
      <c r="E395">
        <v>-1.1100000000000001</v>
      </c>
      <c r="F395">
        <v>1.19</v>
      </c>
      <c r="G395">
        <v>0.35</v>
      </c>
      <c r="H395">
        <v>-5.26</v>
      </c>
    </row>
    <row r="396" spans="1:8" x14ac:dyDescent="0.3">
      <c r="A396">
        <v>202302</v>
      </c>
      <c r="B396">
        <v>-1.37</v>
      </c>
      <c r="C396">
        <v>0.38</v>
      </c>
      <c r="D396">
        <v>3.36</v>
      </c>
      <c r="E396">
        <v>0.46</v>
      </c>
      <c r="F396">
        <v>0.79</v>
      </c>
      <c r="G396">
        <v>0.34</v>
      </c>
      <c r="H396">
        <v>1.56</v>
      </c>
    </row>
    <row r="397" spans="1:8" x14ac:dyDescent="0.3">
      <c r="A397">
        <v>202303</v>
      </c>
      <c r="B397">
        <v>2.04</v>
      </c>
      <c r="C397">
        <v>-3.89</v>
      </c>
      <c r="D397">
        <v>-6.14</v>
      </c>
      <c r="E397">
        <v>3.82</v>
      </c>
      <c r="F397">
        <v>-0.32</v>
      </c>
      <c r="G397">
        <v>0.36</v>
      </c>
      <c r="H397">
        <v>0.21</v>
      </c>
    </row>
    <row r="398" spans="1:8" x14ac:dyDescent="0.3">
      <c r="A398">
        <v>202304</v>
      </c>
      <c r="B398">
        <v>3.5</v>
      </c>
      <c r="C398">
        <v>-1.02</v>
      </c>
      <c r="D398">
        <v>1.1399999999999999</v>
      </c>
      <c r="E398">
        <v>-1.38</v>
      </c>
      <c r="F398">
        <v>1.06</v>
      </c>
      <c r="G398">
        <v>0.35</v>
      </c>
      <c r="H398">
        <v>-0.4</v>
      </c>
    </row>
    <row r="399" spans="1:8" x14ac:dyDescent="0.3">
      <c r="A399">
        <v>202305</v>
      </c>
      <c r="B399">
        <v>-5.7</v>
      </c>
      <c r="C399">
        <v>0.95</v>
      </c>
      <c r="D399">
        <v>-1.23</v>
      </c>
      <c r="E399">
        <v>-0.74</v>
      </c>
      <c r="F399">
        <v>0.11</v>
      </c>
      <c r="G399">
        <v>0.36</v>
      </c>
      <c r="H399">
        <v>2.5</v>
      </c>
    </row>
    <row r="400" spans="1:8" x14ac:dyDescent="0.3">
      <c r="A400">
        <v>202306</v>
      </c>
      <c r="B400">
        <v>4.2</v>
      </c>
      <c r="C400">
        <v>-2.2400000000000002</v>
      </c>
      <c r="D400">
        <v>2.41</v>
      </c>
      <c r="E400">
        <v>0.1</v>
      </c>
      <c r="F400">
        <v>0.86</v>
      </c>
      <c r="G400">
        <v>0.4</v>
      </c>
      <c r="H400">
        <v>1.99</v>
      </c>
    </row>
    <row r="401" spans="1:8" x14ac:dyDescent="0.3">
      <c r="A401">
        <v>202307</v>
      </c>
      <c r="B401">
        <v>2.4500000000000002</v>
      </c>
      <c r="C401">
        <v>0.48</v>
      </c>
      <c r="D401">
        <v>2.74</v>
      </c>
      <c r="E401">
        <v>-1.54</v>
      </c>
      <c r="F401">
        <v>0.68</v>
      </c>
      <c r="G401">
        <v>0.45</v>
      </c>
      <c r="H401">
        <v>-2.57</v>
      </c>
    </row>
    <row r="402" spans="1:8" x14ac:dyDescent="0.3">
      <c r="A402">
        <v>202308</v>
      </c>
      <c r="B402">
        <v>-4.5999999999999996</v>
      </c>
      <c r="C402">
        <v>-0.32</v>
      </c>
      <c r="D402">
        <v>1.66</v>
      </c>
      <c r="E402">
        <v>0.69</v>
      </c>
      <c r="F402">
        <v>1.8</v>
      </c>
      <c r="G402">
        <v>0.45</v>
      </c>
      <c r="H402">
        <v>1.2</v>
      </c>
    </row>
    <row r="403" spans="1:8" x14ac:dyDescent="0.3">
      <c r="A403">
        <v>202309</v>
      </c>
      <c r="B403">
        <v>-4.97</v>
      </c>
      <c r="C403">
        <v>-1.36</v>
      </c>
      <c r="D403">
        <v>3.54</v>
      </c>
      <c r="E403">
        <v>0.13</v>
      </c>
      <c r="F403">
        <v>1.31</v>
      </c>
      <c r="G403">
        <v>0.43</v>
      </c>
      <c r="H403">
        <v>0.04</v>
      </c>
    </row>
    <row r="404" spans="1:8" x14ac:dyDescent="0.3">
      <c r="A404">
        <v>202310</v>
      </c>
      <c r="B404">
        <v>-4.37</v>
      </c>
      <c r="C404">
        <v>-1.97</v>
      </c>
      <c r="D404">
        <v>0.78</v>
      </c>
      <c r="E404">
        <v>0.56999999999999995</v>
      </c>
      <c r="F404">
        <v>0.81</v>
      </c>
      <c r="G404">
        <v>0.47</v>
      </c>
      <c r="H404">
        <v>1.27</v>
      </c>
    </row>
    <row r="405" spans="1:8" x14ac:dyDescent="0.3">
      <c r="A405">
        <v>202311</v>
      </c>
      <c r="B405">
        <v>9.2100000000000009</v>
      </c>
      <c r="C405">
        <v>-0.26</v>
      </c>
      <c r="D405">
        <v>-0.91</v>
      </c>
      <c r="E405">
        <v>-1.24</v>
      </c>
      <c r="F405">
        <v>-2.4900000000000002</v>
      </c>
      <c r="G405">
        <v>0.44</v>
      </c>
      <c r="H405">
        <v>1.41</v>
      </c>
    </row>
    <row r="406" spans="1:8" x14ac:dyDescent="0.3">
      <c r="A406">
        <v>202312</v>
      </c>
      <c r="B406">
        <v>5.0599999999999996</v>
      </c>
      <c r="C406">
        <v>3.47</v>
      </c>
      <c r="D406">
        <v>-0.61</v>
      </c>
      <c r="E406">
        <v>0.26</v>
      </c>
      <c r="F406">
        <v>-1.18</v>
      </c>
      <c r="G406">
        <v>0.43</v>
      </c>
      <c r="H406">
        <v>-3.82</v>
      </c>
    </row>
    <row r="407" spans="1:8" x14ac:dyDescent="0.3">
      <c r="A407">
        <v>202401</v>
      </c>
      <c r="B407">
        <v>-1.56</v>
      </c>
      <c r="C407">
        <v>-1.57</v>
      </c>
      <c r="D407">
        <v>-1</v>
      </c>
      <c r="E407">
        <v>0.71</v>
      </c>
      <c r="F407">
        <v>0.31</v>
      </c>
      <c r="G407">
        <v>0.47</v>
      </c>
      <c r="H407">
        <v>3.28</v>
      </c>
    </row>
    <row r="408" spans="1:8" x14ac:dyDescent="0.3">
      <c r="A408">
        <v>202402</v>
      </c>
      <c r="B408">
        <v>1.27</v>
      </c>
      <c r="C408">
        <v>-2.89</v>
      </c>
      <c r="D408">
        <v>-0.76</v>
      </c>
      <c r="E408">
        <v>1.0900000000000001</v>
      </c>
      <c r="F408">
        <v>-1.95</v>
      </c>
      <c r="G408">
        <v>0.42</v>
      </c>
      <c r="H408">
        <v>3.35</v>
      </c>
    </row>
    <row r="409" spans="1:8" x14ac:dyDescent="0.3">
      <c r="A409">
        <v>202403</v>
      </c>
      <c r="B409">
        <v>3.26</v>
      </c>
      <c r="C409">
        <v>-1.1000000000000001</v>
      </c>
      <c r="D409">
        <v>3.57</v>
      </c>
      <c r="E409">
        <v>-2.1</v>
      </c>
      <c r="F409">
        <v>0.44</v>
      </c>
      <c r="G409">
        <v>0.43</v>
      </c>
      <c r="H409">
        <v>0.38</v>
      </c>
    </row>
    <row r="410" spans="1:8" x14ac:dyDescent="0.3">
      <c r="A410">
        <v>202404</v>
      </c>
      <c r="B410">
        <v>-2.52</v>
      </c>
      <c r="C410">
        <v>1.03</v>
      </c>
      <c r="D410">
        <v>2.96</v>
      </c>
      <c r="E410">
        <v>-0.35</v>
      </c>
      <c r="F410">
        <v>1.1399999999999999</v>
      </c>
      <c r="G410">
        <v>0.47</v>
      </c>
      <c r="H410">
        <v>-0.92</v>
      </c>
    </row>
    <row r="411" spans="1:8" x14ac:dyDescent="0.3">
      <c r="A411">
        <v>202405</v>
      </c>
      <c r="B411">
        <v>4.97</v>
      </c>
      <c r="C411">
        <v>2.35</v>
      </c>
      <c r="D411">
        <v>0.39</v>
      </c>
      <c r="E411">
        <v>-1.3</v>
      </c>
      <c r="F411">
        <v>0.35</v>
      </c>
      <c r="G411">
        <v>0.44</v>
      </c>
      <c r="H411">
        <v>0.93</v>
      </c>
    </row>
    <row r="412" spans="1:8" x14ac:dyDescent="0.3">
      <c r="A412">
        <v>202406</v>
      </c>
      <c r="B412">
        <v>-3.28</v>
      </c>
      <c r="C412">
        <v>-1.47</v>
      </c>
      <c r="D412">
        <v>-2.33</v>
      </c>
      <c r="E412">
        <v>0.13</v>
      </c>
      <c r="F412">
        <v>-0.21</v>
      </c>
      <c r="G412">
        <v>0.41</v>
      </c>
      <c r="H412">
        <v>2.62</v>
      </c>
    </row>
    <row r="413" spans="1:8" x14ac:dyDescent="0.3">
      <c r="A413">
        <v>202407</v>
      </c>
      <c r="B413">
        <v>1.5</v>
      </c>
      <c r="C413">
        <v>1.99</v>
      </c>
      <c r="D413">
        <v>1.33</v>
      </c>
      <c r="E413">
        <v>-3.19</v>
      </c>
      <c r="F413">
        <v>3</v>
      </c>
      <c r="G413">
        <v>0.45</v>
      </c>
      <c r="H413">
        <v>-0.47</v>
      </c>
    </row>
    <row r="414" spans="1:8" x14ac:dyDescent="0.3">
      <c r="A414">
        <v>202408</v>
      </c>
      <c r="B414">
        <v>2.97</v>
      </c>
      <c r="C414">
        <v>-2.2000000000000002</v>
      </c>
      <c r="D414">
        <v>-0.83</v>
      </c>
      <c r="E414">
        <v>0.26</v>
      </c>
      <c r="F414">
        <v>-0.39</v>
      </c>
      <c r="G414">
        <v>0.48</v>
      </c>
      <c r="H414">
        <v>0.73</v>
      </c>
    </row>
    <row r="415" spans="1:8" x14ac:dyDescent="0.3">
      <c r="A415">
        <v>202409</v>
      </c>
      <c r="B415">
        <v>0.48</v>
      </c>
      <c r="C415">
        <v>-0.44</v>
      </c>
      <c r="D415">
        <v>1.74</v>
      </c>
      <c r="E415">
        <v>-3.3</v>
      </c>
      <c r="F415">
        <v>1.57</v>
      </c>
      <c r="G415">
        <v>0.4</v>
      </c>
      <c r="H415">
        <v>-0.45</v>
      </c>
    </row>
    <row r="416" spans="1:8" x14ac:dyDescent="0.3">
      <c r="A416">
        <v>202410</v>
      </c>
      <c r="B416">
        <v>-6.01</v>
      </c>
      <c r="C416">
        <v>-0.5</v>
      </c>
      <c r="D416">
        <v>1.39</v>
      </c>
      <c r="E416">
        <v>-0.83</v>
      </c>
      <c r="F416">
        <v>0.97</v>
      </c>
      <c r="G416">
        <v>0.39</v>
      </c>
      <c r="H416">
        <v>1.82</v>
      </c>
    </row>
    <row r="417" spans="1:8" x14ac:dyDescent="0.3">
      <c r="A417">
        <v>202411</v>
      </c>
      <c r="B417">
        <v>-2.38</v>
      </c>
      <c r="C417">
        <v>-0.69</v>
      </c>
      <c r="D417">
        <v>0.27</v>
      </c>
      <c r="E417">
        <v>-0.72</v>
      </c>
      <c r="F417">
        <v>-0.11</v>
      </c>
      <c r="G417">
        <v>0.4</v>
      </c>
      <c r="H417">
        <v>3</v>
      </c>
    </row>
    <row r="418" spans="1:8" x14ac:dyDescent="0.3">
      <c r="A418">
        <v>202412</v>
      </c>
      <c r="B418">
        <v>-2.42</v>
      </c>
      <c r="C418">
        <v>1.31</v>
      </c>
      <c r="D418">
        <v>1.61</v>
      </c>
      <c r="E418">
        <v>-0.28000000000000003</v>
      </c>
      <c r="F418">
        <v>-1.45</v>
      </c>
      <c r="G418">
        <v>0.37</v>
      </c>
      <c r="H418">
        <v>-0.56000000000000005</v>
      </c>
    </row>
    <row r="419" spans="1:8" x14ac:dyDescent="0.3">
      <c r="A419">
        <v>202501</v>
      </c>
      <c r="B419">
        <v>5.83</v>
      </c>
      <c r="C419">
        <v>-3.61</v>
      </c>
      <c r="D419">
        <v>-0.2</v>
      </c>
      <c r="E419">
        <v>0.16</v>
      </c>
      <c r="F419">
        <v>-1.23</v>
      </c>
      <c r="G419">
        <v>0.37</v>
      </c>
      <c r="H419">
        <v>0.63</v>
      </c>
    </row>
    <row r="420" spans="1:8" x14ac:dyDescent="0.3">
      <c r="A420">
        <v>202502</v>
      </c>
      <c r="B420">
        <v>2.68</v>
      </c>
      <c r="C420">
        <v>-2.2200000000000002</v>
      </c>
      <c r="D420">
        <v>4.25</v>
      </c>
      <c r="E420">
        <v>-1.24</v>
      </c>
      <c r="F420">
        <v>1</v>
      </c>
      <c r="G420">
        <v>0.33</v>
      </c>
      <c r="H420">
        <v>1.57</v>
      </c>
    </row>
    <row r="421" spans="1:8" x14ac:dyDescent="0.3">
      <c r="A421">
        <v>202503</v>
      </c>
      <c r="B421">
        <v>-0.15</v>
      </c>
      <c r="C421">
        <v>1.51</v>
      </c>
      <c r="D421">
        <v>5.54</v>
      </c>
      <c r="E421">
        <v>-1.71</v>
      </c>
      <c r="F421">
        <v>3.7</v>
      </c>
      <c r="G421">
        <v>0.34</v>
      </c>
      <c r="H421">
        <v>2.86</v>
      </c>
    </row>
    <row r="422" spans="1:8" x14ac:dyDescent="0.3">
      <c r="A422">
        <v>202504</v>
      </c>
      <c r="B422">
        <v>3.97</v>
      </c>
      <c r="C422">
        <v>2</v>
      </c>
      <c r="D422">
        <v>-0.77</v>
      </c>
      <c r="E422">
        <v>-1.06</v>
      </c>
      <c r="F422">
        <v>-0.66</v>
      </c>
      <c r="G422">
        <v>0.35</v>
      </c>
      <c r="H422">
        <v>2.74</v>
      </c>
    </row>
    <row r="423" spans="1:8" x14ac:dyDescent="0.3">
      <c r="A423">
        <v>202505</v>
      </c>
      <c r="B423">
        <v>4.9000000000000004</v>
      </c>
      <c r="C423">
        <v>1.1200000000000001</v>
      </c>
      <c r="D423">
        <v>1.42</v>
      </c>
      <c r="E423">
        <v>-0.04</v>
      </c>
      <c r="F423">
        <v>-1.1100000000000001</v>
      </c>
      <c r="G423">
        <v>0.38</v>
      </c>
      <c r="H423">
        <v>0.77</v>
      </c>
    </row>
    <row r="424" spans="1:8" x14ac:dyDescent="0.3">
      <c r="A424">
        <v>202506</v>
      </c>
      <c r="B424">
        <v>2.72</v>
      </c>
      <c r="C424">
        <v>2.69</v>
      </c>
      <c r="D424">
        <v>0.8</v>
      </c>
      <c r="E424">
        <v>-0.75</v>
      </c>
      <c r="F424">
        <v>0.05</v>
      </c>
      <c r="G424">
        <v>0.34</v>
      </c>
      <c r="H424">
        <v>0.33</v>
      </c>
    </row>
    <row r="425" spans="1:8" x14ac:dyDescent="0.3">
      <c r="A425">
        <v>202507</v>
      </c>
      <c r="B425">
        <v>-2.6</v>
      </c>
      <c r="C425">
        <v>0.61</v>
      </c>
      <c r="D425">
        <v>2.68</v>
      </c>
      <c r="E425">
        <v>-1.52</v>
      </c>
      <c r="F425">
        <v>2.46</v>
      </c>
      <c r="G425">
        <v>0.35</v>
      </c>
      <c r="H425">
        <v>2.11</v>
      </c>
    </row>
    <row r="426" spans="1:8" x14ac:dyDescent="0.3">
      <c r="A426">
        <v>202508</v>
      </c>
      <c r="B426">
        <v>3.08</v>
      </c>
      <c r="C426">
        <v>-0.87</v>
      </c>
      <c r="D426">
        <v>1.91</v>
      </c>
      <c r="E426">
        <v>0.68</v>
      </c>
      <c r="F426">
        <v>1.02</v>
      </c>
      <c r="G426">
        <v>0.38</v>
      </c>
      <c r="H426">
        <v>-0.98</v>
      </c>
    </row>
    <row r="427" spans="1:8" x14ac:dyDescent="0.3">
      <c r="A427">
        <v>202509</v>
      </c>
      <c r="B427">
        <v>1.22</v>
      </c>
      <c r="C427">
        <v>-1.27</v>
      </c>
      <c r="D427">
        <v>0.47</v>
      </c>
      <c r="E427">
        <v>0.39</v>
      </c>
      <c r="F427">
        <v>-1.38</v>
      </c>
      <c r="G427">
        <v>0.33</v>
      </c>
      <c r="H427">
        <v>2.88</v>
      </c>
    </row>
    <row r="428" spans="1:8" x14ac:dyDescent="0.3">
      <c r="A428">
        <v>202510</v>
      </c>
      <c r="B428">
        <v>0.43</v>
      </c>
      <c r="C428">
        <v>-1.87</v>
      </c>
      <c r="D428">
        <v>0.02</v>
      </c>
      <c r="E428">
        <v>-1.02</v>
      </c>
      <c r="F428">
        <v>0.22</v>
      </c>
      <c r="G428">
        <v>0.37</v>
      </c>
      <c r="H428">
        <v>-1.6</v>
      </c>
    </row>
    <row r="429" spans="1:8" x14ac:dyDescent="0.3">
      <c r="A429">
        <v>202511</v>
      </c>
      <c r="B429">
        <v>0.72</v>
      </c>
      <c r="C429">
        <v>-1.1399999999999999</v>
      </c>
      <c r="D429">
        <v>2.42</v>
      </c>
      <c r="E429">
        <v>0.35</v>
      </c>
      <c r="F429">
        <v>1.1200000000000001</v>
      </c>
      <c r="G429">
        <v>0.3</v>
      </c>
      <c r="H429">
        <v>0.87</v>
      </c>
    </row>
    <row r="433" spans="1:7" x14ac:dyDescent="0.3">
      <c r="A433" t="s">
        <v>0</v>
      </c>
    </row>
    <row r="434" spans="1:7" x14ac:dyDescent="0.3">
      <c r="B434" t="s">
        <v>1</v>
      </c>
      <c r="C434" t="s">
        <v>2</v>
      </c>
      <c r="D434" t="s">
        <v>3</v>
      </c>
      <c r="E434" t="s">
        <v>4</v>
      </c>
      <c r="F434" t="s">
        <v>5</v>
      </c>
      <c r="G434" t="s">
        <v>6</v>
      </c>
    </row>
    <row r="435" spans="1:7" x14ac:dyDescent="0.3">
      <c r="A435">
        <v>1991</v>
      </c>
      <c r="B435">
        <v>4.55</v>
      </c>
      <c r="C435">
        <v>-10.11</v>
      </c>
      <c r="D435">
        <v>-6.87</v>
      </c>
      <c r="E435">
        <v>18.77</v>
      </c>
      <c r="F435">
        <v>-2.2400000000000002</v>
      </c>
      <c r="G435">
        <v>5.6</v>
      </c>
    </row>
    <row r="436" spans="1:7" x14ac:dyDescent="0.3">
      <c r="A436">
        <v>1992</v>
      </c>
      <c r="B436">
        <v>-11.29</v>
      </c>
      <c r="C436">
        <v>-11.38</v>
      </c>
      <c r="D436">
        <v>-1.31</v>
      </c>
      <c r="E436">
        <v>8.89</v>
      </c>
      <c r="F436">
        <v>2.71</v>
      </c>
      <c r="G436">
        <v>3.51</v>
      </c>
    </row>
    <row r="437" spans="1:7" x14ac:dyDescent="0.3">
      <c r="A437">
        <v>1993</v>
      </c>
      <c r="B437">
        <v>25.52</v>
      </c>
      <c r="C437">
        <v>5.14</v>
      </c>
      <c r="D437">
        <v>22.25</v>
      </c>
      <c r="E437">
        <v>-4.54</v>
      </c>
      <c r="F437">
        <v>13.48</v>
      </c>
      <c r="G437">
        <v>2.9</v>
      </c>
    </row>
    <row r="438" spans="1:7" x14ac:dyDescent="0.3">
      <c r="A438">
        <v>1994</v>
      </c>
      <c r="B438">
        <v>-0.48</v>
      </c>
      <c r="C438">
        <v>9.33</v>
      </c>
      <c r="D438">
        <v>6.68</v>
      </c>
      <c r="E438">
        <v>2.7</v>
      </c>
      <c r="F438">
        <v>4.28</v>
      </c>
      <c r="G438">
        <v>3.9</v>
      </c>
    </row>
    <row r="439" spans="1:7" x14ac:dyDescent="0.3">
      <c r="A439">
        <v>1995</v>
      </c>
      <c r="B439">
        <v>13.33</v>
      </c>
      <c r="C439">
        <v>-9.73</v>
      </c>
      <c r="D439">
        <v>-6.66</v>
      </c>
      <c r="E439">
        <v>8.73</v>
      </c>
      <c r="F439">
        <v>-7.44</v>
      </c>
      <c r="G439">
        <v>5.6</v>
      </c>
    </row>
    <row r="440" spans="1:7" x14ac:dyDescent="0.3">
      <c r="A440">
        <v>1996</v>
      </c>
      <c r="B440">
        <v>16.52</v>
      </c>
      <c r="C440">
        <v>-1.27</v>
      </c>
      <c r="D440">
        <v>2.0099999999999998</v>
      </c>
      <c r="E440">
        <v>15.7</v>
      </c>
      <c r="F440">
        <v>-3.08</v>
      </c>
      <c r="G440">
        <v>5.21</v>
      </c>
    </row>
    <row r="441" spans="1:7" x14ac:dyDescent="0.3">
      <c r="A441">
        <v>1997</v>
      </c>
      <c r="B441">
        <v>14.85</v>
      </c>
      <c r="C441">
        <v>-12</v>
      </c>
      <c r="D441">
        <v>12.51</v>
      </c>
      <c r="E441">
        <v>-1.31</v>
      </c>
      <c r="F441">
        <v>1.27</v>
      </c>
      <c r="G441">
        <v>5.26</v>
      </c>
    </row>
    <row r="442" spans="1:7" x14ac:dyDescent="0.3">
      <c r="A442">
        <v>1998</v>
      </c>
      <c r="B442">
        <v>20.52</v>
      </c>
      <c r="C442">
        <v>-15.14</v>
      </c>
      <c r="D442">
        <v>-0.95</v>
      </c>
      <c r="E442">
        <v>2.06</v>
      </c>
      <c r="F442">
        <v>-6</v>
      </c>
      <c r="G442">
        <v>4.8600000000000003</v>
      </c>
    </row>
    <row r="443" spans="1:7" x14ac:dyDescent="0.3">
      <c r="A443">
        <v>1999</v>
      </c>
      <c r="B443">
        <v>15.03</v>
      </c>
      <c r="C443">
        <v>11.75</v>
      </c>
      <c r="D443">
        <v>-23.26</v>
      </c>
      <c r="E443">
        <v>11.1</v>
      </c>
      <c r="F443">
        <v>-20.79</v>
      </c>
      <c r="G443">
        <v>4.68</v>
      </c>
    </row>
    <row r="444" spans="1:7" x14ac:dyDescent="0.3">
      <c r="A444">
        <v>2000</v>
      </c>
      <c r="B444">
        <v>-15.88</v>
      </c>
      <c r="C444">
        <v>-3.54</v>
      </c>
      <c r="D444">
        <v>27.73</v>
      </c>
      <c r="E444">
        <v>-1.78</v>
      </c>
      <c r="F444">
        <v>15.67</v>
      </c>
      <c r="G444">
        <v>5.89</v>
      </c>
    </row>
    <row r="445" spans="1:7" x14ac:dyDescent="0.3">
      <c r="A445">
        <v>2001</v>
      </c>
      <c r="B445">
        <v>-23.92</v>
      </c>
      <c r="C445">
        <v>1.86</v>
      </c>
      <c r="D445">
        <v>26.12</v>
      </c>
      <c r="E445">
        <v>3.83</v>
      </c>
      <c r="F445">
        <v>17.68</v>
      </c>
      <c r="G445">
        <v>3.83</v>
      </c>
    </row>
    <row r="446" spans="1:7" x14ac:dyDescent="0.3">
      <c r="A446">
        <v>2002</v>
      </c>
      <c r="B446">
        <v>-15.71</v>
      </c>
      <c r="C446">
        <v>10.48</v>
      </c>
      <c r="D446">
        <v>21.57</v>
      </c>
      <c r="E446">
        <v>11.73</v>
      </c>
      <c r="F446">
        <v>18.66</v>
      </c>
      <c r="G446">
        <v>1.65</v>
      </c>
    </row>
    <row r="447" spans="1:7" x14ac:dyDescent="0.3">
      <c r="A447">
        <v>2003</v>
      </c>
      <c r="B447">
        <v>41.68</v>
      </c>
      <c r="C447">
        <v>16.93</v>
      </c>
      <c r="D447">
        <v>20.47</v>
      </c>
      <c r="E447">
        <v>-10.62</v>
      </c>
      <c r="F447">
        <v>10.06</v>
      </c>
      <c r="G447">
        <v>1.02</v>
      </c>
    </row>
    <row r="448" spans="1:7" x14ac:dyDescent="0.3">
      <c r="A448">
        <v>2004</v>
      </c>
      <c r="B448">
        <v>22.56</v>
      </c>
      <c r="C448">
        <v>10.14</v>
      </c>
      <c r="D448">
        <v>11.16</v>
      </c>
      <c r="E448">
        <v>4.21</v>
      </c>
      <c r="F448">
        <v>-0.51</v>
      </c>
      <c r="G448">
        <v>1.2</v>
      </c>
    </row>
    <row r="449" spans="1:7" x14ac:dyDescent="0.3">
      <c r="A449">
        <v>2005</v>
      </c>
      <c r="B449">
        <v>8.82</v>
      </c>
      <c r="C449">
        <v>7.17</v>
      </c>
      <c r="D449">
        <v>9.44</v>
      </c>
      <c r="E449">
        <v>-0.71</v>
      </c>
      <c r="F449">
        <v>-0.9</v>
      </c>
      <c r="G449">
        <v>2.98</v>
      </c>
    </row>
    <row r="450" spans="1:7" x14ac:dyDescent="0.3">
      <c r="A450">
        <v>2006</v>
      </c>
      <c r="B450">
        <v>32.200000000000003</v>
      </c>
      <c r="C450">
        <v>8.09</v>
      </c>
      <c r="D450">
        <v>11.07</v>
      </c>
      <c r="E450">
        <v>-1.53</v>
      </c>
      <c r="F450">
        <v>-3.65</v>
      </c>
      <c r="G450">
        <v>4.8</v>
      </c>
    </row>
    <row r="451" spans="1:7" x14ac:dyDescent="0.3">
      <c r="A451">
        <v>2007</v>
      </c>
      <c r="B451">
        <v>9.69</v>
      </c>
      <c r="C451">
        <v>-8.69</v>
      </c>
      <c r="D451">
        <v>-0.06</v>
      </c>
      <c r="E451">
        <v>8.85</v>
      </c>
      <c r="F451">
        <v>4.42</v>
      </c>
      <c r="G451">
        <v>4.66</v>
      </c>
    </row>
    <row r="452" spans="1:7" x14ac:dyDescent="0.3">
      <c r="A452">
        <v>2008</v>
      </c>
      <c r="B452">
        <v>-47.45</v>
      </c>
      <c r="C452">
        <v>-5.74</v>
      </c>
      <c r="D452">
        <v>-3.29</v>
      </c>
      <c r="E452">
        <v>2.72</v>
      </c>
      <c r="F452">
        <v>11.41</v>
      </c>
      <c r="G452">
        <v>1.6</v>
      </c>
    </row>
    <row r="453" spans="1:7" x14ac:dyDescent="0.3">
      <c r="A453">
        <v>2009</v>
      </c>
      <c r="B453">
        <v>35.15</v>
      </c>
      <c r="C453">
        <v>15.77</v>
      </c>
      <c r="D453">
        <v>1.55</v>
      </c>
      <c r="E453">
        <v>14.62</v>
      </c>
      <c r="F453">
        <v>-9.17</v>
      </c>
      <c r="G453">
        <v>0.1</v>
      </c>
    </row>
    <row r="454" spans="1:7" x14ac:dyDescent="0.3">
      <c r="A454">
        <v>2010</v>
      </c>
      <c r="B454">
        <v>6.31</v>
      </c>
      <c r="C454">
        <v>9.57</v>
      </c>
      <c r="D454">
        <v>-8.6199999999999992</v>
      </c>
      <c r="E454">
        <v>6.66</v>
      </c>
      <c r="F454">
        <v>-3.08</v>
      </c>
      <c r="G454">
        <v>0.12</v>
      </c>
    </row>
    <row r="455" spans="1:7" x14ac:dyDescent="0.3">
      <c r="A455">
        <v>2011</v>
      </c>
      <c r="B455">
        <v>-13.12</v>
      </c>
      <c r="C455">
        <v>-6.73</v>
      </c>
      <c r="D455">
        <v>-12.89</v>
      </c>
      <c r="E455">
        <v>14.2</v>
      </c>
      <c r="F455">
        <v>-2.41</v>
      </c>
      <c r="G455">
        <v>0.04</v>
      </c>
    </row>
    <row r="456" spans="1:7" x14ac:dyDescent="0.3">
      <c r="A456">
        <v>2012</v>
      </c>
      <c r="B456">
        <v>20.77</v>
      </c>
      <c r="C456">
        <v>2.25</v>
      </c>
      <c r="D456">
        <v>1.9</v>
      </c>
      <c r="E456">
        <v>2.5499999999999998</v>
      </c>
      <c r="F456">
        <v>1.71</v>
      </c>
      <c r="G456">
        <v>0.06</v>
      </c>
    </row>
    <row r="457" spans="1:7" x14ac:dyDescent="0.3">
      <c r="A457">
        <v>2013</v>
      </c>
      <c r="B457">
        <v>28</v>
      </c>
      <c r="C457">
        <v>8.77</v>
      </c>
      <c r="D457">
        <v>10.35</v>
      </c>
      <c r="E457">
        <v>-0.62</v>
      </c>
      <c r="F457">
        <v>8.76</v>
      </c>
      <c r="G457">
        <v>0.02</v>
      </c>
    </row>
    <row r="458" spans="1:7" x14ac:dyDescent="0.3">
      <c r="A458">
        <v>2014</v>
      </c>
      <c r="B458">
        <v>-6.34</v>
      </c>
      <c r="C458">
        <v>-1.47</v>
      </c>
      <c r="D458">
        <v>-5.29</v>
      </c>
      <c r="E458">
        <v>5.92</v>
      </c>
      <c r="F458">
        <v>-1.52</v>
      </c>
      <c r="G458">
        <v>0.02</v>
      </c>
    </row>
    <row r="459" spans="1:7" x14ac:dyDescent="0.3">
      <c r="A459">
        <v>2015</v>
      </c>
      <c r="B459">
        <v>-0.51</v>
      </c>
      <c r="C459">
        <v>10.17</v>
      </c>
      <c r="D459">
        <v>-16.75</v>
      </c>
      <c r="E459">
        <v>11.7</v>
      </c>
      <c r="F459">
        <v>-8.52</v>
      </c>
      <c r="G459">
        <v>0.02</v>
      </c>
    </row>
    <row r="460" spans="1:7" x14ac:dyDescent="0.3">
      <c r="A460">
        <v>2016</v>
      </c>
      <c r="B460">
        <v>-0.04</v>
      </c>
      <c r="C460">
        <v>4.92</v>
      </c>
      <c r="D460">
        <v>11.08</v>
      </c>
      <c r="E460">
        <v>-0.33</v>
      </c>
      <c r="F460">
        <v>10.98</v>
      </c>
      <c r="G460">
        <v>0.2</v>
      </c>
    </row>
    <row r="461" spans="1:7" x14ac:dyDescent="0.3">
      <c r="A461">
        <v>2017</v>
      </c>
      <c r="B461">
        <v>28.21</v>
      </c>
      <c r="C461">
        <v>6.72</v>
      </c>
      <c r="D461">
        <v>3.01</v>
      </c>
      <c r="E461">
        <v>2.4300000000000002</v>
      </c>
      <c r="F461">
        <v>-2.4900000000000002</v>
      </c>
      <c r="G461">
        <v>0.8</v>
      </c>
    </row>
    <row r="462" spans="1:7" x14ac:dyDescent="0.3">
      <c r="A462">
        <v>2018</v>
      </c>
      <c r="B462">
        <v>-16.079999999999998</v>
      </c>
      <c r="C462">
        <v>-4.29</v>
      </c>
      <c r="D462">
        <v>-3.34</v>
      </c>
      <c r="E462">
        <v>2.25</v>
      </c>
      <c r="F462">
        <v>-2.92</v>
      </c>
      <c r="G462">
        <v>1.81</v>
      </c>
    </row>
    <row r="463" spans="1:7" x14ac:dyDescent="0.3">
      <c r="A463">
        <v>2019</v>
      </c>
      <c r="B463">
        <v>21.81</v>
      </c>
      <c r="C463">
        <v>-1.56</v>
      </c>
      <c r="D463">
        <v>-11.77</v>
      </c>
      <c r="E463">
        <v>6.36</v>
      </c>
      <c r="F463">
        <v>-5.14</v>
      </c>
      <c r="G463">
        <v>2.14</v>
      </c>
    </row>
    <row r="464" spans="1:7" x14ac:dyDescent="0.3">
      <c r="A464">
        <v>2020</v>
      </c>
      <c r="B464">
        <v>9.23</v>
      </c>
      <c r="C464">
        <v>11.64</v>
      </c>
      <c r="D464">
        <v>-30.11</v>
      </c>
      <c r="E464">
        <v>5.3</v>
      </c>
      <c r="F464">
        <v>-23.75</v>
      </c>
      <c r="G464">
        <v>0.44</v>
      </c>
    </row>
    <row r="465" spans="1:7" x14ac:dyDescent="0.3">
      <c r="A465">
        <v>2021</v>
      </c>
      <c r="B465">
        <v>16.77</v>
      </c>
      <c r="C465">
        <v>-1.19</v>
      </c>
      <c r="D465">
        <v>4.9800000000000004</v>
      </c>
      <c r="E465">
        <v>9.34</v>
      </c>
      <c r="F465">
        <v>-5.0999999999999996</v>
      </c>
      <c r="G465">
        <v>0.04</v>
      </c>
    </row>
    <row r="466" spans="1:7" x14ac:dyDescent="0.3">
      <c r="A466">
        <v>2022</v>
      </c>
      <c r="B466">
        <v>-18.61</v>
      </c>
      <c r="C466">
        <v>-7.46</v>
      </c>
      <c r="D466">
        <v>19.149999999999999</v>
      </c>
      <c r="E466">
        <v>-3.46</v>
      </c>
      <c r="F466">
        <v>11.8</v>
      </c>
      <c r="G466">
        <v>1.42</v>
      </c>
    </row>
    <row r="467" spans="1:7" x14ac:dyDescent="0.3">
      <c r="A467">
        <v>2023</v>
      </c>
      <c r="B467">
        <v>13.37</v>
      </c>
      <c r="C467">
        <v>-8.1999999999999993</v>
      </c>
      <c r="D467">
        <v>9.1300000000000008</v>
      </c>
      <c r="E467">
        <v>0.28000000000000003</v>
      </c>
      <c r="F467">
        <v>5.71</v>
      </c>
      <c r="G467">
        <v>4.95</v>
      </c>
    </row>
    <row r="468" spans="1:7" x14ac:dyDescent="0.3">
      <c r="A468">
        <v>2024</v>
      </c>
      <c r="B468">
        <v>-4.41</v>
      </c>
      <c r="C468">
        <v>-4.4800000000000004</v>
      </c>
      <c r="D468">
        <v>8.36</v>
      </c>
      <c r="E468">
        <v>-10.130000000000001</v>
      </c>
      <c r="F468">
        <v>3.88</v>
      </c>
      <c r="G468">
        <v>5.26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33ACA-F07A-46D9-8F53-6F5E3F2F35E2}">
  <dimension ref="A1:D458"/>
  <sheetViews>
    <sheetView workbookViewId="0">
      <selection activeCell="H9" sqref="H9"/>
    </sheetView>
  </sheetViews>
  <sheetFormatPr defaultRowHeight="14.4" x14ac:dyDescent="0.3"/>
  <cols>
    <col min="1" max="1" width="11.44140625" bestFit="1" customWidth="1"/>
    <col min="4" max="4" width="10.33203125" bestFit="1" customWidth="1"/>
  </cols>
  <sheetData>
    <row r="1" spans="1:3" x14ac:dyDescent="0.3">
      <c r="A1" t="s">
        <v>22</v>
      </c>
      <c r="B1" t="s">
        <v>20</v>
      </c>
      <c r="C1" t="s">
        <v>26</v>
      </c>
    </row>
    <row r="2" spans="1:3" x14ac:dyDescent="0.3">
      <c r="A2" t="s">
        <v>23</v>
      </c>
      <c r="B2" s="2" t="s">
        <v>21</v>
      </c>
    </row>
    <row r="4" spans="1:3" x14ac:dyDescent="0.3">
      <c r="A4" t="s">
        <v>24</v>
      </c>
      <c r="B4" t="s">
        <v>28</v>
      </c>
    </row>
    <row r="5" spans="1:3" x14ac:dyDescent="0.3">
      <c r="A5" t="s">
        <v>25</v>
      </c>
      <c r="B5" s="1" t="s">
        <v>27</v>
      </c>
    </row>
    <row r="13" spans="1:3" x14ac:dyDescent="0.3">
      <c r="B13" s="2" t="s">
        <v>26</v>
      </c>
      <c r="C13" s="2" t="s">
        <v>30</v>
      </c>
    </row>
    <row r="14" spans="1:3" x14ac:dyDescent="0.3">
      <c r="A14" t="s">
        <v>31</v>
      </c>
      <c r="B14" s="3" t="s">
        <v>19</v>
      </c>
      <c r="C14" t="s">
        <v>29</v>
      </c>
    </row>
    <row r="15" spans="1:3" x14ac:dyDescent="0.3">
      <c r="A15" s="5">
        <v>32567</v>
      </c>
      <c r="B15">
        <v>2.0416149004544235</v>
      </c>
      <c r="C15">
        <v>1.0442967244790042</v>
      </c>
    </row>
    <row r="16" spans="1:3" x14ac:dyDescent="0.3">
      <c r="A16" s="5">
        <v>32598</v>
      </c>
      <c r="B16">
        <v>-0.91234142085748227</v>
      </c>
      <c r="C16">
        <v>2.0628464895182184</v>
      </c>
    </row>
    <row r="17" spans="1:3" x14ac:dyDescent="0.3">
      <c r="A17" s="5">
        <v>32628</v>
      </c>
      <c r="B17">
        <v>0.23325715029424049</v>
      </c>
      <c r="C17">
        <v>0.89652578106808656</v>
      </c>
    </row>
    <row r="18" spans="1:3" x14ac:dyDescent="0.3">
      <c r="A18" s="5">
        <v>32659</v>
      </c>
      <c r="B18">
        <v>-0.93592727822895827</v>
      </c>
      <c r="C18">
        <v>-0.43841285564053134</v>
      </c>
    </row>
    <row r="19" spans="1:3" x14ac:dyDescent="0.3">
      <c r="A19" s="5">
        <v>32689</v>
      </c>
      <c r="B19">
        <v>1.3514759536867511</v>
      </c>
      <c r="C19">
        <v>2.0088372052294341</v>
      </c>
    </row>
    <row r="20" spans="1:3" x14ac:dyDescent="0.3">
      <c r="A20" s="5">
        <v>32720</v>
      </c>
      <c r="B20">
        <v>2.4534727086186208</v>
      </c>
      <c r="C20">
        <v>0.86100779977472364</v>
      </c>
    </row>
    <row r="21" spans="1:3" x14ac:dyDescent="0.3">
      <c r="A21" s="5">
        <v>32751</v>
      </c>
      <c r="B21">
        <v>-0.19682052718207141</v>
      </c>
      <c r="C21">
        <v>0.91731693032818384</v>
      </c>
    </row>
    <row r="22" spans="1:3" x14ac:dyDescent="0.3">
      <c r="A22" s="5">
        <v>32781</v>
      </c>
      <c r="B22">
        <v>3.4491350701788348</v>
      </c>
      <c r="C22">
        <v>7.9900545320948563E-2</v>
      </c>
    </row>
    <row r="23" spans="1:3" x14ac:dyDescent="0.3">
      <c r="A23" s="5">
        <v>32812</v>
      </c>
      <c r="B23">
        <v>-2.5580697984404743</v>
      </c>
      <c r="C23">
        <v>0.49080506691170134</v>
      </c>
    </row>
    <row r="24" spans="1:3" x14ac:dyDescent="0.3">
      <c r="A24" s="5">
        <v>32842</v>
      </c>
      <c r="B24">
        <v>-5.7533413573626194E-2</v>
      </c>
      <c r="C24">
        <v>1.3103708337241675</v>
      </c>
    </row>
    <row r="25" spans="1:3" x14ac:dyDescent="0.3">
      <c r="A25" s="5">
        <v>32873</v>
      </c>
      <c r="B25">
        <v>3.3741645906941453E-2</v>
      </c>
      <c r="C25">
        <v>-0.90396240054891264</v>
      </c>
    </row>
    <row r="26" spans="1:3" x14ac:dyDescent="0.3">
      <c r="A26" s="5">
        <v>32904</v>
      </c>
      <c r="B26">
        <v>2.2466333637453548</v>
      </c>
      <c r="C26">
        <v>-0.21506463462053699</v>
      </c>
    </row>
    <row r="27" spans="1:3" x14ac:dyDescent="0.3">
      <c r="A27" s="5">
        <v>32932</v>
      </c>
      <c r="B27">
        <v>0.46631430293960341</v>
      </c>
      <c r="C27">
        <v>-1.3522372007324037</v>
      </c>
    </row>
    <row r="28" spans="1:3" x14ac:dyDescent="0.3">
      <c r="A28" s="5">
        <v>32963</v>
      </c>
      <c r="B28">
        <v>-2.7082102661969412</v>
      </c>
      <c r="C28">
        <v>-0.20774248240344714</v>
      </c>
    </row>
    <row r="29" spans="1:3" x14ac:dyDescent="0.3">
      <c r="A29" s="5">
        <v>32993</v>
      </c>
      <c r="B29">
        <v>0.91736562405726896</v>
      </c>
      <c r="C29">
        <v>-2.4583273117587447</v>
      </c>
    </row>
    <row r="30" spans="1:3" x14ac:dyDescent="0.3">
      <c r="A30" s="5">
        <v>33024</v>
      </c>
      <c r="B30">
        <v>-0.86052822835912846</v>
      </c>
      <c r="C30">
        <v>-2.0096636278427811</v>
      </c>
    </row>
    <row r="31" spans="1:3" x14ac:dyDescent="0.3">
      <c r="A31" s="5">
        <v>33054</v>
      </c>
      <c r="B31">
        <v>3.942990007068139</v>
      </c>
      <c r="C31">
        <v>1.3268179816898096</v>
      </c>
    </row>
    <row r="32" spans="1:3" x14ac:dyDescent="0.3">
      <c r="A32" s="5">
        <v>33085</v>
      </c>
      <c r="B32">
        <v>3.7176179665960727</v>
      </c>
      <c r="C32">
        <v>0.46578270020697154</v>
      </c>
    </row>
    <row r="33" spans="1:3" x14ac:dyDescent="0.3">
      <c r="A33" s="5">
        <v>33116</v>
      </c>
      <c r="B33">
        <v>0.7148334362435268</v>
      </c>
      <c r="C33">
        <v>-2.0743244109426748</v>
      </c>
    </row>
    <row r="34" spans="1:3" x14ac:dyDescent="0.3">
      <c r="A34" s="5">
        <v>33146</v>
      </c>
      <c r="B34">
        <v>-1.324718071434577</v>
      </c>
      <c r="C34">
        <v>5.0154010961440912E-2</v>
      </c>
    </row>
    <row r="35" spans="1:3" x14ac:dyDescent="0.3">
      <c r="A35" s="5">
        <v>33177</v>
      </c>
      <c r="B35">
        <v>0.49073552813526949</v>
      </c>
      <c r="C35">
        <v>-4.0539769655845017</v>
      </c>
    </row>
    <row r="36" spans="1:3" x14ac:dyDescent="0.3">
      <c r="A36" s="5">
        <v>33207</v>
      </c>
      <c r="B36">
        <v>-1.993153515797099</v>
      </c>
      <c r="C36">
        <v>-5.1169324352325569</v>
      </c>
    </row>
    <row r="37" spans="1:3" x14ac:dyDescent="0.3">
      <c r="A37" s="5">
        <v>33238</v>
      </c>
      <c r="B37">
        <v>0.46726086968021263</v>
      </c>
      <c r="C37">
        <v>-1.2419237696410992</v>
      </c>
    </row>
    <row r="38" spans="1:3" x14ac:dyDescent="0.3">
      <c r="A38" s="5">
        <v>33269</v>
      </c>
      <c r="B38">
        <v>-5.4919897817288028</v>
      </c>
      <c r="C38">
        <v>-6.1326921052850381</v>
      </c>
    </row>
    <row r="39" spans="1:3" x14ac:dyDescent="0.3">
      <c r="A39" s="5">
        <v>33297</v>
      </c>
      <c r="B39">
        <v>-0.60650862276240836</v>
      </c>
      <c r="C39">
        <v>1.5564713317131247</v>
      </c>
    </row>
    <row r="40" spans="1:3" x14ac:dyDescent="0.3">
      <c r="A40" s="5">
        <v>33328</v>
      </c>
      <c r="B40">
        <v>-4.4360813358355733</v>
      </c>
      <c r="C40">
        <v>1.4192521134319216</v>
      </c>
    </row>
    <row r="41" spans="1:3" x14ac:dyDescent="0.3">
      <c r="A41" s="5">
        <v>33358</v>
      </c>
      <c r="B41">
        <v>3.4840452467323786</v>
      </c>
      <c r="C41">
        <v>4.850525770329563</v>
      </c>
    </row>
    <row r="42" spans="1:3" x14ac:dyDescent="0.3">
      <c r="A42" s="5">
        <v>33389</v>
      </c>
      <c r="B42">
        <v>-0.70737124645325733</v>
      </c>
      <c r="C42">
        <v>1.2441150170593906</v>
      </c>
    </row>
    <row r="43" spans="1:3" x14ac:dyDescent="0.3">
      <c r="A43" s="5">
        <v>33419</v>
      </c>
      <c r="B43">
        <v>-3.7979907243010764</v>
      </c>
      <c r="C43">
        <v>2.5821367947908698</v>
      </c>
    </row>
    <row r="44" spans="1:3" x14ac:dyDescent="0.3">
      <c r="A44" s="5">
        <v>33450</v>
      </c>
      <c r="B44">
        <v>0.24960462086528121</v>
      </c>
      <c r="C44">
        <v>0.32577195046519286</v>
      </c>
    </row>
    <row r="45" spans="1:3" x14ac:dyDescent="0.3">
      <c r="A45" s="5">
        <v>33481</v>
      </c>
      <c r="B45">
        <v>-0.38611020042503719</v>
      </c>
      <c r="C45">
        <v>1.3485108502672685</v>
      </c>
    </row>
    <row r="46" spans="1:3" x14ac:dyDescent="0.3">
      <c r="A46" s="5">
        <v>33511</v>
      </c>
      <c r="B46">
        <v>7.5611025120336013</v>
      </c>
      <c r="C46">
        <v>2.8755737372384447</v>
      </c>
    </row>
    <row r="47" spans="1:3" x14ac:dyDescent="0.3">
      <c r="A47" s="5">
        <v>33542</v>
      </c>
      <c r="B47">
        <v>1.174887942413414</v>
      </c>
      <c r="C47">
        <v>2.1755831167128132</v>
      </c>
    </row>
    <row r="48" spans="1:3" x14ac:dyDescent="0.3">
      <c r="A48" s="5">
        <v>33572</v>
      </c>
      <c r="B48">
        <v>3.7565975235916338</v>
      </c>
      <c r="C48">
        <v>2.6037180327713356</v>
      </c>
    </row>
    <row r="49" spans="1:3" x14ac:dyDescent="0.3">
      <c r="A49" s="5">
        <v>33603</v>
      </c>
      <c r="B49">
        <v>0.99855593021028533</v>
      </c>
      <c r="C49">
        <v>-3.2856928307518212</v>
      </c>
    </row>
    <row r="50" spans="1:3" x14ac:dyDescent="0.3">
      <c r="A50" s="5">
        <v>33634</v>
      </c>
      <c r="B50">
        <v>-5.3442384556725759</v>
      </c>
      <c r="C50">
        <v>5.3752328475495403</v>
      </c>
    </row>
    <row r="51" spans="1:3" x14ac:dyDescent="0.3">
      <c r="A51" s="5">
        <v>33663</v>
      </c>
      <c r="B51">
        <v>-1.2351148507880894</v>
      </c>
      <c r="C51">
        <v>3.8376454824702733</v>
      </c>
    </row>
    <row r="52" spans="1:3" x14ac:dyDescent="0.3">
      <c r="A52" s="5">
        <v>33694</v>
      </c>
      <c r="B52">
        <v>-0.9711192064979155</v>
      </c>
      <c r="C52">
        <v>2.412175168753651</v>
      </c>
    </row>
    <row r="53" spans="1:3" x14ac:dyDescent="0.3">
      <c r="A53" s="5">
        <v>33724</v>
      </c>
      <c r="B53">
        <v>-1.320200871624156</v>
      </c>
      <c r="C53">
        <v>-0.31216761433121321</v>
      </c>
    </row>
    <row r="54" spans="1:3" x14ac:dyDescent="0.3">
      <c r="A54" s="5">
        <v>33755</v>
      </c>
      <c r="B54">
        <v>4.7932057539030382</v>
      </c>
      <c r="C54">
        <v>1.1482140124311666</v>
      </c>
    </row>
    <row r="55" spans="1:3" x14ac:dyDescent="0.3">
      <c r="A55" s="5">
        <v>33785</v>
      </c>
      <c r="B55">
        <v>4.7525416362232873</v>
      </c>
      <c r="C55">
        <v>1.6240394364165984</v>
      </c>
    </row>
    <row r="56" spans="1:3" x14ac:dyDescent="0.3">
      <c r="A56" s="5">
        <v>33816</v>
      </c>
      <c r="B56">
        <v>-0.97926631307080902</v>
      </c>
      <c r="C56">
        <v>1.2909280630442312</v>
      </c>
    </row>
    <row r="57" spans="1:3" x14ac:dyDescent="0.3">
      <c r="A57" s="5">
        <v>33847</v>
      </c>
      <c r="B57">
        <v>2.5779625042654701</v>
      </c>
      <c r="C57">
        <v>1.0386181249078354</v>
      </c>
    </row>
    <row r="58" spans="1:3" x14ac:dyDescent="0.3">
      <c r="A58" s="5">
        <v>33877</v>
      </c>
      <c r="B58">
        <v>-9.6243139875934069</v>
      </c>
      <c r="C58">
        <v>1.7349060002389289</v>
      </c>
    </row>
    <row r="59" spans="1:3" x14ac:dyDescent="0.3">
      <c r="A59" s="5">
        <v>33908</v>
      </c>
      <c r="B59">
        <v>-5.7473396724669534</v>
      </c>
      <c r="C59">
        <v>-0.43674836784860521</v>
      </c>
    </row>
    <row r="60" spans="1:3" x14ac:dyDescent="0.3">
      <c r="A60" s="5">
        <v>33938</v>
      </c>
      <c r="B60">
        <v>-5.3539679772628483</v>
      </c>
      <c r="C60">
        <v>-0.56818228545929839</v>
      </c>
    </row>
    <row r="61" spans="1:3" x14ac:dyDescent="0.3">
      <c r="A61" s="5">
        <v>33969</v>
      </c>
      <c r="B61">
        <v>2.2857768903347302</v>
      </c>
      <c r="C61">
        <v>3.4401384421384322</v>
      </c>
    </row>
    <row r="62" spans="1:3" x14ac:dyDescent="0.3">
      <c r="A62" s="5">
        <v>34000</v>
      </c>
      <c r="B62">
        <v>4.2172003768430812</v>
      </c>
      <c r="C62">
        <v>7.9111465507579108</v>
      </c>
    </row>
    <row r="63" spans="1:3" x14ac:dyDescent="0.3">
      <c r="A63" s="5">
        <v>34028</v>
      </c>
      <c r="B63">
        <v>-0.49409454216621623</v>
      </c>
      <c r="C63">
        <v>5.8396371368855524</v>
      </c>
    </row>
    <row r="64" spans="1:3" x14ac:dyDescent="0.3">
      <c r="A64" s="5">
        <v>34059</v>
      </c>
      <c r="B64">
        <v>2.6582708803050497</v>
      </c>
      <c r="C64">
        <v>4.6198061555654268</v>
      </c>
    </row>
    <row r="65" spans="1:3" x14ac:dyDescent="0.3">
      <c r="A65" s="5">
        <v>34089</v>
      </c>
      <c r="B65">
        <v>5.3799912857070264</v>
      </c>
      <c r="C65">
        <v>4.8994554422186551</v>
      </c>
    </row>
    <row r="66" spans="1:3" x14ac:dyDescent="0.3">
      <c r="A66" s="5">
        <v>34120</v>
      </c>
      <c r="B66">
        <v>-0.3673036109327717</v>
      </c>
      <c r="C66">
        <v>0.93725496621647042</v>
      </c>
    </row>
    <row r="67" spans="1:3" x14ac:dyDescent="0.3">
      <c r="A67" s="5">
        <v>34150</v>
      </c>
      <c r="B67">
        <v>-2.5616770557390414</v>
      </c>
      <c r="C67">
        <v>3.5655553594093128</v>
      </c>
    </row>
    <row r="68" spans="1:3" x14ac:dyDescent="0.3">
      <c r="A68" s="5">
        <v>34181</v>
      </c>
      <c r="B68">
        <v>-0.95079078753745194</v>
      </c>
      <c r="C68">
        <v>3.5849052339543532</v>
      </c>
    </row>
    <row r="69" spans="1:3" x14ac:dyDescent="0.3">
      <c r="A69" s="5">
        <v>34212</v>
      </c>
      <c r="B69">
        <v>3.2239115068150275</v>
      </c>
      <c r="C69">
        <v>2.2385995217972465</v>
      </c>
    </row>
    <row r="70" spans="1:3" x14ac:dyDescent="0.3">
      <c r="A70" s="5">
        <v>34242</v>
      </c>
      <c r="B70">
        <v>4.1489805157524726</v>
      </c>
      <c r="C70">
        <v>3.0941029983012602</v>
      </c>
    </row>
    <row r="71" spans="1:3" x14ac:dyDescent="0.3">
      <c r="A71" s="5">
        <v>34273</v>
      </c>
      <c r="B71">
        <v>-0.21282382175231543</v>
      </c>
      <c r="C71">
        <v>3.2707643797363031</v>
      </c>
    </row>
    <row r="72" spans="1:3" x14ac:dyDescent="0.3">
      <c r="A72" s="5">
        <v>34303</v>
      </c>
      <c r="B72">
        <v>0.2891632186233612</v>
      </c>
      <c r="C72">
        <v>-3.4974805183115314</v>
      </c>
    </row>
    <row r="73" spans="1:3" x14ac:dyDescent="0.3">
      <c r="A73" s="5">
        <v>34334</v>
      </c>
      <c r="B73">
        <v>1.2339481885533123</v>
      </c>
      <c r="C73">
        <v>1.282309560712579</v>
      </c>
    </row>
    <row r="74" spans="1:3" x14ac:dyDescent="0.3">
      <c r="A74" s="5">
        <v>34365</v>
      </c>
      <c r="B74">
        <v>6.4982888202982538</v>
      </c>
      <c r="C74">
        <v>3.491331280608609</v>
      </c>
    </row>
    <row r="75" spans="1:3" x14ac:dyDescent="0.3">
      <c r="A75" s="5">
        <v>34393</v>
      </c>
      <c r="B75">
        <v>3.0465168491386994</v>
      </c>
      <c r="C75">
        <v>-1.2295270312135995</v>
      </c>
    </row>
    <row r="76" spans="1:3" x14ac:dyDescent="0.3">
      <c r="A76" s="5">
        <v>34424</v>
      </c>
      <c r="B76">
        <v>-0.15076795517268513</v>
      </c>
      <c r="C76">
        <v>-0.80937481627169128</v>
      </c>
    </row>
    <row r="77" spans="1:3" x14ac:dyDescent="0.3">
      <c r="A77" s="5">
        <v>34454</v>
      </c>
      <c r="B77">
        <v>0.69139862407144814</v>
      </c>
      <c r="C77">
        <v>-1.259501181291135</v>
      </c>
    </row>
    <row r="78" spans="1:3" x14ac:dyDescent="0.3">
      <c r="A78" s="5">
        <v>34485</v>
      </c>
      <c r="B78">
        <v>1.7011980019373207</v>
      </c>
      <c r="C78">
        <v>0.88946794010678187</v>
      </c>
    </row>
    <row r="79" spans="1:3" x14ac:dyDescent="0.3">
      <c r="A79" s="5">
        <v>34515</v>
      </c>
      <c r="B79">
        <v>0.20199904164660501</v>
      </c>
      <c r="C79">
        <v>1.4944068289078705</v>
      </c>
    </row>
    <row r="80" spans="1:3" x14ac:dyDescent="0.3">
      <c r="A80" s="5">
        <v>34546</v>
      </c>
      <c r="B80">
        <v>-2.2104191572907563</v>
      </c>
      <c r="C80">
        <v>-0.72627788744550936</v>
      </c>
    </row>
    <row r="81" spans="1:3" x14ac:dyDescent="0.3">
      <c r="A81" s="5">
        <v>34577</v>
      </c>
      <c r="B81">
        <v>1.8403679270786171</v>
      </c>
      <c r="C81">
        <v>-2.2867094551083622</v>
      </c>
    </row>
    <row r="82" spans="1:3" x14ac:dyDescent="0.3">
      <c r="A82" s="5">
        <v>34607</v>
      </c>
      <c r="B82">
        <v>2.6323217169388671</v>
      </c>
      <c r="C82">
        <v>3.8334823877728734</v>
      </c>
    </row>
    <row r="83" spans="1:3" x14ac:dyDescent="0.3">
      <c r="A83" s="5">
        <v>34638</v>
      </c>
      <c r="B83">
        <v>-1.8676364802338121</v>
      </c>
      <c r="C83">
        <v>-2.0203465682030806</v>
      </c>
    </row>
    <row r="84" spans="1:3" x14ac:dyDescent="0.3">
      <c r="A84" s="5">
        <v>34668</v>
      </c>
      <c r="B84">
        <v>-4.8173043043470942</v>
      </c>
      <c r="C84">
        <v>-3.9093729096115819</v>
      </c>
    </row>
    <row r="85" spans="1:3" x14ac:dyDescent="0.3">
      <c r="A85" s="5">
        <v>34699</v>
      </c>
      <c r="B85">
        <v>0.37876170718908397</v>
      </c>
      <c r="C85">
        <v>-3.0590544726493807</v>
      </c>
    </row>
    <row r="86" spans="1:3" x14ac:dyDescent="0.3">
      <c r="A86" s="5">
        <v>34730</v>
      </c>
      <c r="B86">
        <v>2.069245398003936</v>
      </c>
      <c r="C86">
        <v>1.2879326550683117</v>
      </c>
    </row>
    <row r="87" spans="1:3" x14ac:dyDescent="0.3">
      <c r="A87" s="5">
        <v>34758</v>
      </c>
      <c r="B87">
        <v>-1.3061207085561177</v>
      </c>
      <c r="C87">
        <v>1.3375762569169571</v>
      </c>
    </row>
    <row r="88" spans="1:3" x14ac:dyDescent="0.3">
      <c r="A88" s="5">
        <v>34789</v>
      </c>
      <c r="B88">
        <v>1.9978675615504871</v>
      </c>
      <c r="C88">
        <v>1.2059053498260055</v>
      </c>
    </row>
    <row r="89" spans="1:3" x14ac:dyDescent="0.3">
      <c r="A89" s="5">
        <v>34819</v>
      </c>
      <c r="B89">
        <v>-0.23059718001567481</v>
      </c>
      <c r="C89">
        <v>1.3032120423733224</v>
      </c>
    </row>
    <row r="90" spans="1:3" x14ac:dyDescent="0.3">
      <c r="A90" s="5">
        <v>34850</v>
      </c>
      <c r="B90">
        <v>0.91877184518955257</v>
      </c>
      <c r="C90">
        <v>1.4334743578532194</v>
      </c>
    </row>
    <row r="91" spans="1:3" x14ac:dyDescent="0.3">
      <c r="A91" s="5">
        <v>34880</v>
      </c>
      <c r="B91">
        <v>1.9549414330195427</v>
      </c>
      <c r="C91">
        <v>1.8337499615699284</v>
      </c>
    </row>
    <row r="92" spans="1:3" x14ac:dyDescent="0.3">
      <c r="A92" s="5">
        <v>34911</v>
      </c>
      <c r="B92">
        <v>0.17032412807097777</v>
      </c>
      <c r="C92">
        <v>1.5996769438102867</v>
      </c>
    </row>
    <row r="93" spans="1:3" x14ac:dyDescent="0.3">
      <c r="A93" s="5">
        <v>34942</v>
      </c>
      <c r="B93">
        <v>-0.1788114896541235</v>
      </c>
      <c r="C93">
        <v>3.4426212735294808</v>
      </c>
    </row>
    <row r="94" spans="1:3" x14ac:dyDescent="0.3">
      <c r="A94" s="5">
        <v>34972</v>
      </c>
      <c r="B94">
        <v>2.9631346503176754</v>
      </c>
      <c r="C94">
        <v>3.1920863952475522</v>
      </c>
    </row>
    <row r="95" spans="1:3" x14ac:dyDescent="0.3">
      <c r="A95" s="5">
        <v>35003</v>
      </c>
      <c r="B95">
        <v>-0.1151328906678388</v>
      </c>
      <c r="C95">
        <v>-0.39520710068616605</v>
      </c>
    </row>
    <row r="96" spans="1:3" x14ac:dyDescent="0.3">
      <c r="A96" s="5">
        <v>35033</v>
      </c>
      <c r="B96">
        <v>-2.1658791457450697</v>
      </c>
      <c r="C96">
        <v>-1.04673501705809</v>
      </c>
    </row>
    <row r="97" spans="1:3" x14ac:dyDescent="0.3">
      <c r="A97" s="5">
        <v>35064</v>
      </c>
      <c r="B97">
        <v>-0.28803020212026981</v>
      </c>
      <c r="C97">
        <v>2.2507176241082472</v>
      </c>
    </row>
    <row r="98" spans="1:3" x14ac:dyDescent="0.3">
      <c r="A98" s="5">
        <v>35095</v>
      </c>
      <c r="B98">
        <v>-1.9004467787340977</v>
      </c>
      <c r="C98">
        <v>4.3962917451614905</v>
      </c>
    </row>
    <row r="99" spans="1:3" x14ac:dyDescent="0.3">
      <c r="A99" s="5">
        <v>35124</v>
      </c>
      <c r="B99">
        <v>3.5019535133220066</v>
      </c>
      <c r="C99">
        <v>0.81563679942949774</v>
      </c>
    </row>
    <row r="100" spans="1:3" x14ac:dyDescent="0.3">
      <c r="A100" s="5">
        <v>35155</v>
      </c>
      <c r="B100">
        <v>0.66443462447133983</v>
      </c>
      <c r="C100">
        <v>2.5932852770648811</v>
      </c>
    </row>
    <row r="101" spans="1:3" x14ac:dyDescent="0.3">
      <c r="A101" s="5">
        <v>35185</v>
      </c>
      <c r="B101">
        <v>1.337185237597099</v>
      </c>
      <c r="C101">
        <v>7.7053311537445879E-2</v>
      </c>
    </row>
    <row r="102" spans="1:3" x14ac:dyDescent="0.3">
      <c r="A102" s="5">
        <v>35216</v>
      </c>
      <c r="B102">
        <v>1.4009482094206371</v>
      </c>
      <c r="C102">
        <v>3.7227611440898958</v>
      </c>
    </row>
    <row r="103" spans="1:3" x14ac:dyDescent="0.3">
      <c r="A103" s="5">
        <v>35246</v>
      </c>
      <c r="B103">
        <v>3.4939176468078847</v>
      </c>
      <c r="C103">
        <v>3.414342962672845</v>
      </c>
    </row>
    <row r="104" spans="1:3" x14ac:dyDescent="0.3">
      <c r="A104" s="5">
        <v>35277</v>
      </c>
      <c r="B104">
        <v>0.94191872008466404</v>
      </c>
      <c r="C104">
        <v>-0.14660371765455357</v>
      </c>
    </row>
    <row r="105" spans="1:3" x14ac:dyDescent="0.3">
      <c r="A105" s="5">
        <v>35308</v>
      </c>
      <c r="B105">
        <v>0.55054233414444176</v>
      </c>
      <c r="C105">
        <v>1.0902578935198515</v>
      </c>
    </row>
    <row r="106" spans="1:3" x14ac:dyDescent="0.3">
      <c r="A106" s="5">
        <v>35338</v>
      </c>
      <c r="B106">
        <v>-0.97776570516988937</v>
      </c>
      <c r="C106">
        <v>1.3128153392066382</v>
      </c>
    </row>
    <row r="107" spans="1:3" x14ac:dyDescent="0.3">
      <c r="A107" s="5">
        <v>35369</v>
      </c>
      <c r="B107">
        <v>2.5924465398117253</v>
      </c>
      <c r="C107">
        <v>3.2702998643512107</v>
      </c>
    </row>
    <row r="108" spans="1:3" x14ac:dyDescent="0.3">
      <c r="A108" s="5">
        <v>35399</v>
      </c>
      <c r="B108">
        <v>-0.95578348556312687</v>
      </c>
      <c r="C108">
        <v>0.90245471983642656</v>
      </c>
    </row>
    <row r="109" spans="1:3" x14ac:dyDescent="0.3">
      <c r="A109" s="5">
        <v>35430</v>
      </c>
      <c r="B109">
        <v>-4.5753431780437143E-2</v>
      </c>
      <c r="C109">
        <v>2.4537728390436273</v>
      </c>
    </row>
    <row r="110" spans="1:3" x14ac:dyDescent="0.3">
      <c r="A110" s="5">
        <v>35461</v>
      </c>
      <c r="B110">
        <v>-0.28760392399820067</v>
      </c>
      <c r="C110">
        <v>3.9462911425919933</v>
      </c>
    </row>
    <row r="111" spans="1:3" x14ac:dyDescent="0.3">
      <c r="A111" s="5">
        <v>35489</v>
      </c>
      <c r="B111">
        <v>1.3195244900567793</v>
      </c>
      <c r="C111">
        <v>5.8683299245174281</v>
      </c>
    </row>
    <row r="112" spans="1:3" x14ac:dyDescent="0.3">
      <c r="A112" s="5">
        <v>35520</v>
      </c>
      <c r="B112">
        <v>-0.61031987502107454</v>
      </c>
      <c r="C112">
        <v>2.9809848617622805</v>
      </c>
    </row>
    <row r="113" spans="1:3" x14ac:dyDescent="0.3">
      <c r="A113" s="5">
        <v>35550</v>
      </c>
      <c r="B113">
        <v>-0.58727225936215122</v>
      </c>
      <c r="C113">
        <v>-1.4610279573034308</v>
      </c>
    </row>
    <row r="114" spans="1:3" x14ac:dyDescent="0.3">
      <c r="A114" s="5">
        <v>35581</v>
      </c>
      <c r="B114">
        <v>1.4092649422626167</v>
      </c>
      <c r="C114">
        <v>-1.7381756938317794</v>
      </c>
    </row>
    <row r="115" spans="1:3" x14ac:dyDescent="0.3">
      <c r="A115" s="5">
        <v>35611</v>
      </c>
      <c r="B115">
        <v>-1.5723310995161346</v>
      </c>
      <c r="C115">
        <v>5.7524185180854293</v>
      </c>
    </row>
    <row r="116" spans="1:3" x14ac:dyDescent="0.3">
      <c r="A116" s="5">
        <v>35642</v>
      </c>
      <c r="B116">
        <v>-5.4421521422800376</v>
      </c>
      <c r="C116">
        <v>0.91921474603373965</v>
      </c>
    </row>
    <row r="117" spans="1:3" x14ac:dyDescent="0.3">
      <c r="A117" s="5">
        <v>35673</v>
      </c>
      <c r="B117">
        <v>2.6446848343602265</v>
      </c>
      <c r="C117">
        <v>2.1585478257816755</v>
      </c>
    </row>
    <row r="118" spans="1:3" x14ac:dyDescent="0.3">
      <c r="A118" s="5">
        <v>35703</v>
      </c>
      <c r="B118">
        <v>-0.46671935840459366</v>
      </c>
      <c r="C118">
        <v>8.2367070005529932</v>
      </c>
    </row>
    <row r="119" spans="1:3" x14ac:dyDescent="0.3">
      <c r="A119" s="5">
        <v>35734</v>
      </c>
      <c r="B119">
        <v>3.7789059997883587</v>
      </c>
      <c r="C119">
        <v>4.6255581554168552</v>
      </c>
    </row>
    <row r="120" spans="1:3" x14ac:dyDescent="0.3">
      <c r="A120" s="5">
        <v>35764</v>
      </c>
      <c r="B120">
        <v>-2.8897714407180275</v>
      </c>
      <c r="C120">
        <v>1.6549425985500588</v>
      </c>
    </row>
    <row r="121" spans="1:3" x14ac:dyDescent="0.3">
      <c r="A121" s="5">
        <v>35795</v>
      </c>
      <c r="B121">
        <v>-3.7078169687047366</v>
      </c>
      <c r="C121">
        <v>6.6990028574632614</v>
      </c>
    </row>
    <row r="122" spans="1:3" x14ac:dyDescent="0.3">
      <c r="A122" s="5">
        <v>35826</v>
      </c>
      <c r="B122">
        <v>0.78222682808710176</v>
      </c>
      <c r="C122">
        <v>-1.3591698053689452</v>
      </c>
    </row>
    <row r="123" spans="1:3" x14ac:dyDescent="0.3">
      <c r="A123" s="5">
        <v>35854</v>
      </c>
      <c r="B123">
        <v>1.9989128639580744</v>
      </c>
      <c r="C123">
        <v>8.8646285170275743E-2</v>
      </c>
    </row>
    <row r="124" spans="1:3" x14ac:dyDescent="0.3">
      <c r="A124" s="5">
        <v>35885</v>
      </c>
      <c r="B124">
        <v>4.2320947337542965</v>
      </c>
      <c r="C124">
        <v>3.7220154420247362</v>
      </c>
    </row>
    <row r="125" spans="1:3" x14ac:dyDescent="0.3">
      <c r="A125" s="5">
        <v>35915</v>
      </c>
      <c r="B125">
        <v>3.5268300845802667</v>
      </c>
      <c r="C125">
        <v>3.1567438649203945</v>
      </c>
    </row>
    <row r="126" spans="1:3" x14ac:dyDescent="0.3">
      <c r="A126" s="5">
        <v>35946</v>
      </c>
      <c r="B126">
        <v>2.6810522673383055</v>
      </c>
      <c r="C126">
        <v>1.7629869824951474</v>
      </c>
    </row>
    <row r="127" spans="1:3" x14ac:dyDescent="0.3">
      <c r="A127" s="5">
        <v>35976</v>
      </c>
      <c r="B127">
        <v>-0.22478493906955629</v>
      </c>
      <c r="C127">
        <v>-1.1922975316703204</v>
      </c>
    </row>
    <row r="128" spans="1:3" x14ac:dyDescent="0.3">
      <c r="A128" s="5">
        <v>36007</v>
      </c>
      <c r="B128">
        <v>-0.51167236854049247</v>
      </c>
      <c r="C128">
        <v>-0.28844624650942635</v>
      </c>
    </row>
    <row r="129" spans="1:3" x14ac:dyDescent="0.3">
      <c r="A129" s="5">
        <v>36038</v>
      </c>
      <c r="B129">
        <v>2.5437808995207907</v>
      </c>
      <c r="C129">
        <v>-0.86601190178268506</v>
      </c>
    </row>
    <row r="130" spans="1:3" x14ac:dyDescent="0.3">
      <c r="A130" s="5">
        <v>36068</v>
      </c>
      <c r="B130">
        <v>3.5726748754157054</v>
      </c>
      <c r="C130">
        <v>-3.76681866457856</v>
      </c>
    </row>
    <row r="131" spans="1:3" x14ac:dyDescent="0.3">
      <c r="A131" s="5">
        <v>36099</v>
      </c>
      <c r="B131">
        <v>-8.0858292385601747</v>
      </c>
      <c r="C131">
        <v>-8.714305296082884</v>
      </c>
    </row>
    <row r="132" spans="1:3" x14ac:dyDescent="0.3">
      <c r="A132" s="5">
        <v>36129</v>
      </c>
      <c r="B132">
        <v>-1.2557090329497047</v>
      </c>
      <c r="C132">
        <v>-3.6482235583419431</v>
      </c>
    </row>
    <row r="133" spans="1:3" x14ac:dyDescent="0.3">
      <c r="A133" s="5">
        <v>36160</v>
      </c>
      <c r="B133">
        <v>0.7474844997419573</v>
      </c>
      <c r="C133">
        <v>-2.8470392221295282</v>
      </c>
    </row>
    <row r="134" spans="1:3" x14ac:dyDescent="0.3">
      <c r="A134" s="5">
        <v>36191</v>
      </c>
      <c r="B134">
        <v>-1.1391594618305123</v>
      </c>
      <c r="C134">
        <v>-3.7604563507837883</v>
      </c>
    </row>
    <row r="135" spans="1:3" x14ac:dyDescent="0.3">
      <c r="A135" s="5">
        <v>36219</v>
      </c>
      <c r="B135">
        <v>-1.0475783519947368</v>
      </c>
      <c r="C135">
        <v>0.93768142649306596</v>
      </c>
    </row>
    <row r="136" spans="1:3" x14ac:dyDescent="0.3">
      <c r="A136" s="5">
        <v>36250</v>
      </c>
      <c r="B136">
        <v>0.52617595966026709</v>
      </c>
      <c r="C136">
        <v>-7.3243566940755791</v>
      </c>
    </row>
    <row r="137" spans="1:3" x14ac:dyDescent="0.3">
      <c r="A137" s="5">
        <v>36280</v>
      </c>
      <c r="B137">
        <v>-0.87553797688839707</v>
      </c>
      <c r="C137">
        <v>-0.21806705770644089</v>
      </c>
    </row>
    <row r="138" spans="1:3" x14ac:dyDescent="0.3">
      <c r="A138" s="5">
        <v>36311</v>
      </c>
      <c r="B138">
        <v>5.324176996795563</v>
      </c>
      <c r="C138">
        <v>4.0165806341566821</v>
      </c>
    </row>
    <row r="139" spans="1:3" x14ac:dyDescent="0.3">
      <c r="A139" s="5">
        <v>36341</v>
      </c>
      <c r="B139">
        <v>1.2763086338042091</v>
      </c>
      <c r="C139">
        <v>-0.73447062920197792</v>
      </c>
    </row>
    <row r="140" spans="1:3" x14ac:dyDescent="0.3">
      <c r="A140" s="5">
        <v>36372</v>
      </c>
      <c r="B140">
        <v>6.1655731136690335</v>
      </c>
      <c r="C140">
        <v>2.8155296796000991E-2</v>
      </c>
    </row>
    <row r="141" spans="1:3" x14ac:dyDescent="0.3">
      <c r="A141" s="5">
        <v>36403</v>
      </c>
      <c r="B141">
        <v>4.3808288033284015E-2</v>
      </c>
      <c r="C141">
        <v>-2.6767586304829805</v>
      </c>
    </row>
    <row r="142" spans="1:3" x14ac:dyDescent="0.3">
      <c r="A142" s="5">
        <v>36433</v>
      </c>
      <c r="B142">
        <v>4.3164915668606163</v>
      </c>
      <c r="C142">
        <v>-4.9831452485015149</v>
      </c>
    </row>
    <row r="143" spans="1:3" x14ac:dyDescent="0.3">
      <c r="A143" s="5">
        <v>36464</v>
      </c>
      <c r="B143">
        <v>-0.58213295272829835</v>
      </c>
      <c r="C143">
        <v>-2.4340416425183293</v>
      </c>
    </row>
    <row r="144" spans="1:3" x14ac:dyDescent="0.3">
      <c r="A144" s="5">
        <v>36494</v>
      </c>
      <c r="B144">
        <v>-1.91547072630876</v>
      </c>
      <c r="C144">
        <v>-11.979227543143677</v>
      </c>
    </row>
    <row r="145" spans="1:3" x14ac:dyDescent="0.3">
      <c r="A145" s="5">
        <v>36525</v>
      </c>
      <c r="B145">
        <v>-2.6467035699379582</v>
      </c>
      <c r="C145">
        <v>-11.303768926780542</v>
      </c>
    </row>
    <row r="146" spans="1:3" x14ac:dyDescent="0.3">
      <c r="A146" s="5">
        <v>36556</v>
      </c>
      <c r="B146">
        <v>8.7003929529450783</v>
      </c>
      <c r="C146">
        <v>-0.20461833734982171</v>
      </c>
    </row>
    <row r="147" spans="1:3" x14ac:dyDescent="0.3">
      <c r="A147" s="5">
        <v>36585</v>
      </c>
      <c r="B147">
        <v>-4.4925086137581314</v>
      </c>
      <c r="C147">
        <v>-13.417521852747475</v>
      </c>
    </row>
    <row r="148" spans="1:3" x14ac:dyDescent="0.3">
      <c r="A148" s="5">
        <v>36616</v>
      </c>
      <c r="B148">
        <v>3.3477048001040748</v>
      </c>
      <c r="C148">
        <v>0.12887477674893841</v>
      </c>
    </row>
    <row r="149" spans="1:3" x14ac:dyDescent="0.3">
      <c r="A149" s="5">
        <v>36646</v>
      </c>
      <c r="B149">
        <v>-1.7522413747815986</v>
      </c>
      <c r="C149">
        <v>6.8800577774361145</v>
      </c>
    </row>
    <row r="150" spans="1:3" x14ac:dyDescent="0.3">
      <c r="A150" s="5">
        <v>36677</v>
      </c>
      <c r="B150">
        <v>3.7183482699305772</v>
      </c>
      <c r="C150">
        <v>6.0508931137381792</v>
      </c>
    </row>
    <row r="151" spans="1:3" x14ac:dyDescent="0.3">
      <c r="A151" s="5">
        <v>36707</v>
      </c>
      <c r="B151">
        <v>6.3517519529051283</v>
      </c>
      <c r="C151">
        <v>-10.133658643115178</v>
      </c>
    </row>
    <row r="152" spans="1:3" x14ac:dyDescent="0.3">
      <c r="A152" s="5">
        <v>36738</v>
      </c>
      <c r="B152">
        <v>-1.5803553782785689</v>
      </c>
      <c r="C152">
        <v>6.1469128856149551</v>
      </c>
    </row>
    <row r="153" spans="1:3" x14ac:dyDescent="0.3">
      <c r="A153" s="5">
        <v>36769</v>
      </c>
      <c r="B153">
        <v>-4.7666751935003679</v>
      </c>
      <c r="C153">
        <v>-5.1293444035926559</v>
      </c>
    </row>
    <row r="154" spans="1:3" x14ac:dyDescent="0.3">
      <c r="A154" s="5">
        <v>36799</v>
      </c>
      <c r="B154">
        <v>2.3832459483835331</v>
      </c>
      <c r="C154">
        <v>8.1775131130212682</v>
      </c>
    </row>
    <row r="155" spans="1:3" x14ac:dyDescent="0.3">
      <c r="A155" s="5">
        <v>36830</v>
      </c>
      <c r="B155">
        <v>-2.7737042602029369</v>
      </c>
      <c r="C155">
        <v>1.2794126203215148</v>
      </c>
    </row>
    <row r="156" spans="1:3" x14ac:dyDescent="0.3">
      <c r="A156" s="5">
        <v>36860</v>
      </c>
      <c r="B156">
        <v>7.0474034323178341</v>
      </c>
      <c r="C156">
        <v>13.498779820348014</v>
      </c>
    </row>
    <row r="157" spans="1:3" x14ac:dyDescent="0.3">
      <c r="A157" s="5">
        <v>36891</v>
      </c>
      <c r="B157">
        <v>7.212740633723377</v>
      </c>
      <c r="C157">
        <v>8.3662244070519662</v>
      </c>
    </row>
    <row r="158" spans="1:3" x14ac:dyDescent="0.3">
      <c r="A158" s="5">
        <v>36922</v>
      </c>
      <c r="B158">
        <v>-0.76726301427008603</v>
      </c>
      <c r="C158">
        <v>-15.675130351822176</v>
      </c>
    </row>
    <row r="159" spans="1:3" x14ac:dyDescent="0.3">
      <c r="A159" s="5">
        <v>36950</v>
      </c>
      <c r="B159">
        <v>4.8246161701961006</v>
      </c>
      <c r="C159">
        <v>15.361671547919265</v>
      </c>
    </row>
    <row r="160" spans="1:3" x14ac:dyDescent="0.3">
      <c r="A160" s="5">
        <v>36981</v>
      </c>
      <c r="B160">
        <v>2.1205147643176834</v>
      </c>
      <c r="C160">
        <v>10.552307830080281</v>
      </c>
    </row>
    <row r="161" spans="1:3" x14ac:dyDescent="0.3">
      <c r="A161" s="5">
        <v>37011</v>
      </c>
      <c r="B161">
        <v>-2.236131052731853</v>
      </c>
      <c r="C161">
        <v>-4.7847534418713309</v>
      </c>
    </row>
    <row r="162" spans="1:3" x14ac:dyDescent="0.3">
      <c r="A162" s="5">
        <v>37042</v>
      </c>
      <c r="B162">
        <v>1.8999443662454971</v>
      </c>
      <c r="C162">
        <v>6.5763103344017377</v>
      </c>
    </row>
    <row r="163" spans="1:3" x14ac:dyDescent="0.3">
      <c r="A163" s="5">
        <v>37072</v>
      </c>
      <c r="B163">
        <v>6.9913889572636654</v>
      </c>
      <c r="C163">
        <v>3.4296816035391622</v>
      </c>
    </row>
    <row r="164" spans="1:3" x14ac:dyDescent="0.3">
      <c r="A164" s="5">
        <v>37103</v>
      </c>
      <c r="B164">
        <v>5.5949608694051811</v>
      </c>
      <c r="C164">
        <v>7.0748078354243598</v>
      </c>
    </row>
    <row r="165" spans="1:3" x14ac:dyDescent="0.3">
      <c r="A165" s="5">
        <v>37134</v>
      </c>
      <c r="B165">
        <v>6.3635875742098484</v>
      </c>
      <c r="C165">
        <v>7.001786356233378</v>
      </c>
    </row>
    <row r="166" spans="1:3" x14ac:dyDescent="0.3">
      <c r="A166" s="5">
        <v>37164</v>
      </c>
      <c r="B166">
        <v>3.1310144323230054</v>
      </c>
      <c r="C166">
        <v>5.1999621879832407</v>
      </c>
    </row>
    <row r="167" spans="1:3" x14ac:dyDescent="0.3">
      <c r="A167" s="5">
        <v>37195</v>
      </c>
      <c r="B167">
        <v>-6.2138620726986238</v>
      </c>
      <c r="C167">
        <v>-7.0585822675872212</v>
      </c>
    </row>
    <row r="168" spans="1:3" x14ac:dyDescent="0.3">
      <c r="A168" s="5">
        <v>37225</v>
      </c>
      <c r="B168">
        <v>-7.5427805852034515</v>
      </c>
      <c r="C168">
        <v>-6.4411516331104881</v>
      </c>
    </row>
    <row r="169" spans="1:3" x14ac:dyDescent="0.3">
      <c r="A169" s="5">
        <v>37256</v>
      </c>
      <c r="B169">
        <v>3.6424183450188767</v>
      </c>
      <c r="C169">
        <v>1.9590105773049209</v>
      </c>
    </row>
    <row r="170" spans="1:3" x14ac:dyDescent="0.3">
      <c r="A170" s="5">
        <v>37287</v>
      </c>
      <c r="B170">
        <v>6.4739927572732836E-2</v>
      </c>
      <c r="C170">
        <v>5.1992514745803105</v>
      </c>
    </row>
    <row r="171" spans="1:3" x14ac:dyDescent="0.3">
      <c r="A171" s="5">
        <v>37315</v>
      </c>
      <c r="B171">
        <v>5.766809710619337</v>
      </c>
      <c r="C171">
        <v>9.6652743521087547</v>
      </c>
    </row>
    <row r="172" spans="1:3" x14ac:dyDescent="0.3">
      <c r="A172" s="5">
        <v>37346</v>
      </c>
      <c r="B172">
        <v>0.15490090656765676</v>
      </c>
      <c r="C172">
        <v>3.1255936712208721</v>
      </c>
    </row>
    <row r="173" spans="1:3" x14ac:dyDescent="0.3">
      <c r="A173" s="5">
        <v>37376</v>
      </c>
      <c r="B173">
        <v>10.297791788003737</v>
      </c>
      <c r="C173">
        <v>12.95296236629587</v>
      </c>
    </row>
    <row r="174" spans="1:3" x14ac:dyDescent="0.3">
      <c r="A174" s="5">
        <v>37407</v>
      </c>
      <c r="B174">
        <v>8.9863846995908574</v>
      </c>
      <c r="C174">
        <v>7.4418515507178737</v>
      </c>
    </row>
    <row r="175" spans="1:3" x14ac:dyDescent="0.3">
      <c r="A175" s="5">
        <v>37437</v>
      </c>
      <c r="B175">
        <v>10.002676925075095</v>
      </c>
      <c r="C175">
        <v>8.077872716372223</v>
      </c>
    </row>
    <row r="176" spans="1:3" x14ac:dyDescent="0.3">
      <c r="A176" s="5">
        <v>37468</v>
      </c>
      <c r="B176">
        <v>4.2148695798086147</v>
      </c>
      <c r="C176">
        <v>-1.2926391379387958</v>
      </c>
    </row>
    <row r="177" spans="1:3" x14ac:dyDescent="0.3">
      <c r="A177" s="5">
        <v>37499</v>
      </c>
      <c r="B177">
        <v>0.46138314668427116</v>
      </c>
      <c r="C177">
        <v>3.1164831596978448</v>
      </c>
    </row>
    <row r="178" spans="1:3" x14ac:dyDescent="0.3">
      <c r="A178" s="5">
        <v>37529</v>
      </c>
      <c r="B178">
        <v>10.345718333684644</v>
      </c>
      <c r="C178">
        <v>5.5749634259389653</v>
      </c>
    </row>
    <row r="179" spans="1:3" x14ac:dyDescent="0.3">
      <c r="A179" s="5">
        <v>37560</v>
      </c>
      <c r="B179">
        <v>-11.649471035740078</v>
      </c>
      <c r="C179">
        <v>-8.9552858573707379</v>
      </c>
    </row>
    <row r="180" spans="1:3" x14ac:dyDescent="0.3">
      <c r="A180" s="5">
        <v>37590</v>
      </c>
      <c r="B180">
        <v>-5.4632023719239449</v>
      </c>
      <c r="C180">
        <v>-14.43249054916479</v>
      </c>
    </row>
    <row r="181" spans="1:3" x14ac:dyDescent="0.3">
      <c r="A181" s="5">
        <v>37621</v>
      </c>
      <c r="B181">
        <v>14.453529095061048</v>
      </c>
      <c r="C181">
        <v>12.190509125533392</v>
      </c>
    </row>
    <row r="182" spans="1:3" x14ac:dyDescent="0.3">
      <c r="A182" s="5">
        <v>37652</v>
      </c>
      <c r="B182">
        <v>4.1271285919298224</v>
      </c>
      <c r="C182">
        <v>1.5699959877607854</v>
      </c>
    </row>
    <row r="183" spans="1:3" x14ac:dyDescent="0.3">
      <c r="A183" s="5">
        <v>37680</v>
      </c>
      <c r="B183">
        <v>3.3130379371968868</v>
      </c>
      <c r="C183">
        <v>1.8581002199805297</v>
      </c>
    </row>
    <row r="184" spans="1:3" x14ac:dyDescent="0.3">
      <c r="A184" s="5">
        <v>37711</v>
      </c>
      <c r="B184">
        <v>1.1183185324445843</v>
      </c>
      <c r="C184">
        <v>1.2009044334356371</v>
      </c>
    </row>
    <row r="185" spans="1:3" x14ac:dyDescent="0.3">
      <c r="A185" s="5">
        <v>37741</v>
      </c>
      <c r="B185">
        <v>-8.5012989340583633</v>
      </c>
      <c r="C185">
        <v>-3.445376329646928</v>
      </c>
    </row>
    <row r="186" spans="1:3" x14ac:dyDescent="0.3">
      <c r="A186" s="5">
        <v>37772</v>
      </c>
      <c r="B186">
        <v>2.5472654493175266</v>
      </c>
      <c r="C186">
        <v>-5.6110579546579125</v>
      </c>
    </row>
    <row r="187" spans="1:3" x14ac:dyDescent="0.3">
      <c r="A187" s="5">
        <v>37802</v>
      </c>
      <c r="B187">
        <v>-8.5483575099960823E-2</v>
      </c>
      <c r="C187">
        <v>1.878403479191286</v>
      </c>
    </row>
    <row r="188" spans="1:3" x14ac:dyDescent="0.3">
      <c r="A188" s="5">
        <v>37833</v>
      </c>
      <c r="B188">
        <v>-0.39457679657126427</v>
      </c>
      <c r="C188">
        <v>0.55640658666956566</v>
      </c>
    </row>
    <row r="189" spans="1:3" x14ac:dyDescent="0.3">
      <c r="A189" s="5">
        <v>37864</v>
      </c>
      <c r="B189">
        <v>-3.0361861560219467</v>
      </c>
      <c r="C189">
        <v>0.15146692376852081</v>
      </c>
    </row>
    <row r="190" spans="1:3" x14ac:dyDescent="0.3">
      <c r="A190" s="5">
        <v>37894</v>
      </c>
      <c r="B190">
        <v>9.34732165763028</v>
      </c>
      <c r="C190">
        <v>1.8721224927905733</v>
      </c>
    </row>
    <row r="191" spans="1:3" x14ac:dyDescent="0.3">
      <c r="A191" s="5">
        <v>37925</v>
      </c>
      <c r="B191">
        <v>-1.9803941613140821</v>
      </c>
      <c r="C191">
        <v>0.27008415918496931</v>
      </c>
    </row>
    <row r="192" spans="1:3" x14ac:dyDescent="0.3">
      <c r="A192" s="5">
        <v>37955</v>
      </c>
      <c r="B192">
        <v>4.9745906429695692</v>
      </c>
      <c r="C192">
        <v>4.6136988035971793</v>
      </c>
    </row>
    <row r="193" spans="1:3" x14ac:dyDescent="0.3">
      <c r="A193" s="5">
        <v>37986</v>
      </c>
      <c r="B193">
        <v>7.672417804669573</v>
      </c>
      <c r="C193">
        <v>6.3370650486357301</v>
      </c>
    </row>
    <row r="194" spans="1:3" x14ac:dyDescent="0.3">
      <c r="A194" s="5">
        <v>38017</v>
      </c>
      <c r="B194">
        <v>0.56810781871235938</v>
      </c>
      <c r="C194">
        <v>-1.5786333360801652</v>
      </c>
    </row>
    <row r="195" spans="1:3" x14ac:dyDescent="0.3">
      <c r="A195" s="5">
        <v>38046</v>
      </c>
      <c r="B195">
        <v>3.6972242462143159</v>
      </c>
      <c r="C195">
        <v>5.3382656048556747</v>
      </c>
    </row>
    <row r="196" spans="1:3" x14ac:dyDescent="0.3">
      <c r="A196" s="5">
        <v>38077</v>
      </c>
      <c r="B196">
        <v>5.1236340244376812</v>
      </c>
      <c r="C196">
        <v>5.2270392683834075</v>
      </c>
    </row>
    <row r="197" spans="1:3" x14ac:dyDescent="0.3">
      <c r="A197" s="5">
        <v>38107</v>
      </c>
      <c r="B197">
        <v>-0.13507753402905109</v>
      </c>
      <c r="C197">
        <v>2.718875391715548E-2</v>
      </c>
    </row>
    <row r="198" spans="1:3" x14ac:dyDescent="0.3">
      <c r="A198" s="5">
        <v>38138</v>
      </c>
      <c r="B198">
        <v>4.1735725966180821</v>
      </c>
      <c r="C198">
        <v>0.34702243691536078</v>
      </c>
    </row>
    <row r="199" spans="1:3" x14ac:dyDescent="0.3">
      <c r="A199" s="5">
        <v>38168</v>
      </c>
      <c r="B199">
        <v>1.0418892961332193</v>
      </c>
      <c r="C199">
        <v>2.5076618793646781</v>
      </c>
    </row>
    <row r="200" spans="1:3" x14ac:dyDescent="0.3">
      <c r="A200" s="5">
        <v>38199</v>
      </c>
      <c r="B200">
        <v>3.7624152140845113</v>
      </c>
      <c r="C200">
        <v>5.9833738678250361</v>
      </c>
    </row>
    <row r="201" spans="1:3" x14ac:dyDescent="0.3">
      <c r="A201" s="5">
        <v>38230</v>
      </c>
      <c r="B201">
        <v>2.9905958419527772</v>
      </c>
      <c r="C201">
        <v>2.7022304926403415</v>
      </c>
    </row>
    <row r="202" spans="1:3" x14ac:dyDescent="0.3">
      <c r="A202" s="5">
        <v>38260</v>
      </c>
      <c r="B202">
        <v>2.1469010561087263</v>
      </c>
      <c r="C202">
        <v>2.9790438243028454</v>
      </c>
    </row>
    <row r="203" spans="1:3" x14ac:dyDescent="0.3">
      <c r="A203" s="5">
        <v>38291</v>
      </c>
      <c r="B203">
        <v>4.8664291338073467</v>
      </c>
      <c r="C203">
        <v>1.5246358991988178</v>
      </c>
    </row>
    <row r="204" spans="1:3" x14ac:dyDescent="0.3">
      <c r="A204" s="5">
        <v>38321</v>
      </c>
      <c r="B204">
        <v>5.8087550196038835</v>
      </c>
      <c r="C204">
        <v>3.0623366450940601</v>
      </c>
    </row>
    <row r="205" spans="1:3" x14ac:dyDescent="0.3">
      <c r="A205" s="5">
        <v>38352</v>
      </c>
      <c r="B205">
        <v>5.0244298880591547</v>
      </c>
      <c r="C205">
        <v>1.5069093551842403</v>
      </c>
    </row>
    <row r="206" spans="1:3" x14ac:dyDescent="0.3">
      <c r="A206" s="5">
        <v>38383</v>
      </c>
      <c r="B206">
        <v>-0.85650129005302134</v>
      </c>
      <c r="C206">
        <v>3.9201119068816959</v>
      </c>
    </row>
    <row r="207" spans="1:3" x14ac:dyDescent="0.3">
      <c r="A207" s="5">
        <v>38411</v>
      </c>
      <c r="B207">
        <v>3.2586917363870054</v>
      </c>
      <c r="C207">
        <v>3.4056371221055954</v>
      </c>
    </row>
    <row r="208" spans="1:3" x14ac:dyDescent="0.3">
      <c r="A208" s="5">
        <v>38442</v>
      </c>
      <c r="B208">
        <v>1.2402053294061168</v>
      </c>
      <c r="C208">
        <v>0.56380478523408717</v>
      </c>
    </row>
    <row r="209" spans="1:3" x14ac:dyDescent="0.3">
      <c r="A209" s="5">
        <v>38472</v>
      </c>
      <c r="B209">
        <v>2.1103574647655741</v>
      </c>
      <c r="C209">
        <v>1.3683236736682072</v>
      </c>
    </row>
    <row r="210" spans="1:3" x14ac:dyDescent="0.3">
      <c r="A210" s="5">
        <v>38503</v>
      </c>
      <c r="B210">
        <v>-4.2337253198858393</v>
      </c>
      <c r="C210">
        <v>-1.89420315904988</v>
      </c>
    </row>
    <row r="211" spans="1:3" x14ac:dyDescent="0.3">
      <c r="A211" s="5">
        <v>38533</v>
      </c>
      <c r="B211">
        <v>0.12133566212973836</v>
      </c>
      <c r="C211">
        <v>3.670442745359233</v>
      </c>
    </row>
    <row r="212" spans="1:3" x14ac:dyDescent="0.3">
      <c r="A212" s="5">
        <v>38564</v>
      </c>
      <c r="B212">
        <v>0.70311904853456619</v>
      </c>
      <c r="C212">
        <v>1.6875478335085798</v>
      </c>
    </row>
    <row r="213" spans="1:3" x14ac:dyDescent="0.3">
      <c r="A213" s="5">
        <v>38595</v>
      </c>
      <c r="B213">
        <v>2.4648590548419778</v>
      </c>
      <c r="C213">
        <v>0.29381413772678006</v>
      </c>
    </row>
    <row r="214" spans="1:3" x14ac:dyDescent="0.3">
      <c r="A214" s="5">
        <v>38625</v>
      </c>
      <c r="B214">
        <v>-0.17840391113790183</v>
      </c>
      <c r="C214">
        <v>0.22176148335124879</v>
      </c>
    </row>
    <row r="215" spans="1:3" x14ac:dyDescent="0.3">
      <c r="A215" s="5">
        <v>38656</v>
      </c>
      <c r="B215">
        <v>0.37378856273153271</v>
      </c>
      <c r="C215">
        <v>-2.2090354849238181</v>
      </c>
    </row>
    <row r="216" spans="1:3" x14ac:dyDescent="0.3">
      <c r="A216" s="5">
        <v>38686</v>
      </c>
      <c r="B216">
        <v>-2.7690223247618362</v>
      </c>
      <c r="C216">
        <v>1.4922075871520203E-2</v>
      </c>
    </row>
    <row r="217" spans="1:3" x14ac:dyDescent="0.3">
      <c r="A217" s="5">
        <v>38717</v>
      </c>
      <c r="B217">
        <v>1.4708014093640214</v>
      </c>
      <c r="C217">
        <v>1.4151132348852957</v>
      </c>
    </row>
    <row r="218" spans="1:3" x14ac:dyDescent="0.3">
      <c r="A218" s="5">
        <v>38748</v>
      </c>
      <c r="B218">
        <v>3.1966535552200437</v>
      </c>
      <c r="C218">
        <v>0.91736351990253495</v>
      </c>
    </row>
    <row r="219" spans="1:3" x14ac:dyDescent="0.3">
      <c r="A219" s="5">
        <v>38776</v>
      </c>
      <c r="B219">
        <v>0.75715070547438712</v>
      </c>
      <c r="C219">
        <v>0.61619000105003618</v>
      </c>
    </row>
    <row r="220" spans="1:3" x14ac:dyDescent="0.3">
      <c r="A220" s="5">
        <v>38807</v>
      </c>
      <c r="B220">
        <v>3.9306922462456573</v>
      </c>
      <c r="C220">
        <v>1.0659390481093973</v>
      </c>
    </row>
    <row r="221" spans="1:3" x14ac:dyDescent="0.3">
      <c r="A221" s="5">
        <v>38837</v>
      </c>
      <c r="B221">
        <v>6.8786942174717893</v>
      </c>
      <c r="C221">
        <v>1.3842813705802002</v>
      </c>
    </row>
    <row r="222" spans="1:3" x14ac:dyDescent="0.3">
      <c r="A222" s="5">
        <v>38868</v>
      </c>
      <c r="B222">
        <v>2.5256512709000485</v>
      </c>
      <c r="C222">
        <v>0.37686694093479334</v>
      </c>
    </row>
    <row r="223" spans="1:3" x14ac:dyDescent="0.3">
      <c r="A223" s="5">
        <v>38898</v>
      </c>
      <c r="B223">
        <v>-0.84959605983526443</v>
      </c>
      <c r="C223">
        <v>6.8395360729762489E-2</v>
      </c>
    </row>
    <row r="224" spans="1:3" x14ac:dyDescent="0.3">
      <c r="A224" s="5">
        <v>38929</v>
      </c>
      <c r="B224">
        <v>1.777625115515995</v>
      </c>
      <c r="C224">
        <v>2.0609155935434242</v>
      </c>
    </row>
    <row r="225" spans="1:3" x14ac:dyDescent="0.3">
      <c r="A225" s="5">
        <v>38960</v>
      </c>
      <c r="B225">
        <v>0.18010384142062222</v>
      </c>
      <c r="C225">
        <v>-0.46179816295532294</v>
      </c>
    </row>
    <row r="226" spans="1:3" x14ac:dyDescent="0.3">
      <c r="A226" s="5">
        <v>38990</v>
      </c>
      <c r="B226">
        <v>0.23166989992336923</v>
      </c>
      <c r="C226">
        <v>-0.15716171251106043</v>
      </c>
    </row>
    <row r="227" spans="1:3" x14ac:dyDescent="0.3">
      <c r="A227" s="5">
        <v>39021</v>
      </c>
      <c r="B227">
        <v>1.1196052026216616</v>
      </c>
      <c r="C227">
        <v>0.47300989203927579</v>
      </c>
    </row>
    <row r="228" spans="1:3" x14ac:dyDescent="0.3">
      <c r="A228" s="5">
        <v>39051</v>
      </c>
      <c r="B228">
        <v>5.2856065243559254</v>
      </c>
      <c r="C228">
        <v>1.4881755049045164</v>
      </c>
    </row>
    <row r="229" spans="1:3" x14ac:dyDescent="0.3">
      <c r="A229" s="5">
        <v>39082</v>
      </c>
      <c r="B229">
        <v>0.32454449762902693</v>
      </c>
      <c r="C229">
        <v>2.5203814250269332</v>
      </c>
    </row>
    <row r="230" spans="1:3" x14ac:dyDescent="0.3">
      <c r="A230" s="5">
        <v>39113</v>
      </c>
      <c r="B230">
        <v>2.1170594788553116</v>
      </c>
      <c r="C230">
        <v>1.4955465155700776</v>
      </c>
    </row>
    <row r="231" spans="1:3" x14ac:dyDescent="0.3">
      <c r="A231" s="5">
        <v>39141</v>
      </c>
      <c r="B231">
        <v>3.9165610865917633</v>
      </c>
      <c r="C231">
        <v>1.1714324407405372</v>
      </c>
    </row>
    <row r="232" spans="1:3" x14ac:dyDescent="0.3">
      <c r="A232" s="5">
        <v>39172</v>
      </c>
      <c r="B232">
        <v>1.2408319868599273</v>
      </c>
      <c r="C232">
        <v>5.560032085666286E-2</v>
      </c>
    </row>
    <row r="233" spans="1:3" x14ac:dyDescent="0.3">
      <c r="A233" s="5">
        <v>39202</v>
      </c>
      <c r="B233">
        <v>4.2841488268733219</v>
      </c>
      <c r="C233">
        <v>0.88033617373586504</v>
      </c>
    </row>
    <row r="234" spans="1:3" x14ac:dyDescent="0.3">
      <c r="A234" s="5">
        <v>39233</v>
      </c>
      <c r="B234">
        <v>0.12062535390420129</v>
      </c>
      <c r="C234">
        <v>-1.1787310321420377</v>
      </c>
    </row>
    <row r="235" spans="1:3" x14ac:dyDescent="0.3">
      <c r="A235" s="5">
        <v>39263</v>
      </c>
      <c r="B235">
        <v>2.0519635823266249</v>
      </c>
      <c r="C235">
        <v>0.80297787232453122</v>
      </c>
    </row>
    <row r="236" spans="1:3" x14ac:dyDescent="0.3">
      <c r="A236" s="5">
        <v>39294</v>
      </c>
      <c r="B236">
        <v>2.5310524548549185</v>
      </c>
      <c r="C236">
        <v>-0.57899646979968</v>
      </c>
    </row>
    <row r="237" spans="1:3" x14ac:dyDescent="0.3">
      <c r="A237" s="5">
        <v>39325</v>
      </c>
      <c r="B237">
        <v>-2.3593884018274576</v>
      </c>
      <c r="C237">
        <v>-2.9447918001595976</v>
      </c>
    </row>
    <row r="238" spans="1:3" x14ac:dyDescent="0.3">
      <c r="A238" s="5">
        <v>39355</v>
      </c>
      <c r="B238">
        <v>2.3916456631722296</v>
      </c>
      <c r="C238">
        <v>1.4280227840860991</v>
      </c>
    </row>
    <row r="239" spans="1:3" x14ac:dyDescent="0.3">
      <c r="A239" s="5">
        <v>39386</v>
      </c>
      <c r="B239">
        <v>-1.7134890475266702</v>
      </c>
      <c r="C239">
        <v>0.19809022217900618</v>
      </c>
    </row>
    <row r="240" spans="1:3" x14ac:dyDescent="0.3">
      <c r="A240" s="5">
        <v>39416</v>
      </c>
      <c r="B240">
        <v>0.92445288450967356</v>
      </c>
      <c r="C240">
        <v>-4.0222935099767918</v>
      </c>
    </row>
    <row r="241" spans="1:3" x14ac:dyDescent="0.3">
      <c r="A241" s="5">
        <v>39447</v>
      </c>
      <c r="B241">
        <v>-1.662687279330886</v>
      </c>
      <c r="C241">
        <v>-2.4467705850623749</v>
      </c>
    </row>
    <row r="242" spans="1:3" x14ac:dyDescent="0.3">
      <c r="A242" s="5">
        <v>39478</v>
      </c>
      <c r="B242">
        <v>0.74041551510579429</v>
      </c>
      <c r="C242">
        <v>-2.0608607362115126</v>
      </c>
    </row>
    <row r="243" spans="1:3" x14ac:dyDescent="0.3">
      <c r="A243" s="5">
        <v>39507</v>
      </c>
      <c r="B243">
        <v>-0.46069711971464844</v>
      </c>
      <c r="C243">
        <v>2.2421926919892536</v>
      </c>
    </row>
    <row r="244" spans="1:3" x14ac:dyDescent="0.3">
      <c r="A244" s="5">
        <v>39538</v>
      </c>
      <c r="B244">
        <v>-1.3462833178415645</v>
      </c>
      <c r="C244">
        <v>-6.7018443428549954</v>
      </c>
    </row>
    <row r="245" spans="1:3" x14ac:dyDescent="0.3">
      <c r="A245" s="5">
        <v>39568</v>
      </c>
      <c r="B245">
        <v>-2.076927203701147</v>
      </c>
      <c r="C245">
        <v>-1.9641686417301278</v>
      </c>
    </row>
    <row r="246" spans="1:3" x14ac:dyDescent="0.3">
      <c r="A246" s="5">
        <v>39599</v>
      </c>
      <c r="B246">
        <v>1.7530445484496171</v>
      </c>
      <c r="C246">
        <v>0.86136565903905971</v>
      </c>
    </row>
    <row r="247" spans="1:3" x14ac:dyDescent="0.3">
      <c r="A247" s="5">
        <v>39629</v>
      </c>
      <c r="B247">
        <v>5.7812485989619145</v>
      </c>
      <c r="C247">
        <v>0.41974765191118535</v>
      </c>
    </row>
    <row r="248" spans="1:3" x14ac:dyDescent="0.3">
      <c r="A248" s="5">
        <v>39660</v>
      </c>
      <c r="B248">
        <v>-5.9707946616522563</v>
      </c>
      <c r="C248">
        <v>-6.7861324028247809</v>
      </c>
    </row>
    <row r="249" spans="1:3" x14ac:dyDescent="0.3">
      <c r="A249" s="5">
        <v>39691</v>
      </c>
      <c r="B249">
        <v>-6.5805530988668464</v>
      </c>
      <c r="C249">
        <v>-1.3670196842702482</v>
      </c>
    </row>
    <row r="250" spans="1:3" x14ac:dyDescent="0.3">
      <c r="A250" s="5">
        <v>39721</v>
      </c>
      <c r="B250">
        <v>-0.73345923399365054</v>
      </c>
      <c r="C250">
        <v>-9.0605701295383945</v>
      </c>
    </row>
    <row r="251" spans="1:3" x14ac:dyDescent="0.3">
      <c r="A251" s="5">
        <v>39752</v>
      </c>
      <c r="B251">
        <v>-10.263612798406879</v>
      </c>
      <c r="C251">
        <v>-5.0577749341661944</v>
      </c>
    </row>
    <row r="252" spans="1:3" x14ac:dyDescent="0.3">
      <c r="A252" s="5">
        <v>39782</v>
      </c>
      <c r="B252">
        <v>-2.1953480805336336</v>
      </c>
      <c r="C252">
        <v>-3.5247010292543486</v>
      </c>
    </row>
    <row r="253" spans="1:3" x14ac:dyDescent="0.3">
      <c r="A253" s="5">
        <v>39813</v>
      </c>
      <c r="B253">
        <v>-0.7592538847508401</v>
      </c>
      <c r="C253">
        <v>-7.4200247162475694</v>
      </c>
    </row>
    <row r="254" spans="1:3" x14ac:dyDescent="0.3">
      <c r="A254" s="5">
        <v>39844</v>
      </c>
      <c r="B254">
        <v>-1.2748100704480225</v>
      </c>
      <c r="C254">
        <v>11.517049804034169</v>
      </c>
    </row>
    <row r="255" spans="1:3" x14ac:dyDescent="0.3">
      <c r="A255" s="5">
        <v>39872</v>
      </c>
      <c r="B255">
        <v>1.3796694457852396</v>
      </c>
      <c r="C255">
        <v>-0.33827048598615583</v>
      </c>
    </row>
    <row r="256" spans="1:3" x14ac:dyDescent="0.3">
      <c r="A256" s="5">
        <v>39903</v>
      </c>
      <c r="B256">
        <v>-6.3811295276872348</v>
      </c>
      <c r="C256">
        <v>-2.6157201936527859</v>
      </c>
    </row>
    <row r="257" spans="1:3" x14ac:dyDescent="0.3">
      <c r="A257" s="5">
        <v>39933</v>
      </c>
      <c r="B257">
        <v>-8.685857149327715</v>
      </c>
      <c r="C257">
        <v>-7.8442198127932992</v>
      </c>
    </row>
    <row r="258" spans="1:3" x14ac:dyDescent="0.3">
      <c r="A258" s="5">
        <v>39964</v>
      </c>
      <c r="B258">
        <v>8.004796330309496</v>
      </c>
      <c r="C258">
        <v>6.5684544917885601</v>
      </c>
    </row>
    <row r="259" spans="1:3" x14ac:dyDescent="0.3">
      <c r="A259" s="5">
        <v>39994</v>
      </c>
      <c r="B259">
        <v>1.8318379119069632</v>
      </c>
      <c r="C259">
        <v>9.083690116254175</v>
      </c>
    </row>
    <row r="260" spans="1:3" x14ac:dyDescent="0.3">
      <c r="A260" s="5">
        <v>40025</v>
      </c>
      <c r="B260">
        <v>-5.5809461541882506</v>
      </c>
      <c r="C260">
        <v>-3.6276663707557262</v>
      </c>
    </row>
    <row r="261" spans="1:3" x14ac:dyDescent="0.3">
      <c r="A261" s="5">
        <v>40056</v>
      </c>
      <c r="B261">
        <v>-0.46777591802235391</v>
      </c>
      <c r="C261">
        <v>-2.3784249309991603</v>
      </c>
    </row>
    <row r="262" spans="1:3" x14ac:dyDescent="0.3">
      <c r="A262" s="5">
        <v>40086</v>
      </c>
      <c r="B262">
        <v>2.610420052562513</v>
      </c>
      <c r="C262">
        <v>-0.37050112561011306</v>
      </c>
    </row>
    <row r="263" spans="1:3" x14ac:dyDescent="0.3">
      <c r="A263" s="5">
        <v>40117</v>
      </c>
      <c r="B263">
        <v>6.9649752105014286</v>
      </c>
      <c r="C263">
        <v>0.84713858344105453</v>
      </c>
    </row>
    <row r="264" spans="1:3" x14ac:dyDescent="0.3">
      <c r="A264" s="5">
        <v>40147</v>
      </c>
      <c r="B264">
        <v>0.38461729627585789</v>
      </c>
      <c r="C264">
        <v>-1.1886591317203519</v>
      </c>
    </row>
    <row r="265" spans="1:3" x14ac:dyDescent="0.3">
      <c r="A265" s="5">
        <v>40178</v>
      </c>
      <c r="B265">
        <v>-5.2106473210058715</v>
      </c>
      <c r="C265">
        <v>0.9534435803980662</v>
      </c>
    </row>
    <row r="266" spans="1:3" x14ac:dyDescent="0.3">
      <c r="A266" s="5">
        <v>40209</v>
      </c>
      <c r="B266">
        <v>0.47560835247048128</v>
      </c>
      <c r="C266">
        <v>0.99925850355845636</v>
      </c>
    </row>
    <row r="267" spans="1:3" x14ac:dyDescent="0.3">
      <c r="A267" s="5">
        <v>40237</v>
      </c>
      <c r="B267">
        <v>0.15946753269264255</v>
      </c>
      <c r="C267">
        <v>0.76792985385242396</v>
      </c>
    </row>
    <row r="268" spans="1:3" x14ac:dyDescent="0.3">
      <c r="A268" s="5">
        <v>40268</v>
      </c>
      <c r="B268">
        <v>-2.163715250652035</v>
      </c>
      <c r="C268">
        <v>1.5455108980529013</v>
      </c>
    </row>
    <row r="269" spans="1:3" x14ac:dyDescent="0.3">
      <c r="A269" s="5">
        <v>40298</v>
      </c>
      <c r="B269">
        <v>0.83014597972034432</v>
      </c>
      <c r="C269">
        <v>1.4986359450808246</v>
      </c>
    </row>
    <row r="270" spans="1:3" x14ac:dyDescent="0.3">
      <c r="A270" s="5">
        <v>40329</v>
      </c>
      <c r="B270">
        <v>-0.99095239214585384</v>
      </c>
      <c r="C270">
        <v>-0.55137642354668726</v>
      </c>
    </row>
    <row r="271" spans="1:3" x14ac:dyDescent="0.3">
      <c r="A271" s="5">
        <v>40359</v>
      </c>
      <c r="B271">
        <v>4.6423273227953432</v>
      </c>
      <c r="C271">
        <v>2.3131337563913976</v>
      </c>
    </row>
    <row r="272" spans="1:3" x14ac:dyDescent="0.3">
      <c r="A272" s="5">
        <v>40390</v>
      </c>
      <c r="B272">
        <v>-0.11320833821311574</v>
      </c>
      <c r="C272">
        <v>-2.3352968266257537</v>
      </c>
    </row>
    <row r="273" spans="1:3" x14ac:dyDescent="0.3">
      <c r="A273" s="5">
        <v>40421</v>
      </c>
      <c r="B273">
        <v>1.5974773042672215</v>
      </c>
      <c r="C273">
        <v>1.6492430588043043</v>
      </c>
    </row>
    <row r="274" spans="1:3" x14ac:dyDescent="0.3">
      <c r="A274" s="5">
        <v>40451</v>
      </c>
      <c r="B274">
        <v>2.1358556115701082</v>
      </c>
      <c r="C274">
        <v>-1.1843581182266851</v>
      </c>
    </row>
    <row r="275" spans="1:3" x14ac:dyDescent="0.3">
      <c r="A275" s="5">
        <v>40482</v>
      </c>
      <c r="B275">
        <v>5.4612235828442622E-2</v>
      </c>
      <c r="C275">
        <v>2.0290323724356685</v>
      </c>
    </row>
    <row r="276" spans="1:3" x14ac:dyDescent="0.3">
      <c r="A276" s="5">
        <v>40512</v>
      </c>
      <c r="B276">
        <v>-1.1434104262205922</v>
      </c>
      <c r="C276">
        <v>-0.51172658666478643</v>
      </c>
    </row>
    <row r="277" spans="1:3" x14ac:dyDescent="0.3">
      <c r="A277" s="5">
        <v>40543</v>
      </c>
      <c r="B277">
        <v>-1.0027948845654473</v>
      </c>
      <c r="C277">
        <v>-0.15530979979328161</v>
      </c>
    </row>
    <row r="278" spans="1:3" x14ac:dyDescent="0.3">
      <c r="A278" s="5">
        <v>40574</v>
      </c>
      <c r="B278">
        <v>3.20387782102121</v>
      </c>
      <c r="C278">
        <v>3.0171599346893769</v>
      </c>
    </row>
    <row r="279" spans="1:3" x14ac:dyDescent="0.3">
      <c r="A279" s="5">
        <v>40602</v>
      </c>
      <c r="B279">
        <v>1.9491249430133386</v>
      </c>
      <c r="C279">
        <v>0.64424990013741479</v>
      </c>
    </row>
    <row r="280" spans="1:3" x14ac:dyDescent="0.3">
      <c r="A280" s="5">
        <v>40633</v>
      </c>
      <c r="B280">
        <v>1.9539267293855505</v>
      </c>
      <c r="C280">
        <v>0.42803773066647405</v>
      </c>
    </row>
    <row r="281" spans="1:3" x14ac:dyDescent="0.3">
      <c r="A281" s="5">
        <v>40663</v>
      </c>
      <c r="B281">
        <v>5.3328234072656757</v>
      </c>
      <c r="C281">
        <v>0.55093963397691903</v>
      </c>
    </row>
    <row r="282" spans="1:3" x14ac:dyDescent="0.3">
      <c r="A282" s="5">
        <v>40694</v>
      </c>
      <c r="B282">
        <v>1.4144153363468626</v>
      </c>
      <c r="C282">
        <v>1.4302782753123202</v>
      </c>
    </row>
    <row r="283" spans="1:3" x14ac:dyDescent="0.3">
      <c r="A283" s="5">
        <v>40724</v>
      </c>
      <c r="B283">
        <v>1.7352176279269806</v>
      </c>
      <c r="C283">
        <v>0.41071563763936964</v>
      </c>
    </row>
    <row r="284" spans="1:3" x14ac:dyDescent="0.3">
      <c r="A284" s="5">
        <v>40755</v>
      </c>
      <c r="B284">
        <v>4.2698870091898815</v>
      </c>
      <c r="C284">
        <v>-0.42196073988503902</v>
      </c>
    </row>
    <row r="285" spans="1:3" x14ac:dyDescent="0.3">
      <c r="A285" s="5">
        <v>40786</v>
      </c>
      <c r="B285">
        <v>1.9384112019173221</v>
      </c>
      <c r="C285">
        <v>0.76665101307285244</v>
      </c>
    </row>
    <row r="286" spans="1:3" x14ac:dyDescent="0.3">
      <c r="A286" s="5">
        <v>40816</v>
      </c>
      <c r="B286">
        <v>-1.0110083266893739</v>
      </c>
      <c r="C286">
        <v>2.0353365834423651</v>
      </c>
    </row>
    <row r="287" spans="1:3" x14ac:dyDescent="0.3">
      <c r="A287" s="5">
        <v>40847</v>
      </c>
      <c r="B287">
        <v>-1.9374223887683419</v>
      </c>
      <c r="C287">
        <v>-5.9749683222737442</v>
      </c>
    </row>
    <row r="288" spans="1:3" x14ac:dyDescent="0.3">
      <c r="A288" s="5">
        <v>40877</v>
      </c>
      <c r="B288">
        <v>-0.79582552763003112</v>
      </c>
      <c r="C288">
        <v>0.61289648298150357</v>
      </c>
    </row>
    <row r="289" spans="1:3" x14ac:dyDescent="0.3">
      <c r="A289" s="5">
        <v>40908</v>
      </c>
      <c r="B289">
        <v>-1.5263331177781134</v>
      </c>
      <c r="C289">
        <v>1.2677731494850644</v>
      </c>
    </row>
    <row r="290" spans="1:3" x14ac:dyDescent="0.3">
      <c r="A290" s="5">
        <v>40939</v>
      </c>
      <c r="B290">
        <v>-3.1365707618254968</v>
      </c>
      <c r="C290">
        <v>0.68864381350069936</v>
      </c>
    </row>
    <row r="291" spans="1:3" x14ac:dyDescent="0.3">
      <c r="A291" s="5">
        <v>40968</v>
      </c>
      <c r="B291">
        <v>0.66427159658615442</v>
      </c>
      <c r="C291">
        <v>2.5682074815113269</v>
      </c>
    </row>
    <row r="292" spans="1:3" x14ac:dyDescent="0.3">
      <c r="A292" s="5">
        <v>40999</v>
      </c>
      <c r="B292">
        <v>1.6244743149298011</v>
      </c>
      <c r="C292">
        <v>3.9423511059318455</v>
      </c>
    </row>
    <row r="293" spans="1:3" x14ac:dyDescent="0.3">
      <c r="A293" s="5">
        <v>41029</v>
      </c>
      <c r="B293">
        <v>3.493428583969306</v>
      </c>
      <c r="C293">
        <v>2.8937982945909457</v>
      </c>
    </row>
    <row r="294" spans="1:3" x14ac:dyDescent="0.3">
      <c r="A294" s="5">
        <v>41060</v>
      </c>
      <c r="B294">
        <v>0.31596863403549891</v>
      </c>
      <c r="C294">
        <v>2.3499161770493617</v>
      </c>
    </row>
    <row r="295" spans="1:3" x14ac:dyDescent="0.3">
      <c r="A295" s="5">
        <v>41090</v>
      </c>
      <c r="B295">
        <v>-0.2983164206191451</v>
      </c>
      <c r="C295">
        <v>1.0792659654140853</v>
      </c>
    </row>
    <row r="296" spans="1:3" x14ac:dyDescent="0.3">
      <c r="A296" s="5">
        <v>41121</v>
      </c>
      <c r="B296">
        <v>-2.3471419727560332</v>
      </c>
      <c r="C296">
        <v>1.0432953934940306</v>
      </c>
    </row>
    <row r="297" spans="1:3" x14ac:dyDescent="0.3">
      <c r="A297" s="5">
        <v>41152</v>
      </c>
      <c r="B297">
        <v>0.20738762715077247</v>
      </c>
      <c r="C297">
        <v>-0.8661573248065475</v>
      </c>
    </row>
    <row r="298" spans="1:3" x14ac:dyDescent="0.3">
      <c r="A298" s="5">
        <v>41182</v>
      </c>
      <c r="B298">
        <v>0.77282631179273298</v>
      </c>
      <c r="C298">
        <v>0.77378429504116908</v>
      </c>
    </row>
    <row r="299" spans="1:3" x14ac:dyDescent="0.3">
      <c r="A299" s="5">
        <v>41213</v>
      </c>
      <c r="B299">
        <v>2.0447389127767539</v>
      </c>
      <c r="C299">
        <v>2.0052916902162417</v>
      </c>
    </row>
    <row r="300" spans="1:3" x14ac:dyDescent="0.3">
      <c r="A300" s="5">
        <v>41243</v>
      </c>
      <c r="B300">
        <v>1.3114672444939248</v>
      </c>
      <c r="C300">
        <v>-1.3398194086521995</v>
      </c>
    </row>
    <row r="301" spans="1:3" x14ac:dyDescent="0.3">
      <c r="A301" s="5">
        <v>41274</v>
      </c>
      <c r="B301">
        <v>-0.83663803466592979</v>
      </c>
      <c r="C301">
        <v>-1.0530287320135607</v>
      </c>
    </row>
    <row r="302" spans="1:3" x14ac:dyDescent="0.3">
      <c r="A302" s="5">
        <v>41305</v>
      </c>
      <c r="B302">
        <v>-7.9144202140391501E-2</v>
      </c>
      <c r="C302">
        <v>4.3870483118090302</v>
      </c>
    </row>
    <row r="303" spans="1:3" x14ac:dyDescent="0.3">
      <c r="A303" s="5">
        <v>41333</v>
      </c>
      <c r="B303">
        <v>9.3692910522161887E-2</v>
      </c>
      <c r="C303">
        <v>1.8860382049276008</v>
      </c>
    </row>
    <row r="304" spans="1:3" x14ac:dyDescent="0.3">
      <c r="A304" s="5">
        <v>41364</v>
      </c>
      <c r="B304">
        <v>2.8275578843208629</v>
      </c>
      <c r="C304">
        <v>2.3422505224626731</v>
      </c>
    </row>
    <row r="305" spans="1:3" x14ac:dyDescent="0.3">
      <c r="A305" s="5">
        <v>41394</v>
      </c>
      <c r="B305">
        <v>2.0028147063014519</v>
      </c>
      <c r="C305">
        <v>1.6698996080169455</v>
      </c>
    </row>
    <row r="306" spans="1:3" x14ac:dyDescent="0.3">
      <c r="A306" s="5">
        <v>41425</v>
      </c>
      <c r="B306">
        <v>-2.1996688055774212</v>
      </c>
      <c r="C306">
        <v>-1.4946574148839697</v>
      </c>
    </row>
    <row r="307" spans="1:3" x14ac:dyDescent="0.3">
      <c r="A307" s="5">
        <v>41455</v>
      </c>
      <c r="B307">
        <v>3.2715471572712</v>
      </c>
      <c r="C307">
        <v>2.0689002654256825</v>
      </c>
    </row>
    <row r="308" spans="1:3" x14ac:dyDescent="0.3">
      <c r="A308" s="5">
        <v>41486</v>
      </c>
      <c r="B308">
        <v>0.35260574290301733</v>
      </c>
      <c r="C308">
        <v>1.8052883111299902</v>
      </c>
    </row>
    <row r="309" spans="1:3" x14ac:dyDescent="0.3">
      <c r="A309" s="5">
        <v>41517</v>
      </c>
      <c r="B309">
        <v>1.8493031511565756</v>
      </c>
      <c r="C309">
        <v>-0.38530086673782876</v>
      </c>
    </row>
    <row r="310" spans="1:3" x14ac:dyDescent="0.3">
      <c r="A310" s="5">
        <v>41547</v>
      </c>
      <c r="B310">
        <v>1.1896472999326528</v>
      </c>
      <c r="C310">
        <v>0.76934846963274184</v>
      </c>
    </row>
    <row r="311" spans="1:3" x14ac:dyDescent="0.3">
      <c r="A311" s="5">
        <v>41578</v>
      </c>
      <c r="B311">
        <v>0.54937957721237995</v>
      </c>
      <c r="C311">
        <v>2.8826346428697032</v>
      </c>
    </row>
    <row r="312" spans="1:3" x14ac:dyDescent="0.3">
      <c r="A312" s="5">
        <v>41608</v>
      </c>
      <c r="B312">
        <v>3.0611685091763876</v>
      </c>
      <c r="C312">
        <v>1.9499016476105964</v>
      </c>
    </row>
    <row r="313" spans="1:3" x14ac:dyDescent="0.3">
      <c r="A313" s="5">
        <v>41639</v>
      </c>
      <c r="B313">
        <v>2.1246443956855932</v>
      </c>
      <c r="C313">
        <v>0.28575249222973337</v>
      </c>
    </row>
    <row r="314" spans="1:3" x14ac:dyDescent="0.3">
      <c r="A314" s="5">
        <v>41670</v>
      </c>
      <c r="B314">
        <v>1.0161880235695948</v>
      </c>
      <c r="C314">
        <v>2.057566534480495</v>
      </c>
    </row>
    <row r="315" spans="1:3" x14ac:dyDescent="0.3">
      <c r="A315" s="5">
        <v>41698</v>
      </c>
      <c r="B315">
        <v>1.4079610742161697</v>
      </c>
      <c r="C315">
        <v>-0.19070198733638766</v>
      </c>
    </row>
    <row r="316" spans="1:3" x14ac:dyDescent="0.3">
      <c r="A316" s="5">
        <v>41729</v>
      </c>
      <c r="B316">
        <v>3.0662133577010615</v>
      </c>
      <c r="C316">
        <v>1.5793430974021392</v>
      </c>
    </row>
    <row r="317" spans="1:3" x14ac:dyDescent="0.3">
      <c r="A317" s="5">
        <v>41759</v>
      </c>
      <c r="B317">
        <v>1.6927161843870442</v>
      </c>
      <c r="C317">
        <v>0.20420368278502529</v>
      </c>
    </row>
    <row r="318" spans="1:3" x14ac:dyDescent="0.3">
      <c r="A318" s="5">
        <v>41790</v>
      </c>
      <c r="B318">
        <v>6.6268999338501722E-2</v>
      </c>
      <c r="C318">
        <v>1.0669400065771102</v>
      </c>
    </row>
    <row r="319" spans="1:3" x14ac:dyDescent="0.3">
      <c r="A319" s="5">
        <v>41820</v>
      </c>
      <c r="B319">
        <v>2.019588627474707</v>
      </c>
      <c r="C319">
        <v>-0.38714376012840213</v>
      </c>
    </row>
    <row r="320" spans="1:3" x14ac:dyDescent="0.3">
      <c r="A320" s="5">
        <v>41851</v>
      </c>
      <c r="B320">
        <v>0.16028943759264797</v>
      </c>
      <c r="C320">
        <v>1.0085092454321773</v>
      </c>
    </row>
    <row r="321" spans="1:3" x14ac:dyDescent="0.3">
      <c r="A321" s="5">
        <v>41882</v>
      </c>
      <c r="B321">
        <v>-0.56766522496011729</v>
      </c>
      <c r="C321">
        <v>1.7029942785327046</v>
      </c>
    </row>
    <row r="322" spans="1:3" x14ac:dyDescent="0.3">
      <c r="A322" s="5">
        <v>41912</v>
      </c>
      <c r="B322">
        <v>-0.40760833278173708</v>
      </c>
      <c r="C322">
        <v>2.4669968994609843</v>
      </c>
    </row>
    <row r="323" spans="1:3" x14ac:dyDescent="0.3">
      <c r="A323" s="5">
        <v>41943</v>
      </c>
      <c r="B323">
        <v>-0.35099680933254496</v>
      </c>
      <c r="C323">
        <v>2.0927600591162858</v>
      </c>
    </row>
    <row r="324" spans="1:3" x14ac:dyDescent="0.3">
      <c r="A324" s="5">
        <v>41973</v>
      </c>
      <c r="B324">
        <v>-1.8041349565694345</v>
      </c>
      <c r="C324">
        <v>2.3637534390305985</v>
      </c>
    </row>
    <row r="325" spans="1:3" x14ac:dyDescent="0.3">
      <c r="A325" s="5">
        <v>42004</v>
      </c>
      <c r="B325">
        <v>0.20019217324309338</v>
      </c>
      <c r="C325">
        <v>0.29662829026933019</v>
      </c>
    </row>
    <row r="326" spans="1:3" x14ac:dyDescent="0.3">
      <c r="A326" s="5">
        <v>42035</v>
      </c>
      <c r="B326">
        <v>-3.3277188370337276</v>
      </c>
      <c r="C326">
        <v>2.6088757487097611</v>
      </c>
    </row>
    <row r="327" spans="1:3" x14ac:dyDescent="0.3">
      <c r="A327" s="5">
        <v>42063</v>
      </c>
      <c r="B327">
        <v>-1.967940194885669</v>
      </c>
      <c r="C327">
        <v>-2.0753667362118509</v>
      </c>
    </row>
    <row r="328" spans="1:3" x14ac:dyDescent="0.3">
      <c r="A328" s="5">
        <v>42094</v>
      </c>
      <c r="B328">
        <v>-0.17502282366910457</v>
      </c>
      <c r="C328">
        <v>1.418437147995228</v>
      </c>
    </row>
    <row r="329" spans="1:3" x14ac:dyDescent="0.3">
      <c r="A329" s="5">
        <v>42124</v>
      </c>
      <c r="B329">
        <v>3.3566664036331546</v>
      </c>
      <c r="C329">
        <v>-2.1657043268031808</v>
      </c>
    </row>
    <row r="330" spans="1:3" x14ac:dyDescent="0.3">
      <c r="A330" s="5">
        <v>42155</v>
      </c>
      <c r="B330">
        <v>0.61811125282347912</v>
      </c>
      <c r="C330">
        <v>2.6699872327323315</v>
      </c>
    </row>
    <row r="331" spans="1:3" x14ac:dyDescent="0.3">
      <c r="A331" s="5">
        <v>42185</v>
      </c>
      <c r="B331">
        <v>4.2553932795198053</v>
      </c>
      <c r="C331">
        <v>1.9691894529603526</v>
      </c>
    </row>
    <row r="332" spans="1:3" x14ac:dyDescent="0.3">
      <c r="A332" s="5">
        <v>42216</v>
      </c>
      <c r="B332">
        <v>0.1719236593236744</v>
      </c>
      <c r="C332">
        <v>5.4874100731329394</v>
      </c>
    </row>
    <row r="333" spans="1:3" x14ac:dyDescent="0.3">
      <c r="A333" s="5">
        <v>42247</v>
      </c>
      <c r="B333">
        <v>3.973515494223792</v>
      </c>
      <c r="C333">
        <v>-1.5418758457887256</v>
      </c>
    </row>
    <row r="334" spans="1:3" x14ac:dyDescent="0.3">
      <c r="A334" s="5">
        <v>42277</v>
      </c>
      <c r="B334">
        <v>3.3436219527829825</v>
      </c>
      <c r="C334">
        <v>5.64215904158148</v>
      </c>
    </row>
    <row r="335" spans="1:3" x14ac:dyDescent="0.3">
      <c r="A335" s="5">
        <v>42308</v>
      </c>
      <c r="B335">
        <v>-2.4693804487775575</v>
      </c>
      <c r="C335">
        <v>-1.0381748608101671</v>
      </c>
    </row>
    <row r="336" spans="1:3" x14ac:dyDescent="0.3">
      <c r="A336" s="5">
        <v>42338</v>
      </c>
      <c r="B336">
        <v>-2.5920629028969611</v>
      </c>
      <c r="C336">
        <v>1.3447752116189355</v>
      </c>
    </row>
    <row r="337" spans="1:3" x14ac:dyDescent="0.3">
      <c r="A337" s="5">
        <v>42369</v>
      </c>
      <c r="B337">
        <v>2.6391938645429658</v>
      </c>
      <c r="C337">
        <v>2.5793677788375993</v>
      </c>
    </row>
    <row r="338" spans="1:3" x14ac:dyDescent="0.3">
      <c r="A338" s="5">
        <v>42400</v>
      </c>
      <c r="B338">
        <v>1.5168708253144274</v>
      </c>
      <c r="C338">
        <v>0.70992572487725003</v>
      </c>
    </row>
    <row r="339" spans="1:3" x14ac:dyDescent="0.3">
      <c r="A339" s="5">
        <v>42429</v>
      </c>
      <c r="B339">
        <v>-0.34509827692481393</v>
      </c>
      <c r="C339">
        <v>-0.64278717622821868</v>
      </c>
    </row>
    <row r="340" spans="1:3" x14ac:dyDescent="0.3">
      <c r="A340" s="5">
        <v>42460</v>
      </c>
      <c r="B340">
        <v>3.0821021723174158</v>
      </c>
      <c r="C340">
        <v>-2.4139618002137602</v>
      </c>
    </row>
    <row r="341" spans="1:3" x14ac:dyDescent="0.3">
      <c r="A341" s="5">
        <v>42490</v>
      </c>
      <c r="B341">
        <v>0.82342114065619076</v>
      </c>
      <c r="C341">
        <v>-2.6014732996831458</v>
      </c>
    </row>
    <row r="342" spans="1:3" x14ac:dyDescent="0.3">
      <c r="A342" s="5">
        <v>42521</v>
      </c>
      <c r="B342">
        <v>0.25931102160411457</v>
      </c>
      <c r="C342">
        <v>2.2409466917658571</v>
      </c>
    </row>
    <row r="343" spans="1:3" x14ac:dyDescent="0.3">
      <c r="A343" s="5">
        <v>42551</v>
      </c>
      <c r="B343">
        <v>0.88148871529878003</v>
      </c>
      <c r="C343">
        <v>2.9016917144962076</v>
      </c>
    </row>
    <row r="344" spans="1:3" x14ac:dyDescent="0.3">
      <c r="A344" s="5">
        <v>42582</v>
      </c>
      <c r="B344">
        <v>-1.6830558223948042</v>
      </c>
      <c r="C344">
        <v>2.3345075406070315</v>
      </c>
    </row>
    <row r="345" spans="1:3" x14ac:dyDescent="0.3">
      <c r="A345" s="5">
        <v>42613</v>
      </c>
      <c r="B345">
        <v>1.7719376001654887</v>
      </c>
      <c r="C345">
        <v>-1.8359594199587423</v>
      </c>
    </row>
    <row r="346" spans="1:3" x14ac:dyDescent="0.3">
      <c r="A346" s="5">
        <v>42643</v>
      </c>
      <c r="B346">
        <v>2.273203466279953</v>
      </c>
      <c r="C346">
        <v>-0.15489783742058449</v>
      </c>
    </row>
    <row r="347" spans="1:3" x14ac:dyDescent="0.3">
      <c r="A347" s="5">
        <v>42674</v>
      </c>
      <c r="B347">
        <v>-1.7079006560766909</v>
      </c>
      <c r="C347">
        <v>1.0983102621699494</v>
      </c>
    </row>
    <row r="348" spans="1:3" x14ac:dyDescent="0.3">
      <c r="A348" s="5">
        <v>42704</v>
      </c>
      <c r="B348">
        <v>-0.35922020289464185</v>
      </c>
      <c r="C348">
        <v>-1.6283265761180679</v>
      </c>
    </row>
    <row r="349" spans="1:3" x14ac:dyDescent="0.3">
      <c r="A349" s="5">
        <v>42735</v>
      </c>
      <c r="B349">
        <v>-1.5553422105182007</v>
      </c>
      <c r="C349">
        <v>3.7517292162462592</v>
      </c>
    </row>
    <row r="350" spans="1:3" x14ac:dyDescent="0.3">
      <c r="A350" s="5">
        <v>42766</v>
      </c>
      <c r="B350">
        <v>5.783248335771245</v>
      </c>
      <c r="C350">
        <v>9.6083852808094117E-2</v>
      </c>
    </row>
    <row r="351" spans="1:3" x14ac:dyDescent="0.3">
      <c r="A351" s="5">
        <v>42794</v>
      </c>
      <c r="B351">
        <v>0.70658208365202524</v>
      </c>
      <c r="C351">
        <v>1.8978451553973721</v>
      </c>
    </row>
    <row r="352" spans="1:3" x14ac:dyDescent="0.3">
      <c r="A352" s="5">
        <v>42825</v>
      </c>
      <c r="B352">
        <v>-0.98346152320147939</v>
      </c>
      <c r="C352">
        <v>1.3265222448025742</v>
      </c>
    </row>
    <row r="353" spans="1:3" x14ac:dyDescent="0.3">
      <c r="A353" s="5">
        <v>42855</v>
      </c>
      <c r="B353">
        <v>1.8083880797123302</v>
      </c>
      <c r="C353">
        <v>2.0494414307027697</v>
      </c>
    </row>
    <row r="354" spans="1:3" x14ac:dyDescent="0.3">
      <c r="A354" s="5">
        <v>42886</v>
      </c>
      <c r="B354">
        <v>4.1165457639545764</v>
      </c>
      <c r="C354">
        <v>2.305770980420113</v>
      </c>
    </row>
    <row r="355" spans="1:3" x14ac:dyDescent="0.3">
      <c r="A355" s="5">
        <v>42916</v>
      </c>
      <c r="B355">
        <v>4.6552556974380668</v>
      </c>
      <c r="C355">
        <v>-2.2731924976398279E-2</v>
      </c>
    </row>
    <row r="356" spans="1:3" x14ac:dyDescent="0.3">
      <c r="A356" s="5">
        <v>42947</v>
      </c>
      <c r="B356">
        <v>3.6069132788115974</v>
      </c>
      <c r="C356">
        <v>0.18351440267914548</v>
      </c>
    </row>
    <row r="357" spans="1:3" x14ac:dyDescent="0.3">
      <c r="A357" s="5">
        <v>42978</v>
      </c>
      <c r="B357">
        <v>1.6904131428209619</v>
      </c>
      <c r="C357">
        <v>-0.17379730344343949</v>
      </c>
    </row>
    <row r="358" spans="1:3" x14ac:dyDescent="0.3">
      <c r="A358" s="5">
        <v>43008</v>
      </c>
      <c r="B358">
        <v>-9.3699355735668483E-2</v>
      </c>
      <c r="C358">
        <v>-0.18746657315337731</v>
      </c>
    </row>
    <row r="359" spans="1:3" x14ac:dyDescent="0.3">
      <c r="A359" s="5">
        <v>43039</v>
      </c>
      <c r="B359">
        <v>-1.4377575532315137</v>
      </c>
      <c r="C359">
        <v>0.21659905531438151</v>
      </c>
    </row>
    <row r="360" spans="1:3" x14ac:dyDescent="0.3">
      <c r="A360" s="5">
        <v>43069</v>
      </c>
      <c r="B360">
        <v>3.2275997372696965</v>
      </c>
      <c r="C360">
        <v>2.0037112473211862</v>
      </c>
    </row>
    <row r="361" spans="1:3" x14ac:dyDescent="0.3">
      <c r="A361" s="5">
        <v>43100</v>
      </c>
      <c r="B361">
        <v>0.38549934642790057</v>
      </c>
      <c r="C361">
        <v>0.46933891225811813</v>
      </c>
    </row>
    <row r="362" spans="1:3" x14ac:dyDescent="0.3">
      <c r="A362" s="5">
        <v>43131</v>
      </c>
      <c r="B362">
        <v>7.0075519191429434</v>
      </c>
      <c r="C362">
        <v>-4.8585318496888415E-2</v>
      </c>
    </row>
    <row r="363" spans="1:3" x14ac:dyDescent="0.3">
      <c r="A363" s="5">
        <v>43159</v>
      </c>
      <c r="B363">
        <v>0.40130699196404424</v>
      </c>
      <c r="C363">
        <v>-2.1328030736182053</v>
      </c>
    </row>
    <row r="364" spans="1:3" x14ac:dyDescent="0.3">
      <c r="A364" s="5">
        <v>43190</v>
      </c>
      <c r="B364">
        <v>0.18719130260577491</v>
      </c>
      <c r="C364">
        <v>2.471583363163222</v>
      </c>
    </row>
    <row r="365" spans="1:3" x14ac:dyDescent="0.3">
      <c r="A365" s="5">
        <v>43220</v>
      </c>
      <c r="B365">
        <v>-1.8407384986742139</v>
      </c>
      <c r="C365">
        <v>7.7902252062237748E-2</v>
      </c>
    </row>
    <row r="366" spans="1:3" x14ac:dyDescent="0.3">
      <c r="A366" s="5">
        <v>43251</v>
      </c>
      <c r="B366">
        <v>-1.3664853205095036</v>
      </c>
      <c r="C366">
        <v>0.61695105898659908</v>
      </c>
    </row>
    <row r="367" spans="1:3" x14ac:dyDescent="0.3">
      <c r="A367" s="5">
        <v>43281</v>
      </c>
      <c r="B367">
        <v>2.167036637020586</v>
      </c>
      <c r="C367">
        <v>2.3676033862092662</v>
      </c>
    </row>
    <row r="368" spans="1:3" x14ac:dyDescent="0.3">
      <c r="A368" s="5">
        <v>43312</v>
      </c>
      <c r="B368">
        <v>-0.76569551243423817</v>
      </c>
      <c r="C368">
        <v>-0.36900307850189518</v>
      </c>
    </row>
    <row r="369" spans="1:3" x14ac:dyDescent="0.3">
      <c r="A369" s="5">
        <v>43343</v>
      </c>
      <c r="B369">
        <v>-0.45448040814091334</v>
      </c>
      <c r="C369">
        <v>-1.2109261232722468</v>
      </c>
    </row>
    <row r="370" spans="1:3" x14ac:dyDescent="0.3">
      <c r="A370" s="5">
        <v>43373</v>
      </c>
      <c r="B370">
        <v>1.0425615202295488</v>
      </c>
      <c r="C370">
        <v>-0.62290897645416643</v>
      </c>
    </row>
    <row r="371" spans="1:3" x14ac:dyDescent="0.3">
      <c r="A371" s="5">
        <v>43404</v>
      </c>
      <c r="B371">
        <v>-1.9460653007572664</v>
      </c>
      <c r="C371">
        <v>2.110216925447634</v>
      </c>
    </row>
    <row r="372" spans="1:3" x14ac:dyDescent="0.3">
      <c r="A372" s="5">
        <v>43434</v>
      </c>
      <c r="B372">
        <v>1.7096186993456066</v>
      </c>
      <c r="C372">
        <v>-0.17333305159827878</v>
      </c>
    </row>
    <row r="373" spans="1:3" x14ac:dyDescent="0.3">
      <c r="A373" s="5">
        <v>43465</v>
      </c>
      <c r="B373">
        <v>2.7068789982491244</v>
      </c>
      <c r="C373">
        <v>-1.4210363378570972E-2</v>
      </c>
    </row>
    <row r="374" spans="1:3" x14ac:dyDescent="0.3">
      <c r="A374" s="5">
        <v>43496</v>
      </c>
      <c r="B374">
        <v>-3.4199909673207713</v>
      </c>
      <c r="C374">
        <v>-0.48145819001056039</v>
      </c>
    </row>
    <row r="375" spans="1:3" x14ac:dyDescent="0.3">
      <c r="A375" s="5">
        <v>43524</v>
      </c>
      <c r="B375">
        <v>-1.2459080620419469</v>
      </c>
      <c r="C375">
        <v>-4.1820245012480557E-2</v>
      </c>
    </row>
    <row r="376" spans="1:3" x14ac:dyDescent="0.3">
      <c r="A376" s="5">
        <v>43555</v>
      </c>
      <c r="B376">
        <v>0.3640892265727555</v>
      </c>
      <c r="C376">
        <v>0.21121082117007056</v>
      </c>
    </row>
    <row r="377" spans="1:3" x14ac:dyDescent="0.3">
      <c r="A377" s="5">
        <v>43585</v>
      </c>
      <c r="B377">
        <v>-3.9957727017151541</v>
      </c>
      <c r="C377">
        <v>-0.13959459610940989</v>
      </c>
    </row>
    <row r="378" spans="1:3" x14ac:dyDescent="0.3">
      <c r="A378" s="5">
        <v>43616</v>
      </c>
      <c r="B378">
        <v>3.5974598009164054</v>
      </c>
      <c r="C378">
        <v>4.2343265210963406</v>
      </c>
    </row>
    <row r="379" spans="1:3" x14ac:dyDescent="0.3">
      <c r="A379" s="5">
        <v>43646</v>
      </c>
      <c r="B379">
        <v>0.90853387681225395</v>
      </c>
      <c r="C379">
        <v>7.0092425495678776E-2</v>
      </c>
    </row>
    <row r="380" spans="1:3" x14ac:dyDescent="0.3">
      <c r="A380" s="5">
        <v>43677</v>
      </c>
      <c r="B380">
        <v>-0.78162687282599363</v>
      </c>
      <c r="C380">
        <v>2.1448965239888609</v>
      </c>
    </row>
    <row r="381" spans="1:3" x14ac:dyDescent="0.3">
      <c r="A381" s="5">
        <v>43708</v>
      </c>
      <c r="B381">
        <v>0.18491844962133544</v>
      </c>
      <c r="C381">
        <v>2.3633867406462166</v>
      </c>
    </row>
    <row r="382" spans="1:3" x14ac:dyDescent="0.3">
      <c r="A382" s="5">
        <v>43738</v>
      </c>
      <c r="B382">
        <v>-0.97942850871301346</v>
      </c>
      <c r="C382">
        <v>-1.1677257277208717</v>
      </c>
    </row>
    <row r="383" spans="1:3" x14ac:dyDescent="0.3">
      <c r="A383" s="5">
        <v>43769</v>
      </c>
      <c r="B383">
        <v>1.2361549053194774</v>
      </c>
      <c r="C383">
        <v>-0.36294435811082354</v>
      </c>
    </row>
    <row r="384" spans="1:3" x14ac:dyDescent="0.3">
      <c r="A384" s="5">
        <v>43799</v>
      </c>
      <c r="B384">
        <v>-2.7142403486206201</v>
      </c>
      <c r="C384">
        <v>-2.8269258479554531</v>
      </c>
    </row>
    <row r="385" spans="1:3" x14ac:dyDescent="0.3">
      <c r="A385" s="5">
        <v>43830</v>
      </c>
      <c r="B385">
        <v>3.1338890741300069</v>
      </c>
      <c r="C385">
        <v>-0.23752890047675762</v>
      </c>
    </row>
    <row r="386" spans="1:3" x14ac:dyDescent="0.3">
      <c r="A386" s="5">
        <v>43861</v>
      </c>
      <c r="B386">
        <v>4.1621610720037383</v>
      </c>
      <c r="C386">
        <v>4.1353566428223241</v>
      </c>
    </row>
    <row r="387" spans="1:3" x14ac:dyDescent="0.3">
      <c r="A387" s="5">
        <v>43890</v>
      </c>
      <c r="B387">
        <v>1.0668493899103004</v>
      </c>
      <c r="C387">
        <v>-3.6833578449356676</v>
      </c>
    </row>
    <row r="388" spans="1:3" x14ac:dyDescent="0.3">
      <c r="A388" s="5">
        <v>43921</v>
      </c>
      <c r="B388">
        <v>-2.2068617127202637</v>
      </c>
      <c r="C388">
        <v>-9.6401400098534644</v>
      </c>
    </row>
    <row r="389" spans="1:3" x14ac:dyDescent="0.3">
      <c r="A389" s="5">
        <v>43951</v>
      </c>
      <c r="B389">
        <v>-1.9350639314078297</v>
      </c>
      <c r="C389">
        <v>-1.6621773513839093</v>
      </c>
    </row>
    <row r="390" spans="1:3" x14ac:dyDescent="0.3">
      <c r="A390" s="5">
        <v>43982</v>
      </c>
      <c r="B390">
        <v>1.9179466086096459</v>
      </c>
      <c r="C390">
        <v>4.5227178750011161</v>
      </c>
    </row>
    <row r="391" spans="1:3" x14ac:dyDescent="0.3">
      <c r="A391" s="5">
        <v>44012</v>
      </c>
      <c r="B391">
        <v>4.2611946909870646</v>
      </c>
      <c r="C391">
        <v>5.0411689428845223</v>
      </c>
    </row>
    <row r="392" spans="1:3" x14ac:dyDescent="0.3">
      <c r="A392" s="5">
        <v>44043</v>
      </c>
      <c r="B392">
        <v>7.923326203305753</v>
      </c>
      <c r="C392">
        <v>6.4300218171051799</v>
      </c>
    </row>
    <row r="393" spans="1:3" x14ac:dyDescent="0.3">
      <c r="A393" s="5">
        <v>44074</v>
      </c>
      <c r="B393">
        <v>2.1584902698669612</v>
      </c>
      <c r="C393">
        <v>-3.9688695997639432</v>
      </c>
    </row>
    <row r="394" spans="1:3" x14ac:dyDescent="0.3">
      <c r="A394" s="5">
        <v>44104</v>
      </c>
      <c r="B394">
        <v>1.6790985744714901</v>
      </c>
      <c r="C394">
        <v>1.2316229085421193</v>
      </c>
    </row>
    <row r="395" spans="1:3" x14ac:dyDescent="0.3">
      <c r="A395" s="5">
        <v>44135</v>
      </c>
      <c r="B395">
        <v>3.0060126556840538</v>
      </c>
      <c r="C395">
        <v>-1.9685415314287344</v>
      </c>
    </row>
    <row r="396" spans="1:3" x14ac:dyDescent="0.3">
      <c r="A396" s="5">
        <v>44165</v>
      </c>
      <c r="B396">
        <v>-8.4154985714198105</v>
      </c>
      <c r="C396">
        <v>-5.2271624275265065</v>
      </c>
    </row>
    <row r="397" spans="1:3" x14ac:dyDescent="0.3">
      <c r="A397" s="5">
        <v>44196</v>
      </c>
      <c r="B397">
        <v>4.6661682312975401</v>
      </c>
      <c r="C397">
        <v>5.41211182716079</v>
      </c>
    </row>
    <row r="398" spans="1:3" x14ac:dyDescent="0.3">
      <c r="A398" s="5">
        <v>44227</v>
      </c>
      <c r="B398">
        <v>7.8527174772281052</v>
      </c>
      <c r="C398">
        <v>10.523156066799052</v>
      </c>
    </row>
    <row r="399" spans="1:3" x14ac:dyDescent="0.3">
      <c r="A399" s="5">
        <v>44255</v>
      </c>
      <c r="B399">
        <v>4.5611864308253054</v>
      </c>
      <c r="C399">
        <v>-2.0195002063600884</v>
      </c>
    </row>
    <row r="400" spans="1:3" x14ac:dyDescent="0.3">
      <c r="A400" s="5">
        <v>44286</v>
      </c>
      <c r="B400">
        <v>7.4948500723166778E-2</v>
      </c>
      <c r="C400">
        <v>-2.9909836316414911</v>
      </c>
    </row>
    <row r="401" spans="1:3" x14ac:dyDescent="0.3">
      <c r="A401" s="5">
        <v>44316</v>
      </c>
      <c r="B401">
        <v>5.2755384741135254</v>
      </c>
      <c r="C401">
        <v>0.37313587595883363</v>
      </c>
    </row>
    <row r="402" spans="1:3" x14ac:dyDescent="0.3">
      <c r="A402" s="5">
        <v>44347</v>
      </c>
      <c r="B402">
        <v>3.2847203161338232</v>
      </c>
      <c r="C402">
        <v>-0.69286198441849622</v>
      </c>
    </row>
    <row r="403" spans="1:3" x14ac:dyDescent="0.3">
      <c r="A403" s="5">
        <v>44377</v>
      </c>
      <c r="B403">
        <v>1.5475001177140626</v>
      </c>
      <c r="C403">
        <v>0.2032309538371124</v>
      </c>
    </row>
    <row r="404" spans="1:3" x14ac:dyDescent="0.3">
      <c r="A404" s="5">
        <v>44408</v>
      </c>
      <c r="B404">
        <v>0.46846658312552703</v>
      </c>
      <c r="C404">
        <v>3.8006437702938913</v>
      </c>
    </row>
    <row r="405" spans="1:3" x14ac:dyDescent="0.3">
      <c r="A405" s="5">
        <v>44439</v>
      </c>
      <c r="B405">
        <v>2.0341748796555059</v>
      </c>
      <c r="C405">
        <v>0.41489624670030412</v>
      </c>
    </row>
    <row r="406" spans="1:3" x14ac:dyDescent="0.3">
      <c r="A406" s="5">
        <v>44469</v>
      </c>
      <c r="B406">
        <v>-0.23146161784855757</v>
      </c>
      <c r="C406">
        <v>-2.3056244878852841</v>
      </c>
    </row>
    <row r="407" spans="1:3" x14ac:dyDescent="0.3">
      <c r="A407" s="5">
        <v>44500</v>
      </c>
      <c r="B407">
        <v>-0.27601158257450725</v>
      </c>
      <c r="C407">
        <v>1.251204704631051</v>
      </c>
    </row>
    <row r="408" spans="1:3" x14ac:dyDescent="0.3">
      <c r="A408" s="5">
        <v>44530</v>
      </c>
      <c r="B408">
        <v>1.0626182204231183</v>
      </c>
      <c r="C408">
        <v>0.59660465253928696</v>
      </c>
    </row>
    <row r="409" spans="1:3" x14ac:dyDescent="0.3">
      <c r="A409" s="5">
        <v>44561</v>
      </c>
      <c r="B409">
        <v>-0.2064327345083731</v>
      </c>
      <c r="C409">
        <v>3.538981732969579</v>
      </c>
    </row>
    <row r="410" spans="1:3" x14ac:dyDescent="0.3">
      <c r="A410" s="5">
        <v>44592</v>
      </c>
      <c r="B410">
        <v>0.8641370495537769</v>
      </c>
      <c r="C410">
        <v>-0.41302134164124726</v>
      </c>
    </row>
    <row r="411" spans="1:3" x14ac:dyDescent="0.3">
      <c r="A411" s="5">
        <v>44620</v>
      </c>
      <c r="B411">
        <v>-0.29460949741582654</v>
      </c>
      <c r="C411">
        <v>-1.9777995105651929</v>
      </c>
    </row>
    <row r="412" spans="1:3" x14ac:dyDescent="0.3">
      <c r="A412" s="5">
        <v>44651</v>
      </c>
      <c r="B412">
        <v>0.71510331315320741</v>
      </c>
      <c r="C412">
        <v>1.9040185287921501</v>
      </c>
    </row>
    <row r="413" spans="1:3" x14ac:dyDescent="0.3">
      <c r="A413" s="5">
        <v>44681</v>
      </c>
      <c r="B413">
        <v>-5.8103931933565361E-2</v>
      </c>
      <c r="C413">
        <v>1.5035128918822669</v>
      </c>
    </row>
    <row r="414" spans="1:3" x14ac:dyDescent="0.3">
      <c r="A414" s="5">
        <v>44712</v>
      </c>
      <c r="B414">
        <v>5.5189198919371053E-2</v>
      </c>
      <c r="C414">
        <v>5.4422999087463668E-2</v>
      </c>
    </row>
    <row r="415" spans="1:3" x14ac:dyDescent="0.3">
      <c r="A415" s="5">
        <v>44742</v>
      </c>
      <c r="B415">
        <v>3.6464903491083502</v>
      </c>
      <c r="C415">
        <v>1.9843539562789896</v>
      </c>
    </row>
    <row r="416" spans="1:3" x14ac:dyDescent="0.3">
      <c r="A416" s="5">
        <v>44773</v>
      </c>
      <c r="B416">
        <v>-5.975657669539018</v>
      </c>
      <c r="C416">
        <v>-2.4600620131656195</v>
      </c>
    </row>
    <row r="417" spans="1:3" x14ac:dyDescent="0.3">
      <c r="A417" s="5">
        <v>44804</v>
      </c>
      <c r="B417">
        <v>2.4548113513355463</v>
      </c>
      <c r="C417">
        <v>-1.7998967716634107</v>
      </c>
    </row>
    <row r="418" spans="1:3" x14ac:dyDescent="0.3">
      <c r="A418" s="5">
        <v>44834</v>
      </c>
      <c r="B418">
        <v>-0.25319727218466087</v>
      </c>
      <c r="C418">
        <v>-1.200681120331794</v>
      </c>
    </row>
    <row r="419" spans="1:3" x14ac:dyDescent="0.3">
      <c r="A419" s="5">
        <v>44865</v>
      </c>
      <c r="B419">
        <v>-3.5145603788291999</v>
      </c>
      <c r="C419">
        <v>2.2303571566689122</v>
      </c>
    </row>
    <row r="420" spans="1:3" x14ac:dyDescent="0.3">
      <c r="A420" s="5">
        <v>44895</v>
      </c>
      <c r="B420">
        <v>0.39027505418596647</v>
      </c>
      <c r="C420">
        <v>0.66754426078818119</v>
      </c>
    </row>
    <row r="421" spans="1:3" x14ac:dyDescent="0.3">
      <c r="A421" s="5">
        <v>44926</v>
      </c>
      <c r="B421">
        <v>3.5844308732321681</v>
      </c>
      <c r="C421">
        <v>-0.45107072788704539</v>
      </c>
    </row>
    <row r="422" spans="1:3" x14ac:dyDescent="0.3">
      <c r="A422" s="5">
        <v>44957</v>
      </c>
      <c r="B422">
        <v>-3.7155234767411991</v>
      </c>
      <c r="C422">
        <v>-4.5566621523499222</v>
      </c>
    </row>
    <row r="423" spans="1:3" x14ac:dyDescent="0.3">
      <c r="A423" s="5">
        <v>44985</v>
      </c>
      <c r="B423">
        <v>-2.7611025713677093</v>
      </c>
      <c r="C423">
        <v>0.74273480089672894</v>
      </c>
    </row>
    <row r="424" spans="1:3" x14ac:dyDescent="0.3">
      <c r="A424" s="5">
        <v>45016</v>
      </c>
      <c r="B424">
        <v>1.0516325134945037</v>
      </c>
      <c r="C424">
        <v>-2.3808075835105624</v>
      </c>
    </row>
    <row r="425" spans="1:3" x14ac:dyDescent="0.3">
      <c r="A425" s="5">
        <v>45046</v>
      </c>
      <c r="B425">
        <v>-0.85436761219637758</v>
      </c>
      <c r="C425">
        <v>6.2284262891372399E-2</v>
      </c>
    </row>
    <row r="426" spans="1:3" x14ac:dyDescent="0.3">
      <c r="A426" s="5">
        <v>45077</v>
      </c>
      <c r="B426">
        <v>-1.6933137420246331</v>
      </c>
      <c r="C426">
        <v>-5.3503883871758768</v>
      </c>
    </row>
    <row r="427" spans="1:3" x14ac:dyDescent="0.3">
      <c r="A427" s="5">
        <v>45107</v>
      </c>
      <c r="B427">
        <v>0.28543533282223865</v>
      </c>
      <c r="C427">
        <v>-0.90549479015558032</v>
      </c>
    </row>
    <row r="428" spans="1:3" x14ac:dyDescent="0.3">
      <c r="A428" s="5">
        <v>45138</v>
      </c>
      <c r="B428">
        <v>1.408041331404021</v>
      </c>
      <c r="C428">
        <v>-0.76906303487687178</v>
      </c>
    </row>
    <row r="429" spans="1:3" x14ac:dyDescent="0.3">
      <c r="A429" s="5">
        <v>45169</v>
      </c>
      <c r="B429">
        <v>-0.53563171244156127</v>
      </c>
      <c r="C429">
        <v>1.6205828726040923</v>
      </c>
    </row>
    <row r="430" spans="1:3" x14ac:dyDescent="0.3">
      <c r="A430" s="5">
        <v>45199</v>
      </c>
      <c r="B430">
        <v>-0.28333693051676201</v>
      </c>
      <c r="C430">
        <v>1.0650279559483309</v>
      </c>
    </row>
    <row r="431" spans="1:3" x14ac:dyDescent="0.3">
      <c r="A431" s="5">
        <v>45230</v>
      </c>
      <c r="B431">
        <v>0.94804678499740214</v>
      </c>
      <c r="C431">
        <v>3.6118056316283185</v>
      </c>
    </row>
    <row r="432" spans="1:3" x14ac:dyDescent="0.3">
      <c r="A432" s="5">
        <v>45260</v>
      </c>
      <c r="B432">
        <v>-2.2333224683930153</v>
      </c>
      <c r="C432">
        <v>-0.73873831482736285</v>
      </c>
    </row>
    <row r="433" spans="1:3" x14ac:dyDescent="0.3">
      <c r="A433" s="5">
        <v>45291</v>
      </c>
      <c r="B433">
        <v>-1.458819358989901</v>
      </c>
      <c r="C433">
        <v>-2.1274733096371241</v>
      </c>
    </row>
    <row r="434" spans="1:3" x14ac:dyDescent="0.3">
      <c r="A434" s="5">
        <v>45322</v>
      </c>
      <c r="B434">
        <v>-3.7273498343968516E-2</v>
      </c>
      <c r="C434">
        <v>1.3146551630104242</v>
      </c>
    </row>
    <row r="435" spans="1:3" x14ac:dyDescent="0.3">
      <c r="A435" s="5">
        <v>45351</v>
      </c>
      <c r="B435">
        <v>-0.70892898533004745</v>
      </c>
      <c r="C435">
        <v>-1.2620609082025371</v>
      </c>
    </row>
    <row r="436" spans="1:3" x14ac:dyDescent="0.3">
      <c r="A436" s="5">
        <v>45382</v>
      </c>
      <c r="B436">
        <v>-2.3493784988556587</v>
      </c>
      <c r="C436">
        <v>1.8358603258097048</v>
      </c>
    </row>
    <row r="437" spans="1:3" x14ac:dyDescent="0.3">
      <c r="A437" s="5">
        <v>45412</v>
      </c>
      <c r="B437">
        <v>0.98186982434045122</v>
      </c>
      <c r="C437">
        <v>1.6181020110442246</v>
      </c>
    </row>
    <row r="438" spans="1:3" x14ac:dyDescent="0.3">
      <c r="A438" s="5">
        <v>45443</v>
      </c>
      <c r="B438">
        <v>-0.22075063707270676</v>
      </c>
      <c r="C438">
        <v>0.84154173976485025</v>
      </c>
    </row>
    <row r="439" spans="1:3" x14ac:dyDescent="0.3">
      <c r="A439" s="5">
        <v>45473</v>
      </c>
      <c r="B439">
        <v>1.6685733869350434</v>
      </c>
      <c r="C439">
        <v>0.20546808738264055</v>
      </c>
    </row>
    <row r="440" spans="1:3" x14ac:dyDescent="0.3">
      <c r="A440" s="5">
        <v>45504</v>
      </c>
      <c r="B440">
        <v>0.43393291413127077</v>
      </c>
      <c r="C440">
        <v>1.8993190365394996</v>
      </c>
    </row>
    <row r="441" spans="1:3" x14ac:dyDescent="0.3">
      <c r="A441" s="5">
        <v>45535</v>
      </c>
      <c r="B441">
        <v>3.2502511209303848</v>
      </c>
      <c r="C441">
        <v>2.7230175786224007</v>
      </c>
    </row>
    <row r="442" spans="1:3" x14ac:dyDescent="0.3">
      <c r="A442" s="5">
        <v>45565</v>
      </c>
      <c r="B442">
        <v>1.3297067881523832</v>
      </c>
      <c r="C442">
        <v>7.286962138938903E-2</v>
      </c>
    </row>
    <row r="443" spans="1:3" x14ac:dyDescent="0.3">
      <c r="A443" s="5">
        <v>45596</v>
      </c>
      <c r="B443">
        <v>-0.29641913542159115</v>
      </c>
      <c r="C443">
        <v>-0.70989804137745294</v>
      </c>
    </row>
    <row r="444" spans="1:3" x14ac:dyDescent="0.3">
      <c r="A444" s="5">
        <v>45626</v>
      </c>
      <c r="B444">
        <v>-1.0776356240552343</v>
      </c>
      <c r="C444">
        <v>3.8967666324216742E-2</v>
      </c>
    </row>
    <row r="445" spans="1:3" x14ac:dyDescent="0.3">
      <c r="A445" s="5">
        <v>45657</v>
      </c>
      <c r="B445">
        <v>-0.87608139937106877</v>
      </c>
      <c r="C445">
        <v>-1.3516570681625657</v>
      </c>
    </row>
    <row r="446" spans="1:3" x14ac:dyDescent="0.3">
      <c r="A446" s="5">
        <v>45688</v>
      </c>
      <c r="B446">
        <v>0.3540280880155563</v>
      </c>
      <c r="C446">
        <v>0.14108078754545933</v>
      </c>
    </row>
    <row r="447" spans="1:3" x14ac:dyDescent="0.3">
      <c r="A447" s="5">
        <v>45716</v>
      </c>
      <c r="B447">
        <v>-0.51381269523567241</v>
      </c>
      <c r="C447">
        <v>3.8017832283232855</v>
      </c>
    </row>
    <row r="448" spans="1:3" x14ac:dyDescent="0.3">
      <c r="A448" s="5">
        <v>45747</v>
      </c>
      <c r="B448">
        <v>2.9476845712107633</v>
      </c>
      <c r="C448">
        <v>2.1972660887848878</v>
      </c>
    </row>
    <row r="449" spans="1:4" x14ac:dyDescent="0.3">
      <c r="A449" s="5">
        <v>45777</v>
      </c>
      <c r="B449">
        <v>4.5397398848645869</v>
      </c>
      <c r="C449">
        <v>-3.0843627184860547</v>
      </c>
    </row>
    <row r="450" spans="1:4" x14ac:dyDescent="0.3">
      <c r="A450" s="5">
        <v>45808</v>
      </c>
      <c r="B450">
        <v>-1.7847210282419583</v>
      </c>
      <c r="C450">
        <v>-1.910718009290967</v>
      </c>
    </row>
    <row r="451" spans="1:4" x14ac:dyDescent="0.3">
      <c r="A451" s="5">
        <v>45838</v>
      </c>
      <c r="B451">
        <v>3.6561407754130304</v>
      </c>
      <c r="C451">
        <v>-2.5139820250710105</v>
      </c>
    </row>
    <row r="452" spans="1:4" x14ac:dyDescent="0.3">
      <c r="A452" s="5">
        <v>45869</v>
      </c>
      <c r="B452">
        <v>-0.49473349949244061</v>
      </c>
      <c r="C452">
        <v>-1.3086297539862295</v>
      </c>
    </row>
    <row r="453" spans="1:4" x14ac:dyDescent="0.3">
      <c r="A453" s="5">
        <v>45900</v>
      </c>
      <c r="B453">
        <v>4.055901948299959</v>
      </c>
      <c r="C453">
        <v>1.6910460960797629</v>
      </c>
    </row>
    <row r="454" spans="1:4" x14ac:dyDescent="0.3">
      <c r="A454" s="5">
        <v>45930</v>
      </c>
      <c r="B454">
        <v>1.1316123182286095</v>
      </c>
      <c r="C454">
        <v>-1.994714047629695</v>
      </c>
    </row>
    <row r="455" spans="1:4" x14ac:dyDescent="0.3">
      <c r="A455" s="5">
        <v>45961</v>
      </c>
      <c r="B455">
        <v>-1.7985883104206738E-2</v>
      </c>
      <c r="C455">
        <v>-4.3761009667427651</v>
      </c>
    </row>
    <row r="456" spans="1:4" x14ac:dyDescent="0.3">
      <c r="A456" s="5">
        <v>45991</v>
      </c>
      <c r="B456">
        <v>-0.1507077909796522</v>
      </c>
      <c r="C456">
        <v>4.1919038812707594</v>
      </c>
    </row>
    <row r="457" spans="1:4" x14ac:dyDescent="0.3">
      <c r="A457" s="5">
        <v>46022</v>
      </c>
      <c r="B457">
        <v>0.26159498558824373</v>
      </c>
      <c r="C457">
        <v>0.61270634694923842</v>
      </c>
    </row>
    <row r="458" spans="1:4" x14ac:dyDescent="0.3">
      <c r="D458" s="5"/>
    </row>
  </sheetData>
  <hyperlinks>
    <hyperlink ref="B5" r:id="rId1" display="https://www.aqr.com/Insights/Datasets/Betting-Against-Beta-Equity-Factors-Monthly" xr:uid="{BD63C7F7-5374-4B09-BA1C-9A8A5EDEE681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CF0AC9-3603-41EF-8022-BD1686A5156A}">
  <dimension ref="A1:P398"/>
  <sheetViews>
    <sheetView workbookViewId="0">
      <selection activeCell="F16" sqref="F16"/>
    </sheetView>
  </sheetViews>
  <sheetFormatPr defaultRowHeight="14.4" x14ac:dyDescent="0.3"/>
  <sheetData>
    <row r="1" spans="1:16" x14ac:dyDescent="0.3">
      <c r="A1" t="s">
        <v>43</v>
      </c>
      <c r="H1" s="7" t="s">
        <v>44</v>
      </c>
    </row>
    <row r="2" spans="1:16" x14ac:dyDescent="0.3">
      <c r="A2" t="s">
        <v>45</v>
      </c>
    </row>
    <row r="3" spans="1:16" x14ac:dyDescent="0.3">
      <c r="A3" t="s">
        <v>46</v>
      </c>
    </row>
    <row r="4" spans="1:16" x14ac:dyDescent="0.3">
      <c r="A4" t="s">
        <v>47</v>
      </c>
    </row>
    <row r="5" spans="1:16" x14ac:dyDescent="0.3">
      <c r="A5" t="s">
        <v>48</v>
      </c>
      <c r="H5" s="7" t="s">
        <v>49</v>
      </c>
    </row>
    <row r="6" spans="1:16" x14ac:dyDescent="0.3">
      <c r="A6" t="s">
        <v>50</v>
      </c>
    </row>
    <row r="7" spans="1:16" x14ac:dyDescent="0.3">
      <c r="A7" s="7" t="s">
        <v>51</v>
      </c>
    </row>
    <row r="9" spans="1:16" x14ac:dyDescent="0.3">
      <c r="A9" s="8" t="s">
        <v>52</v>
      </c>
    </row>
    <row r="10" spans="1:16" x14ac:dyDescent="0.3">
      <c r="A10" s="8" t="s">
        <v>53</v>
      </c>
    </row>
    <row r="11" spans="1:16" x14ac:dyDescent="0.3">
      <c r="A11" s="8" t="s">
        <v>54</v>
      </c>
    </row>
    <row r="12" spans="1:16" x14ac:dyDescent="0.3">
      <c r="A12" s="8" t="s">
        <v>55</v>
      </c>
    </row>
    <row r="13" spans="1:16" x14ac:dyDescent="0.3">
      <c r="A13" s="8" t="s">
        <v>56</v>
      </c>
    </row>
    <row r="14" spans="1:16" x14ac:dyDescent="0.3">
      <c r="A14" s="8"/>
    </row>
    <row r="15" spans="1:16" x14ac:dyDescent="0.3">
      <c r="A15" t="s">
        <v>57</v>
      </c>
      <c r="B15" t="s">
        <v>58</v>
      </c>
      <c r="C15" t="s">
        <v>59</v>
      </c>
      <c r="D15" t="s">
        <v>60</v>
      </c>
      <c r="E15" t="s">
        <v>61</v>
      </c>
      <c r="F15" t="s">
        <v>62</v>
      </c>
    </row>
    <row r="16" spans="1:16" x14ac:dyDescent="0.3">
      <c r="A16">
        <v>199401</v>
      </c>
      <c r="B16" s="9">
        <v>-0.1323</v>
      </c>
      <c r="C16" s="9">
        <v>-0.30130000000000001</v>
      </c>
      <c r="D16" s="9">
        <v>-0.22189999999999999</v>
      </c>
      <c r="E16" s="9">
        <v>-6.4799999999999996E-2</v>
      </c>
      <c r="F16" s="9">
        <v>8.5199999999999998E-2</v>
      </c>
      <c r="L16" s="10"/>
      <c r="M16" s="10"/>
      <c r="N16" s="10"/>
      <c r="O16" s="10"/>
      <c r="P16" s="10"/>
    </row>
    <row r="17" spans="1:16" x14ac:dyDescent="0.3">
      <c r="A17">
        <v>199402</v>
      </c>
      <c r="B17" s="9">
        <v>0.45860000000000001</v>
      </c>
      <c r="C17" s="9">
        <v>0.13569999999999999</v>
      </c>
      <c r="D17" s="9">
        <v>-0.1371</v>
      </c>
      <c r="E17" s="9">
        <v>0.1477</v>
      </c>
      <c r="F17" s="9">
        <v>-0.1275</v>
      </c>
      <c r="L17" s="10"/>
      <c r="M17" s="10"/>
      <c r="N17" s="10"/>
      <c r="O17" s="10"/>
      <c r="P17" s="10"/>
    </row>
    <row r="18" spans="1:16" x14ac:dyDescent="0.3">
      <c r="A18">
        <v>199403</v>
      </c>
      <c r="B18" s="9">
        <v>0.36170000000000002</v>
      </c>
      <c r="C18" s="9">
        <v>-0.1103</v>
      </c>
      <c r="D18" s="9">
        <v>2.5399999999999999E-2</v>
      </c>
      <c r="E18" s="9">
        <v>3.3700000000000001E-2</v>
      </c>
      <c r="F18" s="9">
        <v>-2.1600000000000001E-2</v>
      </c>
      <c r="L18" s="10"/>
      <c r="M18" s="10"/>
      <c r="N18" s="10"/>
      <c r="O18" s="10"/>
      <c r="P18" s="10"/>
    </row>
    <row r="19" spans="1:16" x14ac:dyDescent="0.3">
      <c r="A19">
        <v>199404</v>
      </c>
      <c r="B19" s="9">
        <v>0.113</v>
      </c>
      <c r="C19" s="9">
        <v>-7.6499999999999999E-2</v>
      </c>
      <c r="D19" s="9">
        <v>4.7999999999999996E-3</v>
      </c>
      <c r="E19" s="9">
        <v>6.4999999999999997E-3</v>
      </c>
      <c r="F19" s="9">
        <v>-0.21990000000000001</v>
      </c>
      <c r="L19" s="10"/>
      <c r="M19" s="10"/>
      <c r="N19" s="10"/>
      <c r="O19" s="10"/>
      <c r="P19" s="10"/>
    </row>
    <row r="20" spans="1:16" x14ac:dyDescent="0.3">
      <c r="A20">
        <v>199405</v>
      </c>
      <c r="B20" s="9">
        <v>5.96E-2</v>
      </c>
      <c r="C20" s="9">
        <v>-0.29210000000000003</v>
      </c>
      <c r="D20" s="9">
        <v>-2.81E-2</v>
      </c>
      <c r="E20" s="9">
        <v>3.3799999999999997E-2</v>
      </c>
      <c r="F20" s="9">
        <v>-2.4400000000000002E-2</v>
      </c>
      <c r="L20" s="10"/>
      <c r="M20" s="10"/>
      <c r="N20" s="10"/>
      <c r="O20" s="10"/>
      <c r="P20" s="10"/>
    </row>
    <row r="21" spans="1:16" x14ac:dyDescent="0.3">
      <c r="A21">
        <v>199406</v>
      </c>
      <c r="B21" s="9">
        <v>0.2009</v>
      </c>
      <c r="C21" s="9">
        <v>0.28029999999999999</v>
      </c>
      <c r="D21" s="9">
        <v>-7.5999999999999998E-2</v>
      </c>
      <c r="E21" s="9">
        <v>0.15620000000000001</v>
      </c>
      <c r="F21" s="9">
        <v>3.09E-2</v>
      </c>
      <c r="L21" s="10"/>
      <c r="M21" s="10"/>
      <c r="N21" s="10"/>
      <c r="O21" s="10"/>
      <c r="P21" s="10"/>
    </row>
    <row r="22" spans="1:16" x14ac:dyDescent="0.3">
      <c r="A22">
        <v>199407</v>
      </c>
      <c r="B22" s="9">
        <v>-0.1971</v>
      </c>
      <c r="C22" s="9">
        <v>-5.8299999999999998E-2</v>
      </c>
      <c r="D22" s="9">
        <v>-5.5199999999999999E-2</v>
      </c>
      <c r="E22" s="9">
        <v>8.6999999999999994E-3</v>
      </c>
      <c r="F22" s="9">
        <v>-0.17749999999999999</v>
      </c>
      <c r="L22" s="10"/>
      <c r="M22" s="10"/>
      <c r="N22" s="10"/>
      <c r="O22" s="10"/>
      <c r="P22" s="10"/>
    </row>
    <row r="23" spans="1:16" x14ac:dyDescent="0.3">
      <c r="A23">
        <v>199408</v>
      </c>
      <c r="B23" s="9">
        <v>-9.4799999999999995E-2</v>
      </c>
      <c r="C23" s="9">
        <v>-0.14299999999999999</v>
      </c>
      <c r="D23" s="9">
        <v>-0.1079</v>
      </c>
      <c r="E23" s="9">
        <v>-0.14149999999999999</v>
      </c>
      <c r="F23" s="9">
        <v>1.7100000000000001E-2</v>
      </c>
      <c r="L23" s="10"/>
      <c r="M23" s="10"/>
      <c r="N23" s="10"/>
      <c r="O23" s="10"/>
      <c r="P23" s="10"/>
    </row>
    <row r="24" spans="1:16" x14ac:dyDescent="0.3">
      <c r="A24">
        <v>199409</v>
      </c>
      <c r="B24" s="9">
        <v>0.11260000000000001</v>
      </c>
      <c r="C24" s="9">
        <v>-5.2600000000000001E-2</v>
      </c>
      <c r="D24" s="9">
        <v>1.14E-2</v>
      </c>
      <c r="E24" s="9">
        <v>-0.12620000000000001</v>
      </c>
      <c r="F24" s="9">
        <v>-6.0600000000000001E-2</v>
      </c>
      <c r="L24" s="10"/>
      <c r="M24" s="10"/>
      <c r="N24" s="10"/>
      <c r="O24" s="10"/>
      <c r="P24" s="10"/>
    </row>
    <row r="25" spans="1:16" x14ac:dyDescent="0.3">
      <c r="A25">
        <v>199410</v>
      </c>
      <c r="B25" s="9">
        <v>-0.12970000000000001</v>
      </c>
      <c r="C25" s="9">
        <v>4.3999999999999997E-2</v>
      </c>
      <c r="D25" s="9">
        <v>-9.3100000000000002E-2</v>
      </c>
      <c r="E25" s="9">
        <v>-0.14680000000000001</v>
      </c>
      <c r="F25" s="9">
        <v>-0.15390000000000001</v>
      </c>
      <c r="L25" s="10"/>
      <c r="M25" s="10"/>
      <c r="N25" s="10"/>
      <c r="O25" s="10"/>
      <c r="P25" s="10"/>
    </row>
    <row r="26" spans="1:16" x14ac:dyDescent="0.3">
      <c r="A26">
        <v>199411</v>
      </c>
      <c r="B26" s="9">
        <v>-0.14779999999999999</v>
      </c>
      <c r="C26" s="9">
        <v>-0.22589999999999999</v>
      </c>
      <c r="D26" s="9">
        <v>-0.1022</v>
      </c>
      <c r="E26" s="9">
        <v>0.19309999999999999</v>
      </c>
      <c r="F26" s="9">
        <v>1.2E-2</v>
      </c>
      <c r="L26" s="10"/>
      <c r="M26" s="10"/>
      <c r="N26" s="10"/>
      <c r="O26" s="10"/>
      <c r="P26" s="10"/>
    </row>
    <row r="27" spans="1:16" x14ac:dyDescent="0.3">
      <c r="A27">
        <v>199412</v>
      </c>
      <c r="B27" s="9">
        <v>-6.3100000000000003E-2</v>
      </c>
      <c r="C27" s="9">
        <v>-0.15840000000000001</v>
      </c>
      <c r="D27" s="9">
        <v>-0.1202</v>
      </c>
      <c r="E27" s="9">
        <v>0.2424</v>
      </c>
      <c r="F27" s="9">
        <v>-6.8400000000000002E-2</v>
      </c>
      <c r="L27" s="10"/>
      <c r="M27" s="10"/>
      <c r="N27" s="10"/>
      <c r="O27" s="10"/>
      <c r="P27" s="10"/>
    </row>
    <row r="28" spans="1:16" x14ac:dyDescent="0.3">
      <c r="A28">
        <v>199501</v>
      </c>
      <c r="B28" s="9">
        <v>-0.187</v>
      </c>
      <c r="C28" s="9">
        <v>-0.1157</v>
      </c>
      <c r="D28" s="9">
        <v>-4.19E-2</v>
      </c>
      <c r="E28" s="9">
        <v>-5.04E-2</v>
      </c>
      <c r="F28" s="9">
        <v>-6.4500000000000002E-2</v>
      </c>
      <c r="L28" s="10"/>
      <c r="M28" s="10"/>
      <c r="N28" s="10"/>
      <c r="O28" s="10"/>
      <c r="P28" s="10"/>
    </row>
    <row r="29" spans="1:16" x14ac:dyDescent="0.3">
      <c r="A29">
        <v>199502</v>
      </c>
      <c r="B29" s="9">
        <v>-5.4800000000000001E-2</v>
      </c>
      <c r="C29" s="9">
        <v>0.1268</v>
      </c>
      <c r="D29" s="9">
        <v>-0.10680000000000001</v>
      </c>
      <c r="E29" s="9">
        <v>0.17960000000000001</v>
      </c>
      <c r="F29" s="9">
        <v>3.1800000000000002E-2</v>
      </c>
      <c r="L29" s="10"/>
      <c r="M29" s="10"/>
      <c r="N29" s="10"/>
      <c r="O29" s="10"/>
      <c r="P29" s="10"/>
    </row>
    <row r="30" spans="1:16" x14ac:dyDescent="0.3">
      <c r="A30">
        <v>199503</v>
      </c>
      <c r="B30" s="9">
        <v>5.5599999999999997E-2</v>
      </c>
      <c r="C30" s="9">
        <v>0.90269999999999995</v>
      </c>
      <c r="D30" s="9">
        <v>0.2349</v>
      </c>
      <c r="E30" s="9">
        <v>0.50890000000000002</v>
      </c>
      <c r="F30" s="9">
        <v>3.5900000000000001E-2</v>
      </c>
      <c r="L30" s="10"/>
      <c r="M30" s="10"/>
      <c r="N30" s="10"/>
      <c r="O30" s="10"/>
      <c r="P30" s="10"/>
    </row>
    <row r="31" spans="1:16" x14ac:dyDescent="0.3">
      <c r="A31">
        <v>199504</v>
      </c>
      <c r="B31" s="9">
        <v>-0.12759999999999999</v>
      </c>
      <c r="C31" s="9">
        <v>-0.12659999999999999</v>
      </c>
      <c r="D31" s="9">
        <v>5.3699999999999998E-2</v>
      </c>
      <c r="E31" s="9">
        <v>5.9299999999999999E-2</v>
      </c>
      <c r="F31" s="9">
        <v>-2.9899999999999999E-2</v>
      </c>
      <c r="L31" s="10"/>
      <c r="M31" s="10"/>
      <c r="N31" s="10"/>
      <c r="O31" s="10"/>
      <c r="P31" s="10"/>
    </row>
    <row r="32" spans="1:16" x14ac:dyDescent="0.3">
      <c r="A32">
        <v>199505</v>
      </c>
      <c r="B32" s="9">
        <v>0.42480000000000001</v>
      </c>
      <c r="C32" s="9">
        <v>-0.1444</v>
      </c>
      <c r="D32" s="9">
        <v>-9.9900000000000003E-2</v>
      </c>
      <c r="E32" s="9">
        <v>0.32229999999999998</v>
      </c>
      <c r="F32" s="9">
        <v>1.3899999999999999E-2</v>
      </c>
      <c r="L32" s="10"/>
      <c r="M32" s="10"/>
      <c r="N32" s="10"/>
      <c r="O32" s="10"/>
      <c r="P32" s="10"/>
    </row>
    <row r="33" spans="1:16" x14ac:dyDescent="0.3">
      <c r="A33">
        <v>199506</v>
      </c>
      <c r="B33" s="9">
        <v>6.8699999999999997E-2</v>
      </c>
      <c r="C33" s="9">
        <v>-0.2104</v>
      </c>
      <c r="D33" s="9">
        <v>6.9400000000000003E-2</v>
      </c>
      <c r="E33" s="9">
        <v>3.3E-3</v>
      </c>
      <c r="F33" s="9">
        <v>1.4E-3</v>
      </c>
      <c r="L33" s="10"/>
      <c r="M33" s="10"/>
      <c r="N33" s="10"/>
      <c r="O33" s="10"/>
      <c r="P33" s="10"/>
    </row>
    <row r="34" spans="1:16" x14ac:dyDescent="0.3">
      <c r="A34">
        <v>199507</v>
      </c>
      <c r="B34" s="9">
        <v>-0.18029999999999999</v>
      </c>
      <c r="C34" s="9">
        <v>-0.22889999999999999</v>
      </c>
      <c r="D34" s="9">
        <v>-0.22720000000000001</v>
      </c>
      <c r="E34" s="9">
        <v>-0.17849999999999999</v>
      </c>
      <c r="F34" s="9">
        <v>0.105</v>
      </c>
      <c r="L34" s="10"/>
      <c r="M34" s="10"/>
      <c r="N34" s="10"/>
      <c r="O34" s="10"/>
      <c r="P34" s="10"/>
    </row>
    <row r="35" spans="1:16" x14ac:dyDescent="0.3">
      <c r="A35">
        <v>199508</v>
      </c>
      <c r="B35" s="9">
        <v>-0.1192</v>
      </c>
      <c r="C35" s="9">
        <v>0.50549999999999995</v>
      </c>
      <c r="D35" s="9">
        <v>-9.4799999999999995E-2</v>
      </c>
      <c r="E35" s="9">
        <v>-1.7899999999999999E-2</v>
      </c>
      <c r="F35" s="9">
        <v>-7.6300000000000007E-2</v>
      </c>
      <c r="L35" s="10"/>
      <c r="M35" s="10"/>
      <c r="N35" s="10"/>
      <c r="O35" s="10"/>
      <c r="P35" s="10"/>
    </row>
    <row r="36" spans="1:16" x14ac:dyDescent="0.3">
      <c r="A36">
        <v>199509</v>
      </c>
      <c r="B36" s="9">
        <v>-2.4799999999999999E-2</v>
      </c>
      <c r="C36" s="9">
        <v>8.1299999999999997E-2</v>
      </c>
      <c r="D36" s="9">
        <v>5.1000000000000004E-3</v>
      </c>
      <c r="E36" s="9">
        <v>-1.9E-2</v>
      </c>
      <c r="F36" s="9">
        <v>-6.2E-2</v>
      </c>
      <c r="L36" s="10"/>
      <c r="M36" s="10"/>
      <c r="N36" s="10"/>
      <c r="O36" s="10"/>
      <c r="P36" s="10"/>
    </row>
    <row r="37" spans="1:16" x14ac:dyDescent="0.3">
      <c r="A37">
        <v>199510</v>
      </c>
      <c r="B37" s="9">
        <v>-7.9899999999999999E-2</v>
      </c>
      <c r="C37" s="9">
        <v>-0.18</v>
      </c>
      <c r="D37" s="9">
        <v>-0.1341</v>
      </c>
      <c r="E37" s="9">
        <v>-0.15</v>
      </c>
      <c r="F37" s="9">
        <v>-0.13489999999999999</v>
      </c>
      <c r="L37" s="10"/>
      <c r="M37" s="10"/>
      <c r="N37" s="10"/>
      <c r="O37" s="10"/>
      <c r="P37" s="10"/>
    </row>
    <row r="38" spans="1:16" x14ac:dyDescent="0.3">
      <c r="A38">
        <v>199511</v>
      </c>
      <c r="B38" s="9">
        <v>5.6800000000000003E-2</v>
      </c>
      <c r="C38" s="9">
        <v>-0.15240000000000001</v>
      </c>
      <c r="D38" s="9">
        <v>-0.1439</v>
      </c>
      <c r="E38" s="9">
        <v>-7.5999999999999998E-2</v>
      </c>
      <c r="F38" s="9">
        <v>-0.11</v>
      </c>
      <c r="L38" s="10"/>
      <c r="M38" s="10"/>
      <c r="N38" s="10"/>
      <c r="O38" s="10"/>
      <c r="P38" s="10"/>
    </row>
    <row r="39" spans="1:16" x14ac:dyDescent="0.3">
      <c r="A39">
        <v>199512</v>
      </c>
      <c r="B39" s="9">
        <v>9.9000000000000008E-3</v>
      </c>
      <c r="C39" s="9">
        <v>-0.16719999999999999</v>
      </c>
      <c r="D39" s="9">
        <v>8.8999999999999996E-2</v>
      </c>
      <c r="E39" s="9">
        <v>-0.21709999999999999</v>
      </c>
      <c r="F39" s="9">
        <v>-0.10920000000000001</v>
      </c>
      <c r="L39" s="10"/>
      <c r="M39" s="10"/>
      <c r="N39" s="10"/>
      <c r="O39" s="10"/>
      <c r="P39" s="10"/>
    </row>
    <row r="40" spans="1:16" x14ac:dyDescent="0.3">
      <c r="A40">
        <v>199601</v>
      </c>
      <c r="B40" s="9">
        <v>2.9000000000000001E-2</v>
      </c>
      <c r="C40" s="9">
        <v>-6.5299999999999997E-2</v>
      </c>
      <c r="D40" s="9">
        <v>-2.2100000000000002E-2</v>
      </c>
      <c r="E40" s="9">
        <v>4.9099999999999998E-2</v>
      </c>
      <c r="F40" s="9">
        <v>0.18090000000000001</v>
      </c>
      <c r="L40" s="10"/>
      <c r="M40" s="10"/>
      <c r="N40" s="10"/>
      <c r="O40" s="10"/>
      <c r="P40" s="10"/>
    </row>
    <row r="41" spans="1:16" x14ac:dyDescent="0.3">
      <c r="A41">
        <v>199602</v>
      </c>
      <c r="B41" s="9">
        <v>9.2799999999999994E-2</v>
      </c>
      <c r="C41" s="9">
        <v>-0.27310000000000001</v>
      </c>
      <c r="D41" s="9">
        <v>-1.14E-2</v>
      </c>
      <c r="E41" s="9">
        <v>-9.2799999999999994E-2</v>
      </c>
      <c r="F41" s="9">
        <v>-0.1318</v>
      </c>
      <c r="L41" s="10"/>
      <c r="M41" s="10"/>
      <c r="N41" s="10"/>
      <c r="O41" s="10"/>
      <c r="P41" s="10"/>
    </row>
    <row r="42" spans="1:16" x14ac:dyDescent="0.3">
      <c r="A42">
        <v>199603</v>
      </c>
      <c r="B42" s="9">
        <v>-1.72E-2</v>
      </c>
      <c r="C42" s="9">
        <v>-0.22409999999999999</v>
      </c>
      <c r="D42" s="9">
        <v>-4.8099999999999997E-2</v>
      </c>
      <c r="E42" s="9">
        <v>-8.8400000000000006E-2</v>
      </c>
      <c r="F42" s="9">
        <v>4.2299999999999997E-2</v>
      </c>
      <c r="L42" s="10"/>
      <c r="M42" s="10"/>
      <c r="N42" s="10"/>
      <c r="O42" s="10"/>
      <c r="P42" s="10"/>
    </row>
    <row r="43" spans="1:16" x14ac:dyDescent="0.3">
      <c r="A43">
        <v>199604</v>
      </c>
      <c r="B43" s="9">
        <v>-0.10979999999999999</v>
      </c>
      <c r="C43" s="9">
        <v>-7.8700000000000006E-2</v>
      </c>
      <c r="D43" s="9">
        <v>0.31540000000000001</v>
      </c>
      <c r="E43" s="9">
        <v>-0.1832</v>
      </c>
      <c r="F43" s="9">
        <v>-0.12909999999999999</v>
      </c>
      <c r="L43" s="10"/>
      <c r="M43" s="10"/>
      <c r="N43" s="10"/>
      <c r="O43" s="10"/>
      <c r="P43" s="10"/>
    </row>
    <row r="44" spans="1:16" x14ac:dyDescent="0.3">
      <c r="A44">
        <v>199605</v>
      </c>
      <c r="B44" s="9">
        <v>-0.13420000000000001</v>
      </c>
      <c r="C44" s="9">
        <v>2.8899999999999999E-2</v>
      </c>
      <c r="D44" s="9">
        <v>-0.22939999999999999</v>
      </c>
      <c r="E44" s="9">
        <v>-1.4200000000000001E-2</v>
      </c>
      <c r="F44" s="9">
        <v>-0.15790000000000001</v>
      </c>
      <c r="L44" s="10"/>
      <c r="M44" s="10"/>
      <c r="N44" s="10"/>
      <c r="O44" s="10"/>
      <c r="P44" s="10"/>
    </row>
    <row r="45" spans="1:16" x14ac:dyDescent="0.3">
      <c r="A45">
        <v>199606</v>
      </c>
      <c r="B45" s="9">
        <v>-0.13589999999999999</v>
      </c>
      <c r="C45" s="9">
        <v>-0.1656</v>
      </c>
      <c r="D45" s="9">
        <v>8.2600000000000007E-2</v>
      </c>
      <c r="E45" s="9">
        <v>-4.7999999999999996E-3</v>
      </c>
      <c r="F45" s="9">
        <v>-0.16170000000000001</v>
      </c>
      <c r="L45" s="10"/>
      <c r="M45" s="10"/>
      <c r="N45" s="10"/>
      <c r="O45" s="10"/>
      <c r="P45" s="10"/>
    </row>
    <row r="46" spans="1:16" x14ac:dyDescent="0.3">
      <c r="A46">
        <v>199607</v>
      </c>
      <c r="B46" s="9">
        <v>2.6599999999999999E-2</v>
      </c>
      <c r="C46" s="9">
        <v>9.0999999999999998E-2</v>
      </c>
      <c r="D46" s="9">
        <v>-3.5000000000000003E-2</v>
      </c>
      <c r="E46" s="9">
        <v>0.3165</v>
      </c>
      <c r="F46" s="9">
        <v>7.3000000000000001E-3</v>
      </c>
      <c r="L46" s="10"/>
      <c r="M46" s="10"/>
      <c r="N46" s="10"/>
      <c r="O46" s="10"/>
      <c r="P46" s="10"/>
    </row>
    <row r="47" spans="1:16" x14ac:dyDescent="0.3">
      <c r="A47">
        <v>199608</v>
      </c>
      <c r="B47" s="9">
        <v>2.86E-2</v>
      </c>
      <c r="C47" s="9">
        <v>-0.2974</v>
      </c>
      <c r="D47" s="9">
        <v>2.9700000000000001E-2</v>
      </c>
      <c r="E47" s="9">
        <v>0.1603</v>
      </c>
      <c r="F47" s="9">
        <v>-8.3699999999999997E-2</v>
      </c>
      <c r="L47" s="10"/>
      <c r="M47" s="10"/>
      <c r="N47" s="10"/>
      <c r="O47" s="10"/>
      <c r="P47" s="10"/>
    </row>
    <row r="48" spans="1:16" x14ac:dyDescent="0.3">
      <c r="A48">
        <v>199609</v>
      </c>
      <c r="B48" s="9">
        <v>2.69E-2</v>
      </c>
      <c r="C48" s="9">
        <v>-1.12E-2</v>
      </c>
      <c r="D48" s="9">
        <v>5.0999999999999997E-2</v>
      </c>
      <c r="E48" s="9">
        <v>-3.3599999999999998E-2</v>
      </c>
      <c r="F48" s="9">
        <v>-6.1499999999999999E-2</v>
      </c>
      <c r="L48" s="10"/>
      <c r="M48" s="10"/>
      <c r="N48" s="10"/>
      <c r="O48" s="10"/>
      <c r="P48" s="10"/>
    </row>
    <row r="49" spans="1:16" x14ac:dyDescent="0.3">
      <c r="A49">
        <v>199610</v>
      </c>
      <c r="B49" s="9">
        <v>0.14799999999999999</v>
      </c>
      <c r="C49" s="9">
        <v>0.37080000000000002</v>
      </c>
      <c r="D49" s="9">
        <v>0.23599999999999999</v>
      </c>
      <c r="E49" s="9">
        <v>8.0100000000000005E-2</v>
      </c>
      <c r="F49" s="9">
        <v>-2.76E-2</v>
      </c>
      <c r="L49" s="10"/>
      <c r="M49" s="10"/>
      <c r="N49" s="10"/>
      <c r="O49" s="10"/>
      <c r="P49" s="10"/>
    </row>
    <row r="50" spans="1:16" x14ac:dyDescent="0.3">
      <c r="A50">
        <v>199611</v>
      </c>
      <c r="B50" s="9">
        <v>0.1386</v>
      </c>
      <c r="C50" s="9">
        <v>9.2799999999999994E-2</v>
      </c>
      <c r="D50" s="9">
        <v>0.1084</v>
      </c>
      <c r="E50" s="9">
        <v>7.6600000000000001E-2</v>
      </c>
      <c r="F50" s="9">
        <v>7.1900000000000006E-2</v>
      </c>
      <c r="L50" s="10"/>
      <c r="M50" s="10"/>
      <c r="N50" s="10"/>
      <c r="O50" s="10"/>
      <c r="P50" s="10"/>
    </row>
    <row r="51" spans="1:16" x14ac:dyDescent="0.3">
      <c r="A51">
        <v>199612</v>
      </c>
      <c r="B51" s="9">
        <v>-9.8599999999999993E-2</v>
      </c>
      <c r="C51" s="9">
        <v>0.27810000000000001</v>
      </c>
      <c r="D51" s="9">
        <v>-8.4099999999999994E-2</v>
      </c>
      <c r="E51" s="9">
        <v>-9.0399999999999994E-2</v>
      </c>
      <c r="F51" s="9">
        <v>9.7999999999999997E-3</v>
      </c>
      <c r="L51" s="10"/>
      <c r="M51" s="10"/>
      <c r="N51" s="10"/>
      <c r="O51" s="10"/>
      <c r="P51" s="10"/>
    </row>
    <row r="52" spans="1:16" x14ac:dyDescent="0.3">
      <c r="A52">
        <v>199701</v>
      </c>
      <c r="B52" s="9">
        <v>-3.6600000000000001E-2</v>
      </c>
      <c r="C52" s="9">
        <v>0.41160000000000002</v>
      </c>
      <c r="D52" s="9">
        <v>8.3699999999999997E-2</v>
      </c>
      <c r="E52" s="9">
        <v>-0.12939999999999999</v>
      </c>
      <c r="F52" s="9">
        <v>0.15790000000000001</v>
      </c>
      <c r="L52" s="10"/>
      <c r="M52" s="10"/>
      <c r="N52" s="10"/>
      <c r="O52" s="10"/>
      <c r="P52" s="10"/>
    </row>
    <row r="53" spans="1:16" x14ac:dyDescent="0.3">
      <c r="A53">
        <v>199702</v>
      </c>
      <c r="B53" s="9">
        <v>-4.9299999999999997E-2</v>
      </c>
      <c r="C53" s="9">
        <v>2.3800000000000002E-2</v>
      </c>
      <c r="D53" s="9">
        <v>0.2399</v>
      </c>
      <c r="E53" s="9">
        <v>-6.6699999999999995E-2</v>
      </c>
      <c r="F53" s="9">
        <v>1.54E-2</v>
      </c>
      <c r="L53" s="10"/>
      <c r="M53" s="10"/>
      <c r="N53" s="10"/>
      <c r="O53" s="10"/>
      <c r="P53" s="10"/>
    </row>
    <row r="54" spans="1:16" x14ac:dyDescent="0.3">
      <c r="A54">
        <v>199703</v>
      </c>
      <c r="B54" s="9">
        <v>-1.9199999999999998E-2</v>
      </c>
      <c r="C54" s="9">
        <v>-0.1424</v>
      </c>
      <c r="D54" s="9">
        <v>-4.3499999999999997E-2</v>
      </c>
      <c r="E54" s="9">
        <v>-8.0799999999999997E-2</v>
      </c>
      <c r="F54" s="9">
        <v>-6.9900000000000004E-2</v>
      </c>
      <c r="L54" s="10"/>
      <c r="M54" s="10"/>
      <c r="N54" s="10"/>
      <c r="O54" s="10"/>
      <c r="P54" s="10"/>
    </row>
    <row r="55" spans="1:16" x14ac:dyDescent="0.3">
      <c r="A55">
        <v>199704</v>
      </c>
      <c r="B55" s="9">
        <v>-0.17469999999999999</v>
      </c>
      <c r="C55" s="9">
        <v>-0.13120000000000001</v>
      </c>
      <c r="D55" s="9">
        <v>2.53E-2</v>
      </c>
      <c r="E55" s="9">
        <v>-3.8100000000000002E-2</v>
      </c>
      <c r="F55" s="9">
        <v>-0.1235</v>
      </c>
      <c r="L55" s="10"/>
      <c r="M55" s="10"/>
      <c r="N55" s="10"/>
      <c r="O55" s="10"/>
      <c r="P55" s="10"/>
    </row>
    <row r="56" spans="1:16" x14ac:dyDescent="0.3">
      <c r="A56">
        <v>199705</v>
      </c>
      <c r="B56" s="9">
        <v>3.9199999999999999E-2</v>
      </c>
      <c r="C56" s="9">
        <v>0.1076</v>
      </c>
      <c r="D56" s="9">
        <v>-1.5900000000000001E-2</v>
      </c>
      <c r="E56" s="9">
        <v>0.1502</v>
      </c>
      <c r="F56" s="9">
        <v>0.28139999999999998</v>
      </c>
      <c r="L56" s="10"/>
      <c r="M56" s="10"/>
      <c r="N56" s="10"/>
      <c r="O56" s="10"/>
      <c r="P56" s="10"/>
    </row>
    <row r="57" spans="1:16" x14ac:dyDescent="0.3">
      <c r="A57">
        <v>199706</v>
      </c>
      <c r="B57" s="9">
        <v>-9.8599999999999993E-2</v>
      </c>
      <c r="C57" s="9">
        <v>-6.7299999999999999E-2</v>
      </c>
      <c r="D57" s="9">
        <v>7.6999999999999999E-2</v>
      </c>
      <c r="E57" s="9">
        <v>-0.1096</v>
      </c>
      <c r="F57" s="9">
        <v>5.3100000000000001E-2</v>
      </c>
      <c r="L57" s="10"/>
      <c r="M57" s="10"/>
      <c r="N57" s="10"/>
      <c r="O57" s="10"/>
      <c r="P57" s="10"/>
    </row>
    <row r="58" spans="1:16" x14ac:dyDescent="0.3">
      <c r="A58">
        <v>199707</v>
      </c>
      <c r="B58" s="9">
        <v>0.30840000000000001</v>
      </c>
      <c r="C58" s="9">
        <v>0.32440000000000002</v>
      </c>
      <c r="D58" s="9">
        <v>0.20549999999999999</v>
      </c>
      <c r="E58" s="9">
        <v>-2.5999999999999999E-3</v>
      </c>
      <c r="F58" s="9">
        <v>0.2351</v>
      </c>
      <c r="L58" s="10"/>
      <c r="M58" s="10"/>
      <c r="N58" s="10"/>
      <c r="O58" s="10"/>
      <c r="P58" s="10"/>
    </row>
    <row r="59" spans="1:16" x14ac:dyDescent="0.3">
      <c r="A59">
        <v>199708</v>
      </c>
      <c r="B59" s="9">
        <v>-7.9500000000000001E-2</v>
      </c>
      <c r="C59" s="9">
        <v>4.6199999999999998E-2</v>
      </c>
      <c r="D59" s="9">
        <v>-0.1416</v>
      </c>
      <c r="E59" s="9">
        <v>4.3E-3</v>
      </c>
      <c r="F59" s="9">
        <v>3.3399999999999999E-2</v>
      </c>
      <c r="L59" s="10"/>
      <c r="M59" s="10"/>
      <c r="N59" s="10"/>
      <c r="O59" s="10"/>
      <c r="P59" s="10"/>
    </row>
    <row r="60" spans="1:16" x14ac:dyDescent="0.3">
      <c r="A60">
        <v>199709</v>
      </c>
      <c r="B60" s="9">
        <v>3.3E-3</v>
      </c>
      <c r="C60" s="9">
        <v>-0.114</v>
      </c>
      <c r="D60" s="9">
        <v>-3.0099999999999998E-2</v>
      </c>
      <c r="E60" s="9">
        <v>-0.12529999999999999</v>
      </c>
      <c r="F60" s="9">
        <v>-3.39E-2</v>
      </c>
      <c r="L60" s="10"/>
      <c r="M60" s="10"/>
      <c r="N60" s="10"/>
      <c r="O60" s="10"/>
      <c r="P60" s="10"/>
    </row>
    <row r="61" spans="1:16" x14ac:dyDescent="0.3">
      <c r="A61">
        <v>199710</v>
      </c>
      <c r="B61" s="9">
        <v>0.04</v>
      </c>
      <c r="C61" s="9">
        <v>0.1096</v>
      </c>
      <c r="D61" s="9">
        <v>6.7500000000000004E-2</v>
      </c>
      <c r="E61" s="9">
        <v>0.35370000000000001</v>
      </c>
      <c r="F61" s="9">
        <v>0.29049999999999998</v>
      </c>
      <c r="L61" s="10"/>
      <c r="M61" s="10"/>
      <c r="N61" s="10"/>
      <c r="O61" s="10"/>
      <c r="P61" s="10"/>
    </row>
    <row r="62" spans="1:16" x14ac:dyDescent="0.3">
      <c r="A62">
        <v>199711</v>
      </c>
      <c r="B62" s="9">
        <v>-0.1532</v>
      </c>
      <c r="C62" s="9">
        <v>-1.1900000000000001E-2</v>
      </c>
      <c r="D62" s="9">
        <v>-6.5799999999999997E-2</v>
      </c>
      <c r="E62" s="9">
        <v>-4.2200000000000001E-2</v>
      </c>
      <c r="F62" s="9">
        <v>-0.2034</v>
      </c>
      <c r="L62" s="10"/>
      <c r="M62" s="10"/>
      <c r="N62" s="10"/>
      <c r="O62" s="10"/>
      <c r="P62" s="10"/>
    </row>
    <row r="63" spans="1:16" x14ac:dyDescent="0.3">
      <c r="A63">
        <v>199712</v>
      </c>
      <c r="B63" s="9">
        <v>5.7999999999999996E-3</v>
      </c>
      <c r="C63" s="9">
        <v>-8.1500000000000003E-2</v>
      </c>
      <c r="D63" s="9">
        <v>0.21329999999999999</v>
      </c>
      <c r="E63" s="9">
        <v>2.41E-2</v>
      </c>
      <c r="F63" s="9">
        <v>-0.1497</v>
      </c>
      <c r="L63" s="10"/>
      <c r="M63" s="10"/>
      <c r="N63" s="10"/>
      <c r="O63" s="10"/>
      <c r="P63" s="10"/>
    </row>
    <row r="64" spans="1:16" x14ac:dyDescent="0.3">
      <c r="A64">
        <v>199801</v>
      </c>
      <c r="B64" s="9">
        <v>0.19489999999999999</v>
      </c>
      <c r="C64" s="9">
        <v>-4.4299999999999999E-2</v>
      </c>
      <c r="D64" s="9">
        <v>4.02E-2</v>
      </c>
      <c r="E64" s="9">
        <v>0.15210000000000001</v>
      </c>
      <c r="F64" s="9">
        <v>-7.4200000000000002E-2</v>
      </c>
      <c r="L64" s="10"/>
      <c r="M64" s="10"/>
      <c r="N64" s="10"/>
      <c r="O64" s="10"/>
      <c r="P64" s="10"/>
    </row>
    <row r="65" spans="1:16" x14ac:dyDescent="0.3">
      <c r="A65">
        <v>199802</v>
      </c>
      <c r="B65" s="9">
        <v>-8.1699999999999995E-2</v>
      </c>
      <c r="C65" s="9">
        <v>-0.24079999999999999</v>
      </c>
      <c r="D65" s="9">
        <v>-3.44E-2</v>
      </c>
      <c r="E65" s="9">
        <v>-9.9599999999999994E-2</v>
      </c>
      <c r="F65" s="9">
        <v>5.3199999999999997E-2</v>
      </c>
      <c r="L65" s="10"/>
      <c r="M65" s="10"/>
      <c r="N65" s="10"/>
      <c r="O65" s="10"/>
      <c r="P65" s="10"/>
    </row>
    <row r="66" spans="1:16" x14ac:dyDescent="0.3">
      <c r="A66">
        <v>199803</v>
      </c>
      <c r="B66" s="9">
        <v>-0.1072</v>
      </c>
      <c r="C66" s="9">
        <v>-1.6400000000000001E-2</v>
      </c>
      <c r="D66" s="9">
        <v>-9.6299999999999997E-2</v>
      </c>
      <c r="E66" s="9">
        <v>-0.1081</v>
      </c>
      <c r="F66" s="9">
        <v>8.8599999999999998E-2</v>
      </c>
      <c r="L66" s="10"/>
      <c r="M66" s="10"/>
      <c r="N66" s="10"/>
      <c r="O66" s="10"/>
      <c r="P66" s="10"/>
    </row>
    <row r="67" spans="1:16" x14ac:dyDescent="0.3">
      <c r="A67">
        <v>199804</v>
      </c>
      <c r="B67" s="9">
        <v>-0.19550000000000001</v>
      </c>
      <c r="C67" s="9">
        <v>-0.1792</v>
      </c>
      <c r="D67" s="9">
        <v>-0.1086</v>
      </c>
      <c r="E67" s="9">
        <v>-0.1331</v>
      </c>
      <c r="F67" s="9">
        <v>-0.1004</v>
      </c>
      <c r="L67" s="10"/>
      <c r="M67" s="10"/>
      <c r="N67" s="10"/>
      <c r="O67" s="10"/>
      <c r="P67" s="10"/>
    </row>
    <row r="68" spans="1:16" x14ac:dyDescent="0.3">
      <c r="A68">
        <v>199805</v>
      </c>
      <c r="B68" s="9">
        <v>3.5700000000000003E-2</v>
      </c>
      <c r="C68" s="9">
        <v>-2.3900000000000001E-2</v>
      </c>
      <c r="D68" s="9">
        <v>0.1779</v>
      </c>
      <c r="E68" s="9">
        <v>-0.18940000000000001</v>
      </c>
      <c r="F68" s="9">
        <v>-0.3019</v>
      </c>
      <c r="L68" s="10"/>
      <c r="M68" s="10"/>
      <c r="N68" s="10"/>
      <c r="O68" s="10"/>
      <c r="P68" s="10"/>
    </row>
    <row r="69" spans="1:16" x14ac:dyDescent="0.3">
      <c r="A69">
        <v>199806</v>
      </c>
      <c r="B69" s="9">
        <v>1.1900000000000001E-2</v>
      </c>
      <c r="C69" s="9">
        <v>2.35E-2</v>
      </c>
      <c r="D69" s="9">
        <v>5.4399999999999997E-2</v>
      </c>
      <c r="E69" s="9">
        <v>0.91800000000000004</v>
      </c>
      <c r="F69" s="9">
        <v>-0.14000000000000001</v>
      </c>
      <c r="L69" s="10"/>
      <c r="M69" s="10"/>
      <c r="N69" s="10"/>
      <c r="O69" s="10"/>
      <c r="P69" s="10"/>
    </row>
    <row r="70" spans="1:16" x14ac:dyDescent="0.3">
      <c r="A70">
        <v>199807</v>
      </c>
      <c r="B70" s="9">
        <v>-0.14910000000000001</v>
      </c>
      <c r="C70" s="9">
        <v>-0.21340000000000001</v>
      </c>
      <c r="D70" s="9">
        <v>-1.5900000000000001E-2</v>
      </c>
      <c r="E70" s="9">
        <v>-0.16980000000000001</v>
      </c>
      <c r="F70" s="9">
        <v>-8.0799999999999997E-2</v>
      </c>
      <c r="L70" s="10"/>
      <c r="M70" s="10"/>
      <c r="N70" s="10"/>
      <c r="O70" s="10"/>
      <c r="P70" s="10"/>
    </row>
    <row r="71" spans="1:16" x14ac:dyDescent="0.3">
      <c r="A71">
        <v>199808</v>
      </c>
      <c r="B71" s="9">
        <v>0.68859999999999999</v>
      </c>
      <c r="C71" s="9">
        <v>0.13489999999999999</v>
      </c>
      <c r="D71" s="9">
        <v>0.23080000000000001</v>
      </c>
      <c r="E71" s="9">
        <v>0.13519999999999999</v>
      </c>
      <c r="F71" s="9">
        <v>0.46150000000000002</v>
      </c>
      <c r="L71" s="10"/>
      <c r="M71" s="10"/>
      <c r="N71" s="10"/>
      <c r="O71" s="10"/>
      <c r="P71" s="10"/>
    </row>
    <row r="72" spans="1:16" x14ac:dyDescent="0.3">
      <c r="A72">
        <v>199809</v>
      </c>
      <c r="B72" s="9">
        <v>0.3286</v>
      </c>
      <c r="C72" s="9">
        <v>0.1197</v>
      </c>
      <c r="D72" s="9">
        <v>-7.6300000000000007E-2</v>
      </c>
      <c r="E72" s="9">
        <v>1.61E-2</v>
      </c>
      <c r="F72" s="9">
        <v>1.6E-2</v>
      </c>
      <c r="L72" s="10"/>
      <c r="M72" s="10"/>
      <c r="N72" s="10"/>
      <c r="O72" s="10"/>
      <c r="P72" s="10"/>
    </row>
    <row r="73" spans="1:16" x14ac:dyDescent="0.3">
      <c r="A73">
        <v>199810</v>
      </c>
      <c r="B73" s="9">
        <v>-3.5999999999999997E-2</v>
      </c>
      <c r="C73" s="9">
        <v>0.30149999999999999</v>
      </c>
      <c r="D73" s="9">
        <v>-7.9500000000000001E-2</v>
      </c>
      <c r="E73" s="9">
        <v>3.1E-2</v>
      </c>
      <c r="F73" s="9">
        <v>-0.12909999999999999</v>
      </c>
      <c r="L73" s="10"/>
      <c r="M73" s="10"/>
      <c r="N73" s="10"/>
      <c r="O73" s="10"/>
      <c r="P73" s="10"/>
    </row>
    <row r="74" spans="1:16" x14ac:dyDescent="0.3">
      <c r="A74">
        <v>199811</v>
      </c>
      <c r="B74" s="9">
        <v>-9.69E-2</v>
      </c>
      <c r="C74" s="9">
        <v>-0.14230000000000001</v>
      </c>
      <c r="D74" s="9">
        <v>-2.5399999999999999E-2</v>
      </c>
      <c r="E74" s="9">
        <v>-0.2031</v>
      </c>
      <c r="F74" s="9">
        <v>5.1900000000000002E-2</v>
      </c>
      <c r="L74" s="10"/>
      <c r="M74" s="10"/>
      <c r="N74" s="10"/>
      <c r="O74" s="10"/>
      <c r="P74" s="10"/>
    </row>
    <row r="75" spans="1:16" x14ac:dyDescent="0.3">
      <c r="A75">
        <v>199812</v>
      </c>
      <c r="B75" s="9">
        <v>-3.6799999999999999E-2</v>
      </c>
      <c r="C75" s="9">
        <v>9.4799999999999995E-2</v>
      </c>
      <c r="D75" s="9">
        <v>8.7300000000000003E-2</v>
      </c>
      <c r="E75" s="9">
        <v>-5.0599999999999999E-2</v>
      </c>
      <c r="F75" s="9">
        <v>-2.6100000000000002E-2</v>
      </c>
      <c r="L75" s="10"/>
      <c r="M75" s="10"/>
      <c r="N75" s="10"/>
      <c r="O75" s="10"/>
      <c r="P75" s="10"/>
    </row>
    <row r="76" spans="1:16" x14ac:dyDescent="0.3">
      <c r="A76">
        <v>199901</v>
      </c>
      <c r="B76" s="9">
        <v>7.2800000000000004E-2</v>
      </c>
      <c r="C76" s="9">
        <v>-0.1303</v>
      </c>
      <c r="D76" s="9">
        <v>-5.0799999999999998E-2</v>
      </c>
      <c r="E76" s="9">
        <v>-0.2203</v>
      </c>
      <c r="F76" s="9">
        <v>-2.9899999999999999E-2</v>
      </c>
      <c r="L76" s="10"/>
      <c r="M76" s="10"/>
      <c r="N76" s="10"/>
      <c r="O76" s="10"/>
      <c r="P76" s="10"/>
    </row>
    <row r="77" spans="1:16" x14ac:dyDescent="0.3">
      <c r="A77">
        <v>199902</v>
      </c>
      <c r="B77" s="9">
        <v>0.22389999999999999</v>
      </c>
      <c r="C77" s="9">
        <v>0.22919999999999999</v>
      </c>
      <c r="D77" s="9">
        <v>7.51E-2</v>
      </c>
      <c r="E77" s="9">
        <v>0.21010000000000001</v>
      </c>
      <c r="F77" s="9">
        <v>-0.26229999999999998</v>
      </c>
      <c r="L77" s="10"/>
      <c r="M77" s="10"/>
      <c r="N77" s="10"/>
      <c r="O77" s="10"/>
      <c r="P77" s="10"/>
    </row>
    <row r="78" spans="1:16" x14ac:dyDescent="0.3">
      <c r="A78">
        <v>199903</v>
      </c>
      <c r="B78" s="9">
        <v>-0.13569999999999999</v>
      </c>
      <c r="C78" s="9">
        <v>-0.1148</v>
      </c>
      <c r="D78" s="9">
        <v>-2.8999999999999998E-3</v>
      </c>
      <c r="E78" s="9">
        <v>-6.8199999999999997E-2</v>
      </c>
      <c r="F78" s="9">
        <v>-0.18779999999999999</v>
      </c>
      <c r="L78" s="10"/>
      <c r="M78" s="10"/>
      <c r="N78" s="10"/>
      <c r="O78" s="10"/>
      <c r="P78" s="10"/>
    </row>
    <row r="79" spans="1:16" x14ac:dyDescent="0.3">
      <c r="A79">
        <v>199904</v>
      </c>
      <c r="B79" s="9">
        <v>-7.3899999999999993E-2</v>
      </c>
      <c r="C79" s="9">
        <v>-0.1472</v>
      </c>
      <c r="D79" s="9">
        <v>-8.5000000000000006E-2</v>
      </c>
      <c r="E79" s="9">
        <v>2.3999999999999998E-3</v>
      </c>
      <c r="F79" s="9">
        <v>-2.3699999999999999E-2</v>
      </c>
      <c r="L79" s="10"/>
      <c r="M79" s="10"/>
      <c r="N79" s="10"/>
      <c r="O79" s="10"/>
      <c r="P79" s="10"/>
    </row>
    <row r="80" spans="1:16" x14ac:dyDescent="0.3">
      <c r="A80">
        <v>199905</v>
      </c>
      <c r="B80" s="9">
        <v>3.44E-2</v>
      </c>
      <c r="C80" s="9">
        <v>-2.5100000000000001E-2</v>
      </c>
      <c r="D80" s="9">
        <v>8.1000000000000003E-2</v>
      </c>
      <c r="E80" s="9">
        <v>6.8900000000000003E-2</v>
      </c>
      <c r="F80" s="9">
        <v>-0.1928</v>
      </c>
      <c r="L80" s="10"/>
      <c r="M80" s="10"/>
      <c r="N80" s="10"/>
      <c r="O80" s="10"/>
      <c r="P80" s="10"/>
    </row>
    <row r="81" spans="1:16" x14ac:dyDescent="0.3">
      <c r="A81">
        <v>199906</v>
      </c>
      <c r="B81" s="9">
        <v>0.2024</v>
      </c>
      <c r="C81" s="9">
        <v>-7.0800000000000002E-2</v>
      </c>
      <c r="D81" s="9">
        <v>-6.6100000000000006E-2</v>
      </c>
      <c r="E81" s="9">
        <v>-5.2999999999999999E-2</v>
      </c>
      <c r="F81" s="9">
        <v>-0.17480000000000001</v>
      </c>
      <c r="L81" s="10"/>
      <c r="M81" s="10"/>
      <c r="N81" s="10"/>
      <c r="O81" s="10"/>
      <c r="P81" s="10"/>
    </row>
    <row r="82" spans="1:16" x14ac:dyDescent="0.3">
      <c r="A82">
        <v>199907</v>
      </c>
      <c r="B82" s="9">
        <v>3.6200000000000003E-2</v>
      </c>
      <c r="C82" s="9">
        <v>0.23810000000000001</v>
      </c>
      <c r="D82" s="9">
        <v>0.11020000000000001</v>
      </c>
      <c r="E82" s="9">
        <v>4.7000000000000002E-3</v>
      </c>
      <c r="F82" s="9">
        <v>-0.11559999999999999</v>
      </c>
      <c r="L82" s="10"/>
      <c r="M82" s="10"/>
      <c r="N82" s="10"/>
      <c r="O82" s="10"/>
      <c r="P82" s="10"/>
    </row>
    <row r="83" spans="1:16" x14ac:dyDescent="0.3">
      <c r="A83">
        <v>199908</v>
      </c>
      <c r="B83" s="9">
        <v>-7.85E-2</v>
      </c>
      <c r="C83" s="9">
        <v>-0.16220000000000001</v>
      </c>
      <c r="D83" s="9">
        <v>-0.1104</v>
      </c>
      <c r="E83" s="9">
        <v>-2.9100000000000001E-2</v>
      </c>
      <c r="F83" s="9">
        <v>-0.2006</v>
      </c>
      <c r="L83" s="10"/>
      <c r="M83" s="10"/>
      <c r="N83" s="10"/>
      <c r="O83" s="10"/>
      <c r="P83" s="10"/>
    </row>
    <row r="84" spans="1:16" x14ac:dyDescent="0.3">
      <c r="A84">
        <v>199909</v>
      </c>
      <c r="B84" s="9">
        <v>-4.7199999999999999E-2</v>
      </c>
      <c r="C84" s="9">
        <v>9.4600000000000004E-2</v>
      </c>
      <c r="D84" s="9">
        <v>0.64749999999999996</v>
      </c>
      <c r="E84" s="9">
        <v>-8.5000000000000006E-2</v>
      </c>
      <c r="F84" s="9">
        <v>-7.4999999999999997E-2</v>
      </c>
      <c r="L84" s="10"/>
      <c r="M84" s="10"/>
      <c r="N84" s="10"/>
      <c r="O84" s="10"/>
      <c r="P84" s="10"/>
    </row>
    <row r="85" spans="1:16" x14ac:dyDescent="0.3">
      <c r="A85">
        <v>199910</v>
      </c>
      <c r="B85" s="9">
        <v>3.2099999999999997E-2</v>
      </c>
      <c r="C85" s="9">
        <v>-0.15820000000000001</v>
      </c>
      <c r="D85" s="9">
        <v>-8.1600000000000006E-2</v>
      </c>
      <c r="E85" s="9">
        <v>-0.10199999999999999</v>
      </c>
      <c r="F85" s="9">
        <v>-0.1845</v>
      </c>
      <c r="L85" s="10"/>
      <c r="M85" s="10"/>
      <c r="N85" s="10"/>
      <c r="O85" s="10"/>
      <c r="P85" s="10"/>
    </row>
    <row r="86" spans="1:16" x14ac:dyDescent="0.3">
      <c r="A86">
        <v>199911</v>
      </c>
      <c r="B86" s="9">
        <v>3.2500000000000001E-2</v>
      </c>
      <c r="C86" s="9">
        <v>0.18959999999999999</v>
      </c>
      <c r="D86" s="9">
        <v>-0.10489999999999999</v>
      </c>
      <c r="E86" s="9">
        <v>-0.21579999999999999</v>
      </c>
      <c r="F86" s="9">
        <v>4.0000000000000001E-3</v>
      </c>
      <c r="L86" s="10"/>
      <c r="M86" s="10"/>
      <c r="N86" s="10"/>
      <c r="O86" s="10"/>
      <c r="P86" s="10"/>
    </row>
    <row r="87" spans="1:16" x14ac:dyDescent="0.3">
      <c r="A87">
        <v>199912</v>
      </c>
      <c r="B87" s="9">
        <v>1.5800000000000002E-2</v>
      </c>
      <c r="C87" s="9">
        <v>-0.15060000000000001</v>
      </c>
      <c r="D87" s="9">
        <v>-7.0800000000000002E-2</v>
      </c>
      <c r="E87" s="9">
        <v>-5.6599999999999998E-2</v>
      </c>
      <c r="F87" s="9">
        <v>-1.1299999999999999E-2</v>
      </c>
      <c r="L87" s="10"/>
      <c r="M87" s="10"/>
      <c r="N87" s="10"/>
      <c r="O87" s="10"/>
      <c r="P87" s="10"/>
    </row>
    <row r="88" spans="1:16" x14ac:dyDescent="0.3">
      <c r="A88">
        <v>200001</v>
      </c>
      <c r="B88" s="9">
        <v>0.14990000000000001</v>
      </c>
      <c r="C88" s="9">
        <v>9.3299999999999994E-2</v>
      </c>
      <c r="D88" s="9">
        <v>-8.3500000000000005E-2</v>
      </c>
      <c r="E88" s="9">
        <v>-0.2203</v>
      </c>
      <c r="F88" s="9">
        <v>-0.1171</v>
      </c>
      <c r="L88" s="10"/>
      <c r="M88" s="10"/>
      <c r="N88" s="10"/>
      <c r="O88" s="10"/>
      <c r="P88" s="10"/>
    </row>
    <row r="89" spans="1:16" x14ac:dyDescent="0.3">
      <c r="A89">
        <v>200002</v>
      </c>
      <c r="B89" s="9">
        <v>-0.08</v>
      </c>
      <c r="C89" s="9">
        <v>6.7900000000000002E-2</v>
      </c>
      <c r="D89" s="9">
        <v>4.1200000000000001E-2</v>
      </c>
      <c r="E89" s="9">
        <v>-6.6699999999999995E-2</v>
      </c>
      <c r="F89" s="9">
        <v>-0.18920000000000001</v>
      </c>
      <c r="L89" s="10"/>
      <c r="M89" s="10"/>
      <c r="N89" s="10"/>
      <c r="O89" s="10"/>
      <c r="P89" s="10"/>
    </row>
    <row r="90" spans="1:16" x14ac:dyDescent="0.3">
      <c r="A90">
        <v>200003</v>
      </c>
      <c r="B90" s="9">
        <v>0.21210000000000001</v>
      </c>
      <c r="C90" s="9">
        <v>-2.7E-2</v>
      </c>
      <c r="D90" s="9">
        <v>-7.3300000000000004E-2</v>
      </c>
      <c r="E90" s="9">
        <v>-0.13769999999999999</v>
      </c>
      <c r="F90" s="9">
        <v>3.2500000000000001E-2</v>
      </c>
      <c r="L90" s="10"/>
      <c r="M90" s="10"/>
      <c r="N90" s="10"/>
      <c r="O90" s="10"/>
      <c r="P90" s="10"/>
    </row>
    <row r="91" spans="1:16" x14ac:dyDescent="0.3">
      <c r="A91">
        <v>200004</v>
      </c>
      <c r="B91" s="9">
        <v>-5.5899999999999998E-2</v>
      </c>
      <c r="C91" s="9">
        <v>3.8199999999999998E-2</v>
      </c>
      <c r="D91" s="9">
        <v>-0.10630000000000001</v>
      </c>
      <c r="E91" s="9">
        <v>4.19E-2</v>
      </c>
      <c r="F91" s="9">
        <v>-8.6999999999999994E-2</v>
      </c>
      <c r="L91" s="10"/>
      <c r="M91" s="10"/>
      <c r="N91" s="10"/>
      <c r="O91" s="10"/>
      <c r="P91" s="10"/>
    </row>
    <row r="92" spans="1:16" x14ac:dyDescent="0.3">
      <c r="A92">
        <v>200005</v>
      </c>
      <c r="B92" s="9">
        <v>-3.7100000000000001E-2</v>
      </c>
      <c r="C92" s="9">
        <v>4.2700000000000002E-2</v>
      </c>
      <c r="D92" s="9">
        <v>-5.5500000000000001E-2</v>
      </c>
      <c r="E92" s="9">
        <v>0.25040000000000001</v>
      </c>
      <c r="F92" s="9">
        <v>-0.20580000000000001</v>
      </c>
      <c r="L92" s="10"/>
      <c r="M92" s="10"/>
      <c r="N92" s="10"/>
      <c r="O92" s="10"/>
      <c r="P92" s="10"/>
    </row>
    <row r="93" spans="1:16" x14ac:dyDescent="0.3">
      <c r="A93">
        <v>200006</v>
      </c>
      <c r="B93" s="9">
        <v>-2.01E-2</v>
      </c>
      <c r="C93" s="9">
        <v>-0.1888</v>
      </c>
      <c r="D93" s="9">
        <v>3.04E-2</v>
      </c>
      <c r="E93" s="9">
        <v>-9.98E-2</v>
      </c>
      <c r="F93" s="9">
        <v>-0.1477</v>
      </c>
      <c r="L93" s="10"/>
      <c r="M93" s="10"/>
      <c r="N93" s="10"/>
      <c r="O93" s="10"/>
      <c r="P93" s="10"/>
    </row>
    <row r="94" spans="1:16" x14ac:dyDescent="0.3">
      <c r="A94">
        <v>200007</v>
      </c>
      <c r="B94" s="9">
        <v>-0.114</v>
      </c>
      <c r="C94" s="9">
        <v>-0.1646</v>
      </c>
      <c r="D94" s="9">
        <v>-0.15609999999999999</v>
      </c>
      <c r="E94" s="9">
        <v>-0.14000000000000001</v>
      </c>
      <c r="F94" s="9">
        <v>-0.18679999999999999</v>
      </c>
      <c r="L94" s="10"/>
      <c r="M94" s="10"/>
      <c r="N94" s="10"/>
      <c r="O94" s="10"/>
      <c r="P94" s="10"/>
    </row>
    <row r="95" spans="1:16" x14ac:dyDescent="0.3">
      <c r="A95">
        <v>200008</v>
      </c>
      <c r="B95" s="9">
        <v>-0.14430000000000001</v>
      </c>
      <c r="C95" s="9">
        <v>0.24840000000000001</v>
      </c>
      <c r="D95" s="9">
        <v>5.8799999999999998E-2</v>
      </c>
      <c r="E95" s="9">
        <v>1.9900000000000001E-2</v>
      </c>
      <c r="F95" s="9">
        <v>-0.19</v>
      </c>
      <c r="L95" s="10"/>
      <c r="M95" s="10"/>
      <c r="N95" s="10"/>
      <c r="O95" s="10"/>
      <c r="P95" s="10"/>
    </row>
    <row r="96" spans="1:16" x14ac:dyDescent="0.3">
      <c r="A96">
        <v>200009</v>
      </c>
      <c r="B96" s="9">
        <v>-0.14580000000000001</v>
      </c>
      <c r="C96" s="9">
        <v>6.6E-3</v>
      </c>
      <c r="D96" s="9">
        <v>-0.13469999999999999</v>
      </c>
      <c r="E96" s="9">
        <v>-0.1072</v>
      </c>
      <c r="F96" s="9">
        <v>3.8800000000000001E-2</v>
      </c>
      <c r="L96" s="10"/>
      <c r="M96" s="10"/>
      <c r="N96" s="10"/>
      <c r="O96" s="10"/>
      <c r="P96" s="10"/>
    </row>
    <row r="97" spans="1:16" x14ac:dyDescent="0.3">
      <c r="A97">
        <v>200010</v>
      </c>
      <c r="B97" s="9">
        <v>-0.2392</v>
      </c>
      <c r="C97" s="9">
        <v>-8.2000000000000007E-3</v>
      </c>
      <c r="D97" s="9">
        <v>-0.1411</v>
      </c>
      <c r="E97" s="9">
        <v>-0.1552</v>
      </c>
      <c r="F97" s="9">
        <v>-0.1046</v>
      </c>
      <c r="L97" s="10"/>
      <c r="M97" s="10"/>
      <c r="N97" s="10"/>
      <c r="O97" s="10"/>
      <c r="P97" s="10"/>
    </row>
    <row r="98" spans="1:16" x14ac:dyDescent="0.3">
      <c r="A98">
        <v>200011</v>
      </c>
      <c r="B98" s="9">
        <v>0.17180000000000001</v>
      </c>
      <c r="C98" s="9">
        <v>-0.13569999999999999</v>
      </c>
      <c r="D98" s="9">
        <v>-0.14660000000000001</v>
      </c>
      <c r="E98" s="9">
        <v>1.15E-2</v>
      </c>
      <c r="F98" s="9">
        <v>-2.1899999999999999E-2</v>
      </c>
      <c r="L98" s="10"/>
      <c r="M98" s="10"/>
      <c r="N98" s="10"/>
      <c r="O98" s="10"/>
      <c r="P98" s="10"/>
    </row>
    <row r="99" spans="1:16" x14ac:dyDescent="0.3">
      <c r="A99">
        <v>200012</v>
      </c>
      <c r="B99" s="9">
        <v>5.0500000000000003E-2</v>
      </c>
      <c r="C99" s="9">
        <v>0.1416</v>
      </c>
      <c r="D99" s="9">
        <v>-4.8099999999999997E-2</v>
      </c>
      <c r="E99" s="9">
        <v>8.7800000000000003E-2</v>
      </c>
      <c r="F99" s="9">
        <v>-7.7700000000000005E-2</v>
      </c>
      <c r="L99" s="10"/>
      <c r="M99" s="10"/>
      <c r="N99" s="10"/>
      <c r="O99" s="10"/>
      <c r="P99" s="10"/>
    </row>
    <row r="100" spans="1:16" x14ac:dyDescent="0.3">
      <c r="A100">
        <v>200101</v>
      </c>
      <c r="B100" s="9">
        <v>-5.7700000000000001E-2</v>
      </c>
      <c r="C100" s="9">
        <v>-0.12180000000000001</v>
      </c>
      <c r="D100" s="9">
        <v>-4.2799999999999998E-2</v>
      </c>
      <c r="E100" s="9">
        <v>0.60419999999999996</v>
      </c>
      <c r="F100" s="9">
        <v>-0.25230000000000002</v>
      </c>
      <c r="L100" s="10"/>
      <c r="M100" s="10"/>
      <c r="N100" s="10"/>
      <c r="O100" s="10"/>
      <c r="P100" s="10"/>
    </row>
    <row r="101" spans="1:16" x14ac:dyDescent="0.3">
      <c r="A101">
        <v>200102</v>
      </c>
      <c r="B101" s="9">
        <v>-6.6000000000000003E-2</v>
      </c>
      <c r="C101" s="9">
        <v>-0.13300000000000001</v>
      </c>
      <c r="D101" s="9">
        <v>5.1999999999999998E-3</v>
      </c>
      <c r="E101" s="9">
        <v>6.0000000000000001E-3</v>
      </c>
      <c r="F101" s="9">
        <v>-4.1700000000000001E-2</v>
      </c>
      <c r="L101" s="10"/>
      <c r="M101" s="10"/>
      <c r="N101" s="10"/>
      <c r="O101" s="10"/>
      <c r="P101" s="10"/>
    </row>
    <row r="102" spans="1:16" x14ac:dyDescent="0.3">
      <c r="A102">
        <v>200103</v>
      </c>
      <c r="B102" s="9">
        <v>-6.1100000000000002E-2</v>
      </c>
      <c r="C102" s="9">
        <v>9.6000000000000002E-2</v>
      </c>
      <c r="D102" s="9">
        <v>0.1158</v>
      </c>
      <c r="E102" s="9">
        <v>7.0599999999999996E-2</v>
      </c>
      <c r="F102" s="9">
        <v>5.6599999999999998E-2</v>
      </c>
      <c r="L102" s="10"/>
      <c r="M102" s="10"/>
      <c r="N102" s="10"/>
      <c r="O102" s="10"/>
      <c r="P102" s="10"/>
    </row>
    <row r="103" spans="1:16" x14ac:dyDescent="0.3">
      <c r="A103">
        <v>200104</v>
      </c>
      <c r="B103" s="9">
        <v>0.31869999999999998</v>
      </c>
      <c r="C103" s="9">
        <v>-0.2394</v>
      </c>
      <c r="D103" s="9">
        <v>-0.13070000000000001</v>
      </c>
      <c r="E103" s="9">
        <v>2.9600000000000001E-2</v>
      </c>
      <c r="F103" s="9">
        <v>-0.12479999999999999</v>
      </c>
      <c r="L103" s="10"/>
      <c r="M103" s="10"/>
      <c r="N103" s="10"/>
      <c r="O103" s="10"/>
      <c r="P103" s="10"/>
    </row>
    <row r="104" spans="1:16" x14ac:dyDescent="0.3">
      <c r="A104">
        <v>200105</v>
      </c>
      <c r="B104" s="9">
        <v>5.4000000000000003E-3</v>
      </c>
      <c r="C104" s="9">
        <v>5.8000000000000003E-2</v>
      </c>
      <c r="D104" s="9">
        <v>-3.0800000000000001E-2</v>
      </c>
      <c r="E104" s="9">
        <v>-6.8500000000000005E-2</v>
      </c>
      <c r="F104" s="9">
        <v>-0.1232</v>
      </c>
      <c r="L104" s="10"/>
      <c r="M104" s="10"/>
      <c r="N104" s="10"/>
      <c r="O104" s="10"/>
      <c r="P104" s="10"/>
    </row>
    <row r="105" spans="1:16" x14ac:dyDescent="0.3">
      <c r="A105">
        <v>200106</v>
      </c>
      <c r="B105" s="9">
        <v>-5.45E-2</v>
      </c>
      <c r="C105" s="9">
        <v>-8.6099999999999996E-2</v>
      </c>
      <c r="D105" s="9">
        <v>-2.8899999999999999E-2</v>
      </c>
      <c r="E105" s="9">
        <v>6.9999999999999999E-4</v>
      </c>
      <c r="F105" s="9">
        <v>-0.15090000000000001</v>
      </c>
      <c r="L105" s="10"/>
      <c r="M105" s="10"/>
      <c r="N105" s="10"/>
      <c r="O105" s="10"/>
      <c r="P105" s="10"/>
    </row>
    <row r="106" spans="1:16" x14ac:dyDescent="0.3">
      <c r="A106">
        <v>200107</v>
      </c>
      <c r="B106" s="9">
        <v>-1.17E-2</v>
      </c>
      <c r="C106" s="9">
        <v>1.1299999999999999E-2</v>
      </c>
      <c r="D106" s="9">
        <v>-5.8000000000000003E-2</v>
      </c>
      <c r="E106" s="9">
        <v>-8.1900000000000001E-2</v>
      </c>
      <c r="F106" s="9">
        <v>-7.3800000000000004E-2</v>
      </c>
      <c r="L106" s="10"/>
      <c r="M106" s="10"/>
      <c r="N106" s="10"/>
      <c r="O106" s="10"/>
      <c r="P106" s="10"/>
    </row>
    <row r="107" spans="1:16" x14ac:dyDescent="0.3">
      <c r="A107">
        <v>200108</v>
      </c>
      <c r="B107" s="9">
        <v>2.1000000000000001E-2</v>
      </c>
      <c r="C107" s="9">
        <v>0.1615</v>
      </c>
      <c r="D107" s="9">
        <v>-0.17910000000000001</v>
      </c>
      <c r="E107" s="9">
        <v>7.4000000000000003E-3</v>
      </c>
      <c r="F107" s="9">
        <v>4.5499999999999999E-2</v>
      </c>
      <c r="L107" s="10"/>
      <c r="M107" s="10"/>
      <c r="N107" s="10"/>
      <c r="O107" s="10"/>
      <c r="P107" s="10"/>
    </row>
    <row r="108" spans="1:16" x14ac:dyDescent="0.3">
      <c r="A108">
        <v>200109</v>
      </c>
      <c r="B108" s="9">
        <v>-6.4000000000000001E-2</v>
      </c>
      <c r="C108" s="9">
        <v>8.43E-2</v>
      </c>
      <c r="D108" s="9">
        <v>0.37040000000000001</v>
      </c>
      <c r="E108" s="9">
        <v>0.98699999999999999</v>
      </c>
      <c r="F108" s="9">
        <v>0.3674</v>
      </c>
      <c r="L108" s="10"/>
      <c r="M108" s="10"/>
      <c r="N108" s="10"/>
      <c r="O108" s="10"/>
      <c r="P108" s="10"/>
    </row>
    <row r="109" spans="1:16" x14ac:dyDescent="0.3">
      <c r="A109">
        <v>200110</v>
      </c>
      <c r="B109" s="9">
        <v>0.4365</v>
      </c>
      <c r="C109" s="9">
        <v>-0.1668</v>
      </c>
      <c r="D109" s="9">
        <v>-5.28E-2</v>
      </c>
      <c r="E109" s="9">
        <v>9.0700000000000003E-2</v>
      </c>
      <c r="F109" s="9">
        <v>-9.7299999999999998E-2</v>
      </c>
      <c r="L109" s="10"/>
      <c r="M109" s="10"/>
      <c r="N109" s="10"/>
      <c r="O109" s="10"/>
      <c r="P109" s="10"/>
    </row>
    <row r="110" spans="1:16" x14ac:dyDescent="0.3">
      <c r="A110">
        <v>200111</v>
      </c>
      <c r="B110" s="9">
        <v>7.3200000000000001E-2</v>
      </c>
      <c r="C110" s="9">
        <v>-9.64E-2</v>
      </c>
      <c r="D110" s="9">
        <v>-0.1057</v>
      </c>
      <c r="E110" s="9">
        <v>2.41E-2</v>
      </c>
      <c r="F110" s="9">
        <v>-6.5100000000000005E-2</v>
      </c>
      <c r="L110" s="10"/>
      <c r="M110" s="10"/>
      <c r="N110" s="10"/>
      <c r="O110" s="10"/>
      <c r="P110" s="10"/>
    </row>
    <row r="111" spans="1:16" x14ac:dyDescent="0.3">
      <c r="A111">
        <v>200112</v>
      </c>
      <c r="B111" s="9">
        <v>0.30259999999999998</v>
      </c>
      <c r="C111" s="9">
        <v>1.77E-2</v>
      </c>
      <c r="D111" s="9">
        <v>-6.3200000000000006E-2</v>
      </c>
      <c r="E111" s="9">
        <v>-0.13739999999999999</v>
      </c>
      <c r="F111" s="9">
        <v>-0.1545</v>
      </c>
      <c r="L111" s="10"/>
      <c r="M111" s="10"/>
      <c r="N111" s="10"/>
      <c r="O111" s="10"/>
      <c r="P111" s="10"/>
    </row>
    <row r="112" spans="1:16" x14ac:dyDescent="0.3">
      <c r="A112">
        <v>200201</v>
      </c>
      <c r="B112" s="9">
        <v>-0.21329999999999999</v>
      </c>
      <c r="C112" s="9">
        <v>-5.7099999999999998E-2</v>
      </c>
      <c r="D112" s="9">
        <v>-0.18920000000000001</v>
      </c>
      <c r="E112" s="9">
        <v>-0.1419</v>
      </c>
      <c r="F112" s="9">
        <v>-0.24940000000000001</v>
      </c>
      <c r="L112" s="10"/>
      <c r="M112" s="10"/>
      <c r="N112" s="10"/>
      <c r="O112" s="10"/>
      <c r="P112" s="10"/>
    </row>
    <row r="113" spans="1:16" x14ac:dyDescent="0.3">
      <c r="A113">
        <v>200202</v>
      </c>
      <c r="B113" s="9">
        <v>-0.13669999999999999</v>
      </c>
      <c r="C113" s="9">
        <v>-0.2477</v>
      </c>
      <c r="D113" s="9">
        <v>4.9399999999999999E-2</v>
      </c>
      <c r="E113" s="9">
        <v>-0.14019999999999999</v>
      </c>
      <c r="F113" s="9">
        <v>-0.22220000000000001</v>
      </c>
      <c r="L113" s="10"/>
      <c r="M113" s="10"/>
      <c r="N113" s="10"/>
      <c r="O113" s="10"/>
      <c r="P113" s="10"/>
    </row>
    <row r="114" spans="1:16" x14ac:dyDescent="0.3">
      <c r="A114">
        <v>200203</v>
      </c>
      <c r="B114" s="9">
        <v>9.2600000000000002E-2</v>
      </c>
      <c r="C114" s="9">
        <v>-5.6599999999999998E-2</v>
      </c>
      <c r="D114" s="9">
        <v>7.7600000000000002E-2</v>
      </c>
      <c r="E114" s="9">
        <v>0.1205</v>
      </c>
      <c r="F114" s="9">
        <v>-0.16450000000000001</v>
      </c>
      <c r="L114" s="10"/>
      <c r="M114" s="10"/>
      <c r="N114" s="10"/>
      <c r="O114" s="10"/>
      <c r="P114" s="10"/>
    </row>
    <row r="115" spans="1:16" x14ac:dyDescent="0.3">
      <c r="A115">
        <v>200204</v>
      </c>
      <c r="B115" s="9">
        <v>-0.2349</v>
      </c>
      <c r="C115" s="9">
        <v>8.3099999999999993E-2</v>
      </c>
      <c r="D115" s="9">
        <v>-9.7600000000000006E-2</v>
      </c>
      <c r="E115" s="9">
        <v>-0.1318</v>
      </c>
      <c r="F115" s="9">
        <v>-9.0499999999999997E-2</v>
      </c>
      <c r="L115" s="10"/>
      <c r="M115" s="10"/>
      <c r="N115" s="10"/>
      <c r="O115" s="10"/>
      <c r="P115" s="10"/>
    </row>
    <row r="116" spans="1:16" x14ac:dyDescent="0.3">
      <c r="A116">
        <v>200205</v>
      </c>
      <c r="B116" s="9">
        <v>-0.1447</v>
      </c>
      <c r="C116" s="9">
        <v>0.21759999999999999</v>
      </c>
      <c r="D116" s="9">
        <v>-1.0500000000000001E-2</v>
      </c>
      <c r="E116" s="9">
        <v>-5.8400000000000001E-2</v>
      </c>
      <c r="F116" s="9">
        <v>-0.15939999999999999</v>
      </c>
      <c r="L116" s="10"/>
      <c r="M116" s="10"/>
      <c r="N116" s="10"/>
      <c r="O116" s="10"/>
      <c r="P116" s="10"/>
    </row>
    <row r="117" spans="1:16" x14ac:dyDescent="0.3">
      <c r="A117">
        <v>200206</v>
      </c>
      <c r="B117" s="9">
        <v>0.1166</v>
      </c>
      <c r="C117" s="9">
        <v>0.5534</v>
      </c>
      <c r="D117" s="9">
        <v>-2.4899999999999999E-2</v>
      </c>
      <c r="E117" s="9">
        <v>-1.6E-2</v>
      </c>
      <c r="F117" s="9">
        <v>0.12889999999999999</v>
      </c>
      <c r="L117" s="10"/>
      <c r="M117" s="10"/>
      <c r="N117" s="10"/>
      <c r="O117" s="10"/>
      <c r="P117" s="10"/>
    </row>
    <row r="118" spans="1:16" x14ac:dyDescent="0.3">
      <c r="A118">
        <v>200207</v>
      </c>
      <c r="B118" s="9">
        <v>0.1124</v>
      </c>
      <c r="C118" s="9">
        <v>-3.0300000000000001E-2</v>
      </c>
      <c r="D118" s="9">
        <v>-4.1000000000000003E-3</v>
      </c>
      <c r="E118" s="9">
        <v>0.33410000000000001</v>
      </c>
      <c r="F118" s="9">
        <v>0.41670000000000001</v>
      </c>
      <c r="L118" s="10"/>
      <c r="M118" s="10"/>
      <c r="N118" s="10"/>
      <c r="O118" s="10"/>
      <c r="P118" s="10"/>
    </row>
    <row r="119" spans="1:16" x14ac:dyDescent="0.3">
      <c r="A119">
        <v>200208</v>
      </c>
      <c r="B119" s="9">
        <v>0.12989999999999999</v>
      </c>
      <c r="C119" s="9">
        <v>-9.7799999999999998E-2</v>
      </c>
      <c r="D119" s="9">
        <v>-0.17050000000000001</v>
      </c>
      <c r="E119" s="9">
        <v>-4.48E-2</v>
      </c>
      <c r="F119" s="9">
        <v>-7.4800000000000005E-2</v>
      </c>
      <c r="L119" s="10"/>
      <c r="M119" s="10"/>
      <c r="N119" s="10"/>
      <c r="O119" s="10"/>
      <c r="P119" s="10"/>
    </row>
    <row r="120" spans="1:16" x14ac:dyDescent="0.3">
      <c r="A120">
        <v>200209</v>
      </c>
      <c r="B120" s="9">
        <v>0.19059999999999999</v>
      </c>
      <c r="C120" s="9">
        <v>-3.9199999999999999E-2</v>
      </c>
      <c r="D120" s="9">
        <v>2.7900000000000001E-2</v>
      </c>
      <c r="E120" s="9">
        <v>-6.08E-2</v>
      </c>
      <c r="F120" s="9">
        <v>4.5499999999999999E-2</v>
      </c>
      <c r="L120" s="10"/>
      <c r="M120" s="10"/>
      <c r="N120" s="10"/>
      <c r="O120" s="10"/>
      <c r="P120" s="10"/>
    </row>
    <row r="121" spans="1:16" x14ac:dyDescent="0.3">
      <c r="A121">
        <v>200210</v>
      </c>
      <c r="B121" s="9">
        <v>-0.20399999999999999</v>
      </c>
      <c r="C121" s="9">
        <v>-0.28039999999999998</v>
      </c>
      <c r="D121" s="9">
        <v>-0.15909999999999999</v>
      </c>
      <c r="E121" s="9">
        <v>-0.2034</v>
      </c>
      <c r="F121" s="9">
        <v>-0.2288</v>
      </c>
      <c r="L121" s="10"/>
      <c r="M121" s="10"/>
      <c r="N121" s="10"/>
      <c r="O121" s="10"/>
      <c r="P121" s="10"/>
    </row>
    <row r="122" spans="1:16" x14ac:dyDescent="0.3">
      <c r="A122">
        <v>200211</v>
      </c>
      <c r="B122" s="9">
        <v>-0.1358</v>
      </c>
      <c r="C122" s="9">
        <v>-9.2899999999999996E-2</v>
      </c>
      <c r="D122" s="9">
        <v>-9.8699999999999996E-2</v>
      </c>
      <c r="E122" s="9">
        <v>-0.20619999999999999</v>
      </c>
      <c r="F122" s="9">
        <v>-0.1221</v>
      </c>
      <c r="L122" s="10"/>
      <c r="M122" s="10"/>
      <c r="N122" s="10"/>
      <c r="O122" s="10"/>
      <c r="P122" s="10"/>
    </row>
    <row r="123" spans="1:16" x14ac:dyDescent="0.3">
      <c r="A123">
        <v>200212</v>
      </c>
      <c r="B123" s="9">
        <v>5.3499999999999999E-2</v>
      </c>
      <c r="C123" s="9">
        <v>0.40360000000000001</v>
      </c>
      <c r="D123" s="9">
        <v>0.17519999999999999</v>
      </c>
      <c r="E123" s="9">
        <v>-8.5800000000000001E-2</v>
      </c>
      <c r="F123" s="9">
        <v>-6.7699999999999996E-2</v>
      </c>
      <c r="L123" s="10"/>
      <c r="M123" s="10"/>
      <c r="N123" s="10"/>
      <c r="O123" s="10"/>
      <c r="P123" s="10"/>
    </row>
    <row r="124" spans="1:16" x14ac:dyDescent="0.3">
      <c r="A124">
        <v>200301</v>
      </c>
      <c r="B124" s="9">
        <v>-8.6300000000000002E-2</v>
      </c>
      <c r="C124" s="9">
        <v>3.1600000000000003E-2</v>
      </c>
      <c r="D124" s="9">
        <v>-8.1900000000000001E-2</v>
      </c>
      <c r="E124" s="9">
        <v>-0.2281</v>
      </c>
      <c r="F124" s="9">
        <v>-4.1599999999999998E-2</v>
      </c>
      <c r="L124" s="10"/>
      <c r="M124" s="10"/>
      <c r="N124" s="10"/>
      <c r="O124" s="10"/>
      <c r="P124" s="10"/>
    </row>
    <row r="125" spans="1:16" x14ac:dyDescent="0.3">
      <c r="A125">
        <v>200302</v>
      </c>
      <c r="B125" s="9">
        <v>7.22E-2</v>
      </c>
      <c r="C125" s="9">
        <v>-9.7699999999999995E-2</v>
      </c>
      <c r="D125" s="9">
        <v>-9.1000000000000004E-3</v>
      </c>
      <c r="E125" s="9">
        <v>0.22170000000000001</v>
      </c>
      <c r="F125" s="9">
        <v>-1.7500000000000002E-2</v>
      </c>
      <c r="L125" s="10"/>
      <c r="M125" s="10"/>
      <c r="N125" s="10"/>
      <c r="O125" s="10"/>
      <c r="P125" s="10"/>
    </row>
    <row r="126" spans="1:16" x14ac:dyDescent="0.3">
      <c r="A126">
        <v>200303</v>
      </c>
      <c r="B126" s="9">
        <v>-8.8000000000000005E-3</v>
      </c>
      <c r="C126" s="9">
        <v>3.3500000000000002E-2</v>
      </c>
      <c r="D126" s="9">
        <v>-6.5100000000000005E-2</v>
      </c>
      <c r="E126" s="9">
        <v>-5.7999999999999996E-3</v>
      </c>
      <c r="F126" s="9">
        <v>5.91E-2</v>
      </c>
      <c r="L126" s="10"/>
      <c r="M126" s="10"/>
      <c r="N126" s="10"/>
      <c r="O126" s="10"/>
      <c r="P126" s="10"/>
    </row>
    <row r="127" spans="1:16" x14ac:dyDescent="0.3">
      <c r="A127">
        <v>200304</v>
      </c>
      <c r="B127" s="9">
        <v>-0.2341</v>
      </c>
      <c r="C127" s="9">
        <v>-0.1113</v>
      </c>
      <c r="D127" s="9">
        <v>-0.1111</v>
      </c>
      <c r="E127" s="9">
        <v>-0.20949999999999999</v>
      </c>
      <c r="F127" s="9">
        <v>-5.2499999999999998E-2</v>
      </c>
      <c r="L127" s="10"/>
      <c r="M127" s="10"/>
      <c r="N127" s="10"/>
      <c r="O127" s="10"/>
      <c r="P127" s="10"/>
    </row>
    <row r="128" spans="1:16" x14ac:dyDescent="0.3">
      <c r="A128">
        <v>200305</v>
      </c>
      <c r="B128" s="9">
        <v>0.192</v>
      </c>
      <c r="C128" s="9">
        <v>0.252</v>
      </c>
      <c r="D128" s="9">
        <v>0.1527</v>
      </c>
      <c r="E128" s="9">
        <v>-5.57E-2</v>
      </c>
      <c r="F128" s="9">
        <v>4.9099999999999998E-2</v>
      </c>
      <c r="L128" s="10"/>
      <c r="M128" s="10"/>
      <c r="N128" s="10"/>
      <c r="O128" s="10"/>
      <c r="P128" s="10"/>
    </row>
    <row r="129" spans="1:16" x14ac:dyDescent="0.3">
      <c r="A129">
        <v>200306</v>
      </c>
      <c r="B129" s="9">
        <v>-4.9599999999999998E-2</v>
      </c>
      <c r="C129" s="9">
        <v>-5.7799999999999997E-2</v>
      </c>
      <c r="D129" s="9">
        <v>-0.15759999999999999</v>
      </c>
      <c r="E129" s="9">
        <v>5.7299999999999997E-2</v>
      </c>
      <c r="F129" s="9">
        <v>-7.4700000000000003E-2</v>
      </c>
      <c r="L129" s="10"/>
      <c r="M129" s="10"/>
      <c r="N129" s="10"/>
      <c r="O129" s="10"/>
      <c r="P129" s="10"/>
    </row>
    <row r="130" spans="1:16" x14ac:dyDescent="0.3">
      <c r="A130">
        <v>200307</v>
      </c>
      <c r="B130" s="9">
        <v>0.23619999999999999</v>
      </c>
      <c r="C130" s="9">
        <v>3.3599999999999998E-2</v>
      </c>
      <c r="D130" s="9">
        <v>0.15240000000000001</v>
      </c>
      <c r="E130" s="9">
        <v>-7.5300000000000006E-2</v>
      </c>
      <c r="F130" s="9">
        <v>-0.21529999999999999</v>
      </c>
      <c r="L130" s="10"/>
      <c r="M130" s="10"/>
      <c r="N130" s="10"/>
      <c r="O130" s="10"/>
      <c r="P130" s="10"/>
    </row>
    <row r="131" spans="1:16" x14ac:dyDescent="0.3">
      <c r="A131">
        <v>200308</v>
      </c>
      <c r="B131" s="9">
        <v>-8.1000000000000003E-2</v>
      </c>
      <c r="C131" s="9">
        <v>6.4399999999999999E-2</v>
      </c>
      <c r="D131" s="9">
        <v>0.23949999999999999</v>
      </c>
      <c r="E131" s="9">
        <v>0.1129</v>
      </c>
      <c r="F131" s="9">
        <v>-0.1338</v>
      </c>
      <c r="L131" s="10"/>
      <c r="M131" s="10"/>
      <c r="N131" s="10"/>
      <c r="O131" s="10"/>
      <c r="P131" s="10"/>
    </row>
    <row r="132" spans="1:16" x14ac:dyDescent="0.3">
      <c r="A132">
        <v>200309</v>
      </c>
      <c r="B132" s="9">
        <v>2.4799999999999999E-2</v>
      </c>
      <c r="C132" s="9">
        <v>0.44979999999999998</v>
      </c>
      <c r="D132" s="9">
        <v>-6.0000000000000001E-3</v>
      </c>
      <c r="E132" s="9">
        <v>-0.14879999999999999</v>
      </c>
      <c r="F132" s="9">
        <v>1.0699999999999999E-2</v>
      </c>
      <c r="L132" s="10"/>
      <c r="M132" s="10"/>
      <c r="N132" s="10"/>
      <c r="O132" s="10"/>
      <c r="P132" s="10"/>
    </row>
    <row r="133" spans="1:16" x14ac:dyDescent="0.3">
      <c r="A133">
        <v>200310</v>
      </c>
      <c r="B133" s="9">
        <v>-0.1696</v>
      </c>
      <c r="C133" s="9">
        <v>-8.4400000000000003E-2</v>
      </c>
      <c r="D133" s="9">
        <v>1.6799999999999999E-2</v>
      </c>
      <c r="E133" s="9">
        <v>-0.1052</v>
      </c>
      <c r="F133" s="9">
        <v>-0.24460000000000001</v>
      </c>
      <c r="L133" s="10"/>
      <c r="M133" s="10"/>
      <c r="N133" s="10"/>
      <c r="O133" s="10"/>
      <c r="P133" s="10"/>
    </row>
    <row r="134" spans="1:16" x14ac:dyDescent="0.3">
      <c r="A134">
        <v>200311</v>
      </c>
      <c r="B134" s="9">
        <v>-0.1135</v>
      </c>
      <c r="C134" s="9">
        <v>0.1099</v>
      </c>
      <c r="D134" s="9">
        <v>-8.2900000000000001E-2</v>
      </c>
      <c r="E134" s="9">
        <v>3.9899999999999998E-2</v>
      </c>
      <c r="F134" s="9">
        <v>-0.18379999999999999</v>
      </c>
      <c r="L134" s="10"/>
      <c r="M134" s="10"/>
      <c r="N134" s="10"/>
      <c r="O134" s="10"/>
      <c r="P134" s="10"/>
    </row>
    <row r="135" spans="1:16" x14ac:dyDescent="0.3">
      <c r="A135">
        <v>200312</v>
      </c>
      <c r="B135" s="9">
        <v>-7.2700000000000001E-2</v>
      </c>
      <c r="C135" s="9">
        <v>2.98E-2</v>
      </c>
      <c r="D135" s="9">
        <v>-3.3999999999999998E-3</v>
      </c>
      <c r="E135" s="9">
        <v>-8.6499999999999994E-2</v>
      </c>
      <c r="F135" s="9">
        <v>-1.6799999999999999E-2</v>
      </c>
      <c r="L135" s="10"/>
      <c r="M135" s="10"/>
      <c r="N135" s="10"/>
      <c r="O135" s="10"/>
      <c r="P135" s="10"/>
    </row>
    <row r="136" spans="1:16" x14ac:dyDescent="0.3">
      <c r="A136">
        <v>200401</v>
      </c>
      <c r="B136" s="9">
        <v>-0.14299999999999999</v>
      </c>
      <c r="C136" s="9">
        <v>2.0000000000000001E-4</v>
      </c>
      <c r="D136" s="9">
        <v>3.4700000000000002E-2</v>
      </c>
      <c r="E136" s="9">
        <v>-0.1159</v>
      </c>
      <c r="F136" s="9">
        <v>-0.11849999999999999</v>
      </c>
      <c r="L136" s="10"/>
      <c r="M136" s="10"/>
      <c r="N136" s="10"/>
      <c r="O136" s="10"/>
      <c r="P136" s="10"/>
    </row>
    <row r="137" spans="1:16" x14ac:dyDescent="0.3">
      <c r="A137">
        <v>200402</v>
      </c>
      <c r="B137" s="9">
        <v>-9.9500000000000005E-2</v>
      </c>
      <c r="C137" s="9">
        <v>-7.0800000000000002E-2</v>
      </c>
      <c r="D137" s="9">
        <v>7.4200000000000002E-2</v>
      </c>
      <c r="E137" s="9">
        <v>-6.8900000000000003E-2</v>
      </c>
      <c r="F137" s="9">
        <v>-0.1489</v>
      </c>
      <c r="L137" s="10"/>
      <c r="M137" s="10"/>
      <c r="N137" s="10"/>
      <c r="O137" s="10"/>
      <c r="P137" s="10"/>
    </row>
    <row r="138" spans="1:16" x14ac:dyDescent="0.3">
      <c r="A138">
        <v>200403</v>
      </c>
      <c r="B138" s="9">
        <v>-6.6E-3</v>
      </c>
      <c r="C138" s="9">
        <v>0.1229</v>
      </c>
      <c r="D138" s="9">
        <v>0.14879999999999999</v>
      </c>
      <c r="E138" s="9">
        <v>-1.5900000000000001E-2</v>
      </c>
      <c r="F138" s="9">
        <v>-1.5800000000000002E-2</v>
      </c>
      <c r="L138" s="10"/>
      <c r="M138" s="10"/>
      <c r="N138" s="10"/>
      <c r="O138" s="10"/>
      <c r="P138" s="10"/>
    </row>
    <row r="139" spans="1:16" x14ac:dyDescent="0.3">
      <c r="A139">
        <v>200404</v>
      </c>
      <c r="B139" s="9">
        <v>-1.9699999999999999E-2</v>
      </c>
      <c r="C139" s="9">
        <v>-7.9200000000000007E-2</v>
      </c>
      <c r="D139" s="9">
        <v>0.1052</v>
      </c>
      <c r="E139" s="9">
        <v>2.3300000000000001E-2</v>
      </c>
      <c r="F139" s="9">
        <v>-0.1817</v>
      </c>
      <c r="L139" s="10"/>
      <c r="M139" s="10"/>
      <c r="N139" s="10"/>
      <c r="O139" s="10"/>
      <c r="P139" s="10"/>
    </row>
    <row r="140" spans="1:16" x14ac:dyDescent="0.3">
      <c r="A140">
        <v>200405</v>
      </c>
      <c r="B140" s="9">
        <v>-0.1318</v>
      </c>
      <c r="C140" s="9">
        <v>-0.1197</v>
      </c>
      <c r="D140" s="9">
        <v>0.1111</v>
      </c>
      <c r="E140" s="9">
        <v>0.1507</v>
      </c>
      <c r="F140" s="9">
        <v>-0.25929999999999997</v>
      </c>
      <c r="L140" s="10"/>
      <c r="M140" s="10"/>
      <c r="N140" s="10"/>
      <c r="O140" s="10"/>
      <c r="P140" s="10"/>
    </row>
    <row r="141" spans="1:16" x14ac:dyDescent="0.3">
      <c r="A141">
        <v>200406</v>
      </c>
      <c r="B141" s="9">
        <v>-0.17080000000000001</v>
      </c>
      <c r="C141" s="9">
        <v>-0.1787</v>
      </c>
      <c r="D141" s="9">
        <v>-9.3399999999999997E-2</v>
      </c>
      <c r="E141" s="9">
        <v>-0.18290000000000001</v>
      </c>
      <c r="F141" s="9">
        <v>-0.15570000000000001</v>
      </c>
      <c r="L141" s="10"/>
      <c r="M141" s="10"/>
      <c r="N141" s="10"/>
      <c r="O141" s="10"/>
      <c r="P141" s="10"/>
    </row>
    <row r="142" spans="1:16" x14ac:dyDescent="0.3">
      <c r="A142">
        <v>200407</v>
      </c>
      <c r="B142" s="9">
        <v>-0.1162</v>
      </c>
      <c r="C142" s="9">
        <v>-8.7800000000000003E-2</v>
      </c>
      <c r="D142" s="9">
        <v>0.15429999999999999</v>
      </c>
      <c r="E142" s="9">
        <v>-0.2465</v>
      </c>
      <c r="F142" s="9">
        <v>-0.18179999999999999</v>
      </c>
      <c r="L142" s="10"/>
      <c r="M142" s="10"/>
      <c r="N142" s="10"/>
      <c r="O142" s="10"/>
      <c r="P142" s="10"/>
    </row>
    <row r="143" spans="1:16" x14ac:dyDescent="0.3">
      <c r="A143">
        <v>200408</v>
      </c>
      <c r="B143" s="9">
        <v>6.7000000000000002E-3</v>
      </c>
      <c r="C143" s="9">
        <v>-0.3</v>
      </c>
      <c r="D143" s="9">
        <v>-6.0499999999999998E-2</v>
      </c>
      <c r="E143" s="9">
        <v>-7.3300000000000004E-2</v>
      </c>
      <c r="F143" s="9">
        <v>-0.22989999999999999</v>
      </c>
      <c r="L143" s="10"/>
      <c r="M143" s="10"/>
      <c r="N143" s="10"/>
      <c r="O143" s="10"/>
      <c r="P143" s="10"/>
    </row>
    <row r="144" spans="1:16" x14ac:dyDescent="0.3">
      <c r="A144">
        <v>200409</v>
      </c>
      <c r="B144" s="9">
        <v>-0.1239</v>
      </c>
      <c r="C144" s="9">
        <v>-0.15310000000000001</v>
      </c>
      <c r="D144" s="9">
        <v>1.83E-2</v>
      </c>
      <c r="E144" s="9">
        <v>-0.1371</v>
      </c>
      <c r="F144" s="9">
        <v>-8.0600000000000005E-2</v>
      </c>
      <c r="L144" s="10"/>
      <c r="M144" s="10"/>
      <c r="N144" s="10"/>
      <c r="O144" s="10"/>
      <c r="P144" s="10"/>
    </row>
    <row r="145" spans="1:16" x14ac:dyDescent="0.3">
      <c r="A145">
        <v>200410</v>
      </c>
      <c r="B145" s="9">
        <v>-5.5399999999999998E-2</v>
      </c>
      <c r="C145" s="9">
        <v>0.23300000000000001</v>
      </c>
      <c r="D145" s="9">
        <v>-5.6399999999999999E-2</v>
      </c>
      <c r="E145" s="9">
        <v>-7.3300000000000004E-2</v>
      </c>
      <c r="F145" s="9">
        <v>6.6900000000000001E-2</v>
      </c>
      <c r="L145" s="10"/>
      <c r="M145" s="10"/>
      <c r="N145" s="10"/>
      <c r="O145" s="10"/>
      <c r="P145" s="10"/>
    </row>
    <row r="146" spans="1:16" x14ac:dyDescent="0.3">
      <c r="A146">
        <v>200411</v>
      </c>
      <c r="B146" s="9">
        <v>-4.3400000000000001E-2</v>
      </c>
      <c r="C146" s="9">
        <v>0.41749999999999998</v>
      </c>
      <c r="D146" s="9">
        <v>-4.1099999999999998E-2</v>
      </c>
      <c r="E146" s="9">
        <v>1.03E-2</v>
      </c>
      <c r="F146" s="9">
        <v>0.13109999999999999</v>
      </c>
      <c r="L146" s="10"/>
      <c r="M146" s="10"/>
      <c r="N146" s="10"/>
      <c r="O146" s="10"/>
      <c r="P146" s="10"/>
    </row>
    <row r="147" spans="1:16" x14ac:dyDescent="0.3">
      <c r="A147">
        <v>200412</v>
      </c>
      <c r="B147" s="9">
        <v>-3.39E-2</v>
      </c>
      <c r="C147" s="9">
        <v>-5.9700000000000003E-2</v>
      </c>
      <c r="D147" s="9">
        <v>-0.1124</v>
      </c>
      <c r="E147" s="9">
        <v>-0.1358</v>
      </c>
      <c r="F147" s="9">
        <v>1.5299999999999999E-2</v>
      </c>
      <c r="L147" s="10"/>
      <c r="M147" s="10"/>
      <c r="N147" s="10"/>
      <c r="O147" s="10"/>
      <c r="P147" s="10"/>
    </row>
    <row r="148" spans="1:16" x14ac:dyDescent="0.3">
      <c r="A148">
        <v>200501</v>
      </c>
      <c r="B148" s="9">
        <v>-9.9299999999999999E-2</v>
      </c>
      <c r="C148" s="9">
        <v>-0.1111</v>
      </c>
      <c r="D148" s="9">
        <v>-0.12520000000000001</v>
      </c>
      <c r="E148" s="9">
        <v>-0.16259999999999999</v>
      </c>
      <c r="F148" s="9">
        <v>-0.1946</v>
      </c>
      <c r="L148" s="10"/>
      <c r="M148" s="10"/>
      <c r="N148" s="10"/>
      <c r="O148" s="10"/>
      <c r="P148" s="10"/>
    </row>
    <row r="149" spans="1:16" x14ac:dyDescent="0.3">
      <c r="A149">
        <v>200502</v>
      </c>
      <c r="B149" s="9">
        <v>-2.9899999999999999E-2</v>
      </c>
      <c r="C149" s="9">
        <v>-5.3100000000000001E-2</v>
      </c>
      <c r="D149" s="9">
        <v>0.40589999999999998</v>
      </c>
      <c r="E149" s="9">
        <v>0.10730000000000001</v>
      </c>
      <c r="F149" s="9">
        <v>5.7200000000000001E-2</v>
      </c>
      <c r="L149" s="10"/>
      <c r="M149" s="10"/>
      <c r="N149" s="10"/>
      <c r="O149" s="10"/>
      <c r="P149" s="10"/>
    </row>
    <row r="150" spans="1:16" x14ac:dyDescent="0.3">
      <c r="A150">
        <v>200503</v>
      </c>
      <c r="B150" s="9">
        <v>-0.13350000000000001</v>
      </c>
      <c r="C150" s="9">
        <v>-4.0000000000000001E-3</v>
      </c>
      <c r="D150" s="9">
        <v>-0.10009999999999999</v>
      </c>
      <c r="E150" s="9">
        <v>-0.12470000000000001</v>
      </c>
      <c r="F150" s="9">
        <v>2.8199999999999999E-2</v>
      </c>
      <c r="L150" s="10"/>
      <c r="M150" s="10"/>
      <c r="N150" s="10"/>
      <c r="O150" s="10"/>
      <c r="P150" s="10"/>
    </row>
    <row r="151" spans="1:16" x14ac:dyDescent="0.3">
      <c r="A151">
        <v>200504</v>
      </c>
      <c r="B151" s="9">
        <v>6.4000000000000003E-3</v>
      </c>
      <c r="C151" s="9">
        <v>-0.13800000000000001</v>
      </c>
      <c r="D151" s="9">
        <v>-0.20130000000000001</v>
      </c>
      <c r="E151" s="9">
        <v>-4.65E-2</v>
      </c>
      <c r="F151" s="9">
        <v>7.4800000000000005E-2</v>
      </c>
      <c r="L151" s="10"/>
      <c r="M151" s="10"/>
      <c r="N151" s="10"/>
      <c r="O151" s="10"/>
      <c r="P151" s="10"/>
    </row>
    <row r="152" spans="1:16" x14ac:dyDescent="0.3">
      <c r="A152">
        <v>200505</v>
      </c>
      <c r="B152" s="9">
        <v>3.6299999999999999E-2</v>
      </c>
      <c r="C152" s="9">
        <v>0.36509999999999998</v>
      </c>
      <c r="D152" s="9">
        <v>-1.6299999999999999E-2</v>
      </c>
      <c r="E152" s="9">
        <v>-8.9499999999999996E-2</v>
      </c>
      <c r="F152" s="9">
        <v>-0.26600000000000001</v>
      </c>
      <c r="L152" s="10"/>
      <c r="M152" s="10"/>
      <c r="N152" s="10"/>
      <c r="O152" s="10"/>
      <c r="P152" s="10"/>
    </row>
    <row r="153" spans="1:16" x14ac:dyDescent="0.3">
      <c r="A153">
        <v>200506</v>
      </c>
      <c r="B153" s="9">
        <v>9.7000000000000003E-3</v>
      </c>
      <c r="C153" s="9">
        <v>-4.0899999999999999E-2</v>
      </c>
      <c r="D153" s="9">
        <v>-2.1000000000000001E-2</v>
      </c>
      <c r="E153" s="9">
        <v>0.19170000000000001</v>
      </c>
      <c r="F153" s="9">
        <v>1.6000000000000001E-3</v>
      </c>
      <c r="L153" s="10"/>
      <c r="M153" s="10"/>
      <c r="N153" s="10"/>
      <c r="O153" s="10"/>
      <c r="P153" s="10"/>
    </row>
    <row r="154" spans="1:16" x14ac:dyDescent="0.3">
      <c r="A154">
        <v>200507</v>
      </c>
      <c r="B154" s="9">
        <v>-0.25950000000000001</v>
      </c>
      <c r="C154" s="9">
        <v>-2.93E-2</v>
      </c>
      <c r="D154" s="9">
        <v>-0.21990000000000001</v>
      </c>
      <c r="E154" s="9">
        <v>-4.7899999999999998E-2</v>
      </c>
      <c r="F154" s="9">
        <v>6.7599999999999993E-2</v>
      </c>
      <c r="L154" s="10"/>
      <c r="M154" s="10"/>
      <c r="N154" s="10"/>
      <c r="O154" s="10"/>
      <c r="P154" s="10"/>
    </row>
    <row r="155" spans="1:16" x14ac:dyDescent="0.3">
      <c r="A155">
        <v>200508</v>
      </c>
      <c r="B155" s="9">
        <v>3.3500000000000002E-2</v>
      </c>
      <c r="C155" s="9">
        <v>-0.1754</v>
      </c>
      <c r="D155" s="9">
        <v>1.21E-2</v>
      </c>
      <c r="E155" s="9">
        <v>-8.9899999999999994E-2</v>
      </c>
      <c r="F155" s="9">
        <v>-7.4700000000000003E-2</v>
      </c>
      <c r="L155" s="10"/>
      <c r="M155" s="10"/>
      <c r="N155" s="10"/>
      <c r="O155" s="10"/>
      <c r="P155" s="10"/>
    </row>
    <row r="156" spans="1:16" x14ac:dyDescent="0.3">
      <c r="A156">
        <v>200509</v>
      </c>
      <c r="B156" s="9">
        <v>-0.1313</v>
      </c>
      <c r="C156" s="9">
        <v>0.188</v>
      </c>
      <c r="D156" s="9">
        <v>0.06</v>
      </c>
      <c r="E156" s="9">
        <v>0.25629999999999997</v>
      </c>
      <c r="F156" s="9">
        <v>4.1799999999999997E-2</v>
      </c>
      <c r="L156" s="10"/>
      <c r="M156" s="10"/>
      <c r="N156" s="10"/>
      <c r="O156" s="10"/>
      <c r="P156" s="10"/>
    </row>
    <row r="157" spans="1:16" x14ac:dyDescent="0.3">
      <c r="A157">
        <v>200510</v>
      </c>
      <c r="B157" s="9">
        <v>-3.32E-2</v>
      </c>
      <c r="C157" s="9">
        <v>-2.1299999999999999E-2</v>
      </c>
      <c r="D157" s="9">
        <v>-0.1069</v>
      </c>
      <c r="E157" s="9">
        <v>0.2853</v>
      </c>
      <c r="F157" s="9">
        <v>4.0000000000000002E-4</v>
      </c>
      <c r="L157" s="10"/>
      <c r="M157" s="10"/>
      <c r="N157" s="10"/>
      <c r="O157" s="10"/>
      <c r="P157" s="10"/>
    </row>
    <row r="158" spans="1:16" x14ac:dyDescent="0.3">
      <c r="A158">
        <v>200511</v>
      </c>
      <c r="B158" s="9">
        <v>-0.105</v>
      </c>
      <c r="C158" s="9">
        <v>0.1842</v>
      </c>
      <c r="D158" s="9">
        <v>1.6500000000000001E-2</v>
      </c>
      <c r="E158" s="9">
        <v>-8.5000000000000006E-3</v>
      </c>
      <c r="F158" s="9">
        <v>-0.1111</v>
      </c>
      <c r="L158" s="10"/>
      <c r="M158" s="10"/>
      <c r="N158" s="10"/>
      <c r="O158" s="10"/>
      <c r="P158" s="10"/>
    </row>
    <row r="159" spans="1:16" x14ac:dyDescent="0.3">
      <c r="A159">
        <v>200512</v>
      </c>
      <c r="B159" s="9">
        <v>-1.8599999999999998E-2</v>
      </c>
      <c r="C159" s="9">
        <v>6.1000000000000004E-3</v>
      </c>
      <c r="D159" s="9">
        <v>9.9099999999999994E-2</v>
      </c>
      <c r="E159" s="9">
        <v>-6.6100000000000006E-2</v>
      </c>
      <c r="F159" s="9">
        <v>-6.0199999999999997E-2</v>
      </c>
      <c r="L159" s="10"/>
      <c r="M159" s="10"/>
      <c r="N159" s="10"/>
      <c r="O159" s="10"/>
      <c r="P159" s="10"/>
    </row>
    <row r="160" spans="1:16" x14ac:dyDescent="0.3">
      <c r="A160">
        <v>200601</v>
      </c>
      <c r="B160" s="9">
        <v>-0.2374</v>
      </c>
      <c r="C160" s="9">
        <v>-8.0500000000000002E-2</v>
      </c>
      <c r="D160" s="9">
        <v>4.9599999999999998E-2</v>
      </c>
      <c r="E160" s="9">
        <v>-0.29210000000000003</v>
      </c>
      <c r="F160" s="9">
        <v>7.5999999999999998E-2</v>
      </c>
      <c r="L160" s="10"/>
      <c r="M160" s="10"/>
      <c r="N160" s="10"/>
      <c r="O160" s="10"/>
      <c r="P160" s="10"/>
    </row>
    <row r="161" spans="1:16" x14ac:dyDescent="0.3">
      <c r="A161">
        <v>200602</v>
      </c>
      <c r="B161" s="9">
        <v>-0.1832</v>
      </c>
      <c r="C161" s="9">
        <v>-0.1338</v>
      </c>
      <c r="D161" s="9">
        <v>-0.1007</v>
      </c>
      <c r="E161" s="9">
        <v>-0.1585</v>
      </c>
      <c r="F161" s="9">
        <v>-0.18429999999999999</v>
      </c>
      <c r="L161" s="10"/>
      <c r="M161" s="10"/>
      <c r="N161" s="10"/>
      <c r="O161" s="10"/>
      <c r="P161" s="10"/>
    </row>
    <row r="162" spans="1:16" x14ac:dyDescent="0.3">
      <c r="A162">
        <v>200603</v>
      </c>
      <c r="B162" s="9">
        <v>-6.6199999999999995E-2</v>
      </c>
      <c r="C162" s="9">
        <v>-0.1037</v>
      </c>
      <c r="D162" s="9">
        <v>-5.8900000000000001E-2</v>
      </c>
      <c r="E162" s="9">
        <v>3.9800000000000002E-2</v>
      </c>
      <c r="F162" s="9">
        <v>-8.3999999999999995E-3</v>
      </c>
      <c r="L162" s="10"/>
      <c r="M162" s="10"/>
      <c r="N162" s="10"/>
      <c r="O162" s="10"/>
      <c r="P162" s="10"/>
    </row>
    <row r="163" spans="1:16" x14ac:dyDescent="0.3">
      <c r="A163">
        <v>200604</v>
      </c>
      <c r="B163" s="9">
        <v>0.19800000000000001</v>
      </c>
      <c r="C163" s="9">
        <v>0.31769999999999998</v>
      </c>
      <c r="D163" s="9">
        <v>0.22750000000000001</v>
      </c>
      <c r="E163" s="9">
        <v>9.4399999999999998E-2</v>
      </c>
      <c r="F163" s="9">
        <v>-6.9999999999999999E-4</v>
      </c>
      <c r="L163" s="10"/>
      <c r="M163" s="10"/>
      <c r="N163" s="10"/>
      <c r="O163" s="10"/>
      <c r="P163" s="10"/>
    </row>
    <row r="164" spans="1:16" x14ac:dyDescent="0.3">
      <c r="A164">
        <v>200605</v>
      </c>
      <c r="B164" s="9">
        <v>-6.9599999999999995E-2</v>
      </c>
      <c r="C164" s="9">
        <v>0.15690000000000001</v>
      </c>
      <c r="D164" s="9">
        <v>-4.5699999999999998E-2</v>
      </c>
      <c r="E164" s="9">
        <v>0.15160000000000001</v>
      </c>
      <c r="F164" s="9">
        <v>7.6300000000000007E-2</v>
      </c>
      <c r="L164" s="10"/>
      <c r="M164" s="10"/>
      <c r="N164" s="10"/>
      <c r="O164" s="10"/>
      <c r="P164" s="10"/>
    </row>
    <row r="165" spans="1:16" x14ac:dyDescent="0.3">
      <c r="A165">
        <v>200606</v>
      </c>
      <c r="B165" s="9">
        <v>-0.14949999999999999</v>
      </c>
      <c r="C165" s="9">
        <v>-0.12620000000000001</v>
      </c>
      <c r="D165" s="9">
        <v>-1.9599999999999999E-2</v>
      </c>
      <c r="E165" s="9">
        <v>-0.12609999999999999</v>
      </c>
      <c r="F165" s="9">
        <v>-8.3699999999999997E-2</v>
      </c>
      <c r="L165" s="10"/>
      <c r="M165" s="10"/>
      <c r="N165" s="10"/>
      <c r="O165" s="10"/>
      <c r="P165" s="10"/>
    </row>
    <row r="166" spans="1:16" x14ac:dyDescent="0.3">
      <c r="A166">
        <v>200607</v>
      </c>
      <c r="B166" s="9">
        <v>-0.17330000000000001</v>
      </c>
      <c r="C166" s="9">
        <v>-0.1157</v>
      </c>
      <c r="D166" s="9">
        <v>-0.23039999999999999</v>
      </c>
      <c r="E166" s="9">
        <v>-6.8999999999999999E-3</v>
      </c>
      <c r="F166" s="9">
        <v>-0.10680000000000001</v>
      </c>
    </row>
    <row r="167" spans="1:16" x14ac:dyDescent="0.3">
      <c r="A167">
        <v>200608</v>
      </c>
      <c r="B167" s="9">
        <v>-9.5600000000000004E-2</v>
      </c>
      <c r="C167" s="9">
        <v>-8.1100000000000005E-2</v>
      </c>
      <c r="D167" s="9">
        <v>-6.3899999999999998E-2</v>
      </c>
      <c r="E167" s="9">
        <v>-4.1500000000000002E-2</v>
      </c>
      <c r="F167" s="9">
        <v>-0.2145</v>
      </c>
    </row>
    <row r="168" spans="1:16" x14ac:dyDescent="0.3">
      <c r="A168">
        <v>200609</v>
      </c>
      <c r="B168" s="9">
        <v>-3.8600000000000002E-2</v>
      </c>
      <c r="C168" s="9">
        <v>-0.2034</v>
      </c>
      <c r="D168" s="9">
        <v>3.61E-2</v>
      </c>
      <c r="E168" s="9">
        <v>-0.17380000000000001</v>
      </c>
      <c r="F168" s="9">
        <v>-4.9099999999999998E-2</v>
      </c>
    </row>
    <row r="169" spans="1:16" x14ac:dyDescent="0.3">
      <c r="A169">
        <v>200610</v>
      </c>
      <c r="B169" s="9">
        <v>-0.2079</v>
      </c>
      <c r="C169" s="9">
        <v>-9.3299999999999994E-2</v>
      </c>
      <c r="D169" s="9">
        <v>0.39589999999999997</v>
      </c>
      <c r="E169" s="9">
        <v>-9.6799999999999997E-2</v>
      </c>
      <c r="F169" s="9">
        <v>1.6500000000000001E-2</v>
      </c>
    </row>
    <row r="170" spans="1:16" x14ac:dyDescent="0.3">
      <c r="A170">
        <v>200611</v>
      </c>
      <c r="B170" s="9">
        <v>-0.1081</v>
      </c>
      <c r="C170" s="9">
        <v>0.4743</v>
      </c>
      <c r="D170" s="9">
        <v>2.9999999999999997E-4</v>
      </c>
      <c r="E170" s="9">
        <v>-0.26119999999999999</v>
      </c>
      <c r="F170" s="9">
        <v>-3.9800000000000002E-2</v>
      </c>
    </row>
    <row r="171" spans="1:16" x14ac:dyDescent="0.3">
      <c r="A171">
        <v>200612</v>
      </c>
      <c r="B171" s="9">
        <v>5.5199999999999999E-2</v>
      </c>
      <c r="C171" s="9">
        <v>-7.7399999999999997E-2</v>
      </c>
      <c r="D171" s="9">
        <v>-0.2177</v>
      </c>
      <c r="E171" s="9">
        <v>0.13789999999999999</v>
      </c>
      <c r="F171" s="9">
        <v>1.6799999999999999E-2</v>
      </c>
    </row>
    <row r="172" spans="1:16" x14ac:dyDescent="0.3">
      <c r="A172">
        <v>200701</v>
      </c>
      <c r="B172" s="9">
        <v>1.26E-2</v>
      </c>
      <c r="C172" s="9">
        <v>2.6100000000000002E-2</v>
      </c>
      <c r="D172" s="9">
        <v>6.2199999999999998E-2</v>
      </c>
      <c r="E172" s="9">
        <v>0.16569999999999999</v>
      </c>
      <c r="F172" s="9">
        <v>-0.17649999999999999</v>
      </c>
    </row>
    <row r="173" spans="1:16" x14ac:dyDescent="0.3">
      <c r="A173">
        <v>200702</v>
      </c>
      <c r="B173" s="9">
        <v>-2.9899999999999999E-2</v>
      </c>
      <c r="C173" s="9">
        <v>-0.19470000000000001</v>
      </c>
      <c r="D173" s="9">
        <v>1.2999999999999999E-2</v>
      </c>
      <c r="E173" s="9">
        <v>-6.0999999999999999E-2</v>
      </c>
      <c r="F173" s="9">
        <v>9.7299999999999998E-2</v>
      </c>
    </row>
    <row r="174" spans="1:16" x14ac:dyDescent="0.3">
      <c r="A174">
        <v>200703</v>
      </c>
      <c r="B174" s="9">
        <v>-0.1235</v>
      </c>
      <c r="C174" s="9">
        <v>-1.7999999999999999E-2</v>
      </c>
      <c r="D174" s="9">
        <v>-8.2000000000000003E-2</v>
      </c>
      <c r="E174" s="9">
        <v>0.13669999999999999</v>
      </c>
      <c r="F174" s="9">
        <v>4.07E-2</v>
      </c>
    </row>
    <row r="175" spans="1:16" x14ac:dyDescent="0.3">
      <c r="A175">
        <v>200704</v>
      </c>
      <c r="B175" s="9">
        <v>-0.13600000000000001</v>
      </c>
      <c r="C175" s="9">
        <v>2.0199999999999999E-2</v>
      </c>
      <c r="D175" s="9">
        <v>-7.2300000000000003E-2</v>
      </c>
      <c r="E175" s="9">
        <v>5.5500000000000001E-2</v>
      </c>
      <c r="F175" s="9">
        <v>9.0200000000000002E-2</v>
      </c>
    </row>
    <row r="176" spans="1:16" x14ac:dyDescent="0.3">
      <c r="A176">
        <v>200705</v>
      </c>
      <c r="B176" s="9">
        <v>-2.0999999999999999E-3</v>
      </c>
      <c r="C176" s="9">
        <v>-0.13880000000000001</v>
      </c>
      <c r="D176" s="9">
        <v>-0.14119999999999999</v>
      </c>
      <c r="E176" s="9">
        <v>5.3199999999999997E-2</v>
      </c>
      <c r="F176" s="9">
        <v>4.8599999999999997E-2</v>
      </c>
    </row>
    <row r="177" spans="1:6" x14ac:dyDescent="0.3">
      <c r="A177">
        <v>200706</v>
      </c>
      <c r="B177" s="9">
        <v>0.17380000000000001</v>
      </c>
      <c r="C177" s="9">
        <v>-2.8E-3</v>
      </c>
      <c r="D177" s="9">
        <v>0.12709999999999999</v>
      </c>
      <c r="E177" s="9">
        <v>-4.5100000000000001E-2</v>
      </c>
      <c r="F177" s="9">
        <v>-6.8000000000000005E-2</v>
      </c>
    </row>
    <row r="178" spans="1:6" x14ac:dyDescent="0.3">
      <c r="A178">
        <v>200707</v>
      </c>
      <c r="B178" s="11">
        <v>-0.13059999999999999</v>
      </c>
      <c r="C178" s="9">
        <v>0.2082</v>
      </c>
      <c r="D178" s="9">
        <v>-3.2099999999999997E-2</v>
      </c>
      <c r="E178" s="9">
        <v>-1.72E-2</v>
      </c>
      <c r="F178" s="9">
        <v>6.8099999999999994E-2</v>
      </c>
    </row>
    <row r="179" spans="1:6" x14ac:dyDescent="0.3">
      <c r="A179">
        <v>200708</v>
      </c>
      <c r="B179" s="11">
        <v>-7.7999999999999996E-3</v>
      </c>
      <c r="C179" s="9">
        <v>-3.7000000000000002E-3</v>
      </c>
      <c r="D179" s="9">
        <v>8.0699999999999994E-2</v>
      </c>
      <c r="E179" s="9">
        <v>2.2191999999999998</v>
      </c>
      <c r="F179" s="9">
        <v>4.8599999999999997E-2</v>
      </c>
    </row>
    <row r="180" spans="1:6" x14ac:dyDescent="0.3">
      <c r="A180">
        <v>200709</v>
      </c>
      <c r="B180" s="11">
        <v>6.0900000000000003E-2</v>
      </c>
      <c r="C180" s="9">
        <v>8.6099999999999996E-2</v>
      </c>
      <c r="D180" s="9">
        <v>0.33090000000000003</v>
      </c>
      <c r="E180" s="9">
        <v>4.3900000000000002E-2</v>
      </c>
      <c r="F180" s="9">
        <v>-9.6799999999999997E-2</v>
      </c>
    </row>
    <row r="181" spans="1:6" x14ac:dyDescent="0.3">
      <c r="A181">
        <v>200710</v>
      </c>
      <c r="B181" s="9">
        <v>-0.15840000000000001</v>
      </c>
      <c r="C181" s="9">
        <v>4.9700000000000001E-2</v>
      </c>
      <c r="D181" s="9">
        <v>0.1178</v>
      </c>
      <c r="E181" s="9">
        <v>-0.30599999999999999</v>
      </c>
      <c r="F181" s="9">
        <v>4.4999999999999997E-3</v>
      </c>
    </row>
    <row r="182" spans="1:6" x14ac:dyDescent="0.3">
      <c r="A182">
        <v>200711</v>
      </c>
      <c r="B182" s="9">
        <v>3.3500000000000002E-2</v>
      </c>
      <c r="C182" s="9">
        <v>0.24199999999999999</v>
      </c>
      <c r="D182" s="9">
        <v>1.15E-2</v>
      </c>
      <c r="E182" s="9">
        <v>0.19670000000000001</v>
      </c>
      <c r="F182" s="9">
        <v>-0.19700000000000001</v>
      </c>
    </row>
    <row r="183" spans="1:6" x14ac:dyDescent="0.3">
      <c r="A183">
        <v>200712</v>
      </c>
      <c r="B183" s="9">
        <v>-2.7699999999999999E-2</v>
      </c>
      <c r="C183" s="9">
        <v>2.64E-2</v>
      </c>
      <c r="D183" s="9">
        <v>-2.24E-2</v>
      </c>
      <c r="E183" s="9">
        <v>-9.1899999999999996E-2</v>
      </c>
      <c r="F183" s="9">
        <v>-0.14269999999999999</v>
      </c>
    </row>
    <row r="184" spans="1:6" x14ac:dyDescent="0.3">
      <c r="A184">
        <v>200801</v>
      </c>
      <c r="B184" s="9">
        <v>1.09E-2</v>
      </c>
      <c r="C184" s="9">
        <v>5.0900000000000001E-2</v>
      </c>
      <c r="D184" s="9">
        <v>6.7599999999999993E-2</v>
      </c>
      <c r="E184" s="9">
        <v>0.71879999999999999</v>
      </c>
      <c r="F184" s="9">
        <v>0.28210000000000002</v>
      </c>
    </row>
    <row r="185" spans="1:6" x14ac:dyDescent="0.3">
      <c r="A185">
        <v>200802</v>
      </c>
      <c r="B185" s="9">
        <v>-2.8000000000000001E-2</v>
      </c>
      <c r="C185" s="9">
        <v>0.1457</v>
      </c>
      <c r="D185" s="9">
        <v>0.31459999999999999</v>
      </c>
      <c r="E185" s="9">
        <v>0.26679999999999998</v>
      </c>
      <c r="F185" s="9">
        <v>-7.1099999999999997E-2</v>
      </c>
    </row>
    <row r="186" spans="1:6" x14ac:dyDescent="0.3">
      <c r="A186">
        <v>200803</v>
      </c>
      <c r="B186" s="9">
        <v>0.14779999999999999</v>
      </c>
      <c r="C186" s="9">
        <v>0.19889999999999999</v>
      </c>
      <c r="D186" s="9">
        <v>-7.8600000000000003E-2</v>
      </c>
      <c r="E186" s="9">
        <v>6.3899999999999998E-2</v>
      </c>
      <c r="F186" s="9">
        <v>-0.15010000000000001</v>
      </c>
    </row>
    <row r="187" spans="1:6" x14ac:dyDescent="0.3">
      <c r="A187">
        <v>200804</v>
      </c>
      <c r="B187" s="9">
        <v>-0.14599999999999999</v>
      </c>
      <c r="C187" s="9">
        <v>-0.21820000000000001</v>
      </c>
      <c r="D187" s="9">
        <v>-2.5499999999999998E-2</v>
      </c>
      <c r="E187" s="9">
        <v>7.9399999999999998E-2</v>
      </c>
      <c r="F187" s="9">
        <v>-0.1236</v>
      </c>
    </row>
    <row r="188" spans="1:6" x14ac:dyDescent="0.3">
      <c r="A188">
        <v>200805</v>
      </c>
      <c r="B188" s="9">
        <v>2.5999999999999999E-3</v>
      </c>
      <c r="C188" s="9">
        <v>-0.18870000000000001</v>
      </c>
      <c r="D188" s="9">
        <v>-0.1507</v>
      </c>
      <c r="E188" s="9">
        <v>-0.1215</v>
      </c>
      <c r="F188" s="9">
        <v>-0.1061</v>
      </c>
    </row>
    <row r="189" spans="1:6" x14ac:dyDescent="0.3">
      <c r="A189">
        <v>200806</v>
      </c>
      <c r="B189" s="9">
        <v>-4.8300000000000003E-2</v>
      </c>
      <c r="C189" s="9">
        <v>-9.7000000000000003E-3</v>
      </c>
      <c r="D189" s="9">
        <v>3.1099999999999999E-2</v>
      </c>
      <c r="E189" s="9">
        <v>4.3799999999999999E-2</v>
      </c>
      <c r="F189" s="9">
        <v>-7.5300000000000006E-2</v>
      </c>
    </row>
    <row r="190" spans="1:6" x14ac:dyDescent="0.3">
      <c r="A190">
        <v>200807</v>
      </c>
      <c r="B190" s="9">
        <v>-0.12720000000000001</v>
      </c>
      <c r="C190" s="9">
        <v>-0.25750000000000001</v>
      </c>
      <c r="D190" s="9">
        <v>-0.14280000000000001</v>
      </c>
      <c r="E190" s="9">
        <v>-3.4799999999999998E-2</v>
      </c>
      <c r="F190" s="9">
        <v>2.5000000000000001E-3</v>
      </c>
    </row>
    <row r="191" spans="1:6" x14ac:dyDescent="0.3">
      <c r="A191">
        <v>200808</v>
      </c>
      <c r="B191" s="9">
        <v>0.1033</v>
      </c>
      <c r="C191" s="9">
        <v>0.66010000000000002</v>
      </c>
      <c r="D191" s="9">
        <v>0.23730000000000001</v>
      </c>
      <c r="E191" s="9">
        <v>0.17019999999999999</v>
      </c>
      <c r="F191" s="9">
        <v>-0.15509999999999999</v>
      </c>
    </row>
    <row r="192" spans="1:6" x14ac:dyDescent="0.3">
      <c r="A192">
        <v>200809</v>
      </c>
      <c r="B192" s="9">
        <v>9.8599999999999993E-2</v>
      </c>
      <c r="C192" s="9">
        <v>0.30690000000000001</v>
      </c>
      <c r="D192" s="9">
        <v>0.31390000000000001</v>
      </c>
      <c r="E192" s="9">
        <v>1.2558</v>
      </c>
      <c r="F192" s="9">
        <v>0.24490000000000001</v>
      </c>
    </row>
    <row r="193" spans="1:6" x14ac:dyDescent="0.3">
      <c r="A193">
        <v>200810</v>
      </c>
      <c r="B193" s="9">
        <v>4.4699999999999997E-2</v>
      </c>
      <c r="C193" s="9">
        <v>0.69220000000000004</v>
      </c>
      <c r="D193" s="9">
        <v>0.32</v>
      </c>
      <c r="E193" s="9">
        <v>1.5279</v>
      </c>
      <c r="F193" s="9">
        <v>0.6048</v>
      </c>
    </row>
    <row r="194" spans="1:6" x14ac:dyDescent="0.3">
      <c r="A194">
        <v>200811</v>
      </c>
      <c r="B194" s="9">
        <v>0.38479999999999998</v>
      </c>
      <c r="C194" s="9">
        <v>-6.8000000000000005E-2</v>
      </c>
      <c r="D194" s="9">
        <v>-7.9699999999999993E-2</v>
      </c>
      <c r="E194" s="9">
        <v>0.13900000000000001</v>
      </c>
      <c r="F194" s="9">
        <v>2.4299999999999999E-2</v>
      </c>
    </row>
    <row r="195" spans="1:6" x14ac:dyDescent="0.3">
      <c r="A195">
        <v>200812</v>
      </c>
      <c r="B195" s="9">
        <v>0.30199999999999999</v>
      </c>
      <c r="C195" s="9">
        <v>0.184</v>
      </c>
      <c r="D195" s="9">
        <v>0.16159999999999999</v>
      </c>
      <c r="E195" s="9">
        <v>9.4999999999999998E-3</v>
      </c>
      <c r="F195" s="9">
        <v>-0.22570000000000001</v>
      </c>
    </row>
    <row r="196" spans="1:6" x14ac:dyDescent="0.3">
      <c r="A196">
        <v>200901</v>
      </c>
      <c r="B196" s="9">
        <v>-0.18340000000000001</v>
      </c>
      <c r="C196" s="9">
        <v>-0.16830000000000001</v>
      </c>
      <c r="D196" s="9">
        <v>-0.12759999999999999</v>
      </c>
      <c r="E196" s="9">
        <v>0.15060000000000001</v>
      </c>
      <c r="F196" s="9">
        <v>-0.21510000000000001</v>
      </c>
    </row>
    <row r="197" spans="1:6" x14ac:dyDescent="0.3">
      <c r="A197">
        <v>200902</v>
      </c>
      <c r="B197" s="9">
        <v>-5.04E-2</v>
      </c>
      <c r="C197" s="9">
        <v>-9.8799999999999999E-2</v>
      </c>
      <c r="D197" s="9">
        <v>-8.4900000000000003E-2</v>
      </c>
      <c r="E197" s="9">
        <v>-8.3199999999999996E-2</v>
      </c>
      <c r="F197" s="9">
        <v>-1.55E-2</v>
      </c>
    </row>
    <row r="198" spans="1:6" x14ac:dyDescent="0.3">
      <c r="A198">
        <v>200903</v>
      </c>
      <c r="B198" s="9">
        <v>-9.4799999999999995E-2</v>
      </c>
      <c r="C198" s="9">
        <v>-4.1799999999999997E-2</v>
      </c>
      <c r="D198" s="9">
        <v>-0.19850000000000001</v>
      </c>
      <c r="E198" s="9">
        <v>-9.8400000000000001E-2</v>
      </c>
      <c r="F198" s="9">
        <v>1.8700000000000001E-2</v>
      </c>
    </row>
    <row r="199" spans="1:6" x14ac:dyDescent="0.3">
      <c r="A199">
        <v>200904</v>
      </c>
      <c r="B199" s="9">
        <v>-0.15989999999999999</v>
      </c>
      <c r="C199" s="9">
        <v>-0.24859999999999999</v>
      </c>
      <c r="D199" s="9">
        <v>-0.18340000000000001</v>
      </c>
      <c r="E199" s="9">
        <v>-0.1409</v>
      </c>
      <c r="F199" s="9">
        <v>1.44E-2</v>
      </c>
    </row>
    <row r="200" spans="1:6" x14ac:dyDescent="0.3">
      <c r="A200">
        <v>200905</v>
      </c>
      <c r="B200" s="9">
        <v>0.1469</v>
      </c>
      <c r="C200" s="9">
        <v>0.36249999999999999</v>
      </c>
      <c r="D200" s="9">
        <v>9.6299999999999997E-2</v>
      </c>
      <c r="E200" s="9">
        <v>8.8700000000000001E-2</v>
      </c>
      <c r="F200" s="9">
        <v>-1.4E-2</v>
      </c>
    </row>
    <row r="201" spans="1:6" x14ac:dyDescent="0.3">
      <c r="A201">
        <v>200906</v>
      </c>
      <c r="B201" s="9">
        <v>-0.157</v>
      </c>
      <c r="C201" s="9">
        <v>-0.19389999999999999</v>
      </c>
      <c r="D201" s="9">
        <v>-4.9700000000000001E-2</v>
      </c>
      <c r="E201" s="9">
        <v>1.6899999999999998E-2</v>
      </c>
      <c r="F201" s="9">
        <v>-0.17130000000000001</v>
      </c>
    </row>
    <row r="202" spans="1:6" x14ac:dyDescent="0.3">
      <c r="A202">
        <v>200907</v>
      </c>
      <c r="B202" s="12">
        <v>-0.16819999999999999</v>
      </c>
      <c r="C202" s="12">
        <v>-0.23250000000000001</v>
      </c>
      <c r="D202" s="12">
        <v>-9.5100000000000004E-2</v>
      </c>
      <c r="E202" s="12">
        <v>0.23419999999999999</v>
      </c>
      <c r="F202" s="12">
        <v>6.7000000000000004E-2</v>
      </c>
    </row>
    <row r="203" spans="1:6" x14ac:dyDescent="0.3">
      <c r="A203">
        <v>200908</v>
      </c>
      <c r="B203" s="12">
        <v>-6.9599999999999995E-2</v>
      </c>
      <c r="C203" s="12">
        <v>-0.2152</v>
      </c>
      <c r="D203" s="12">
        <v>-8.8300000000000003E-2</v>
      </c>
      <c r="E203" s="12">
        <v>0.1724</v>
      </c>
      <c r="F203" s="12">
        <v>0.19220000000000001</v>
      </c>
    </row>
    <row r="204" spans="1:6" x14ac:dyDescent="0.3">
      <c r="A204">
        <v>200909</v>
      </c>
      <c r="B204" s="12">
        <v>-0.1154</v>
      </c>
      <c r="C204" s="12">
        <v>-8.2299999999999998E-2</v>
      </c>
      <c r="D204" s="12">
        <v>-6.7000000000000004E-2</v>
      </c>
      <c r="E204" s="12">
        <v>-9.1200000000000003E-2</v>
      </c>
      <c r="F204" s="12">
        <v>-4.4200000000000003E-2</v>
      </c>
    </row>
    <row r="205" spans="1:6" x14ac:dyDescent="0.3">
      <c r="A205">
        <v>200910</v>
      </c>
      <c r="B205" s="12">
        <v>-0.1535</v>
      </c>
      <c r="C205" s="12">
        <v>-0.12790000000000001</v>
      </c>
      <c r="D205" s="12">
        <v>-2.9000000000000001E-2</v>
      </c>
      <c r="E205" s="12">
        <v>-0.13389999999999999</v>
      </c>
      <c r="F205" s="12">
        <v>-0.1089</v>
      </c>
    </row>
    <row r="206" spans="1:6" x14ac:dyDescent="0.3">
      <c r="A206">
        <v>200911</v>
      </c>
      <c r="B206" s="12">
        <v>-5.0099999999999999E-2</v>
      </c>
      <c r="C206" s="12">
        <v>-6.3100000000000003E-2</v>
      </c>
      <c r="D206" s="12">
        <v>0.1149</v>
      </c>
      <c r="E206" s="12">
        <v>-0.1789</v>
      </c>
      <c r="F206" s="12">
        <v>-0.15390000000000001</v>
      </c>
    </row>
    <row r="207" spans="1:6" x14ac:dyDescent="0.3">
      <c r="A207">
        <v>200912</v>
      </c>
      <c r="B207" s="12">
        <v>-0.1371</v>
      </c>
      <c r="C207" s="12">
        <v>-7.0699999999999999E-2</v>
      </c>
      <c r="D207" s="12">
        <v>-0.20610000000000001</v>
      </c>
      <c r="E207" s="12">
        <v>-0.22509999999999999</v>
      </c>
      <c r="F207" s="12">
        <v>-0.14899999999999999</v>
      </c>
    </row>
    <row r="208" spans="1:6" x14ac:dyDescent="0.3">
      <c r="A208">
        <v>201001</v>
      </c>
      <c r="B208" s="12">
        <v>-0.2097</v>
      </c>
      <c r="C208" s="12">
        <v>-0.1159</v>
      </c>
      <c r="D208" s="12">
        <v>-6.2799999999999995E-2</v>
      </c>
      <c r="E208" s="12">
        <v>-0.19170000000000001</v>
      </c>
      <c r="F208" s="12">
        <v>-0.1181</v>
      </c>
    </row>
    <row r="209" spans="1:6" x14ac:dyDescent="0.3">
      <c r="A209">
        <v>201002</v>
      </c>
      <c r="B209" s="12">
        <v>-0.1419</v>
      </c>
      <c r="C209" s="12">
        <v>8.2500000000000004E-2</v>
      </c>
      <c r="D209" s="12">
        <v>-9.4E-2</v>
      </c>
      <c r="E209" s="12">
        <v>-0.12720000000000001</v>
      </c>
      <c r="F209" s="12">
        <v>-0.23</v>
      </c>
    </row>
    <row r="210" spans="1:6" x14ac:dyDescent="0.3">
      <c r="A210">
        <v>201003</v>
      </c>
      <c r="B210" s="12">
        <v>-0.2382</v>
      </c>
      <c r="C210" s="12">
        <v>-0.1174</v>
      </c>
      <c r="D210" s="12">
        <v>-0.16439999999999999</v>
      </c>
      <c r="E210" s="12">
        <v>-0.2802</v>
      </c>
      <c r="F210" s="12">
        <v>-2.07E-2</v>
      </c>
    </row>
    <row r="211" spans="1:6" x14ac:dyDescent="0.3">
      <c r="A211">
        <v>201004</v>
      </c>
      <c r="B211" s="12">
        <v>5.1799999999999999E-2</v>
      </c>
      <c r="C211" s="12">
        <v>-0.15890000000000001</v>
      </c>
      <c r="D211" s="12">
        <v>-4.3299999999999998E-2</v>
      </c>
      <c r="E211" s="12">
        <v>0.17799999999999999</v>
      </c>
      <c r="F211" s="12">
        <v>-4.9000000000000002E-2</v>
      </c>
    </row>
    <row r="212" spans="1:6" x14ac:dyDescent="0.3">
      <c r="A212">
        <v>201005</v>
      </c>
      <c r="B212" s="12">
        <v>0.2137</v>
      </c>
      <c r="C212" s="12">
        <v>0.47720000000000001</v>
      </c>
      <c r="D212" s="12">
        <v>-4.3200000000000002E-2</v>
      </c>
      <c r="E212" s="12">
        <v>0.1804</v>
      </c>
      <c r="F212" s="12">
        <v>0.15240000000000001</v>
      </c>
    </row>
    <row r="213" spans="1:6" x14ac:dyDescent="0.3">
      <c r="A213">
        <v>201006</v>
      </c>
      <c r="B213" s="12">
        <v>-1.5900000000000001E-2</v>
      </c>
      <c r="C213" s="12">
        <v>-4.2500000000000003E-2</v>
      </c>
      <c r="D213" s="12">
        <v>-0.14599999999999999</v>
      </c>
      <c r="E213" s="12">
        <v>-0.2273</v>
      </c>
      <c r="F213" s="12">
        <v>-8.5199999999999998E-2</v>
      </c>
    </row>
    <row r="214" spans="1:6" x14ac:dyDescent="0.3">
      <c r="A214">
        <v>201007</v>
      </c>
      <c r="B214" s="12">
        <v>-0.14230000000000001</v>
      </c>
      <c r="C214" s="12">
        <v>0.1716</v>
      </c>
      <c r="D214" s="12">
        <v>0.2218</v>
      </c>
      <c r="E214" s="12">
        <v>-0.13300000000000001</v>
      </c>
      <c r="F214" s="12">
        <v>-0.21329999999999999</v>
      </c>
    </row>
    <row r="215" spans="1:6" x14ac:dyDescent="0.3">
      <c r="A215">
        <v>201008</v>
      </c>
      <c r="B215" s="12">
        <v>0.4521</v>
      </c>
      <c r="C215" s="12">
        <v>2.3800000000000002E-2</v>
      </c>
      <c r="D215" s="12">
        <v>-4.2500000000000003E-2</v>
      </c>
      <c r="E215" s="12">
        <v>-8.4199999999999997E-2</v>
      </c>
      <c r="F215" s="12">
        <v>-0.2339</v>
      </c>
    </row>
    <row r="216" spans="1:6" x14ac:dyDescent="0.3">
      <c r="A216">
        <v>201009</v>
      </c>
      <c r="B216" s="12">
        <v>-0.18090000000000001</v>
      </c>
      <c r="C216" s="12">
        <v>7.0000000000000001E-3</v>
      </c>
      <c r="D216" s="12">
        <v>3.0800000000000001E-2</v>
      </c>
      <c r="E216" s="12">
        <v>6.6699999999999995E-2</v>
      </c>
      <c r="F216" s="12">
        <v>-1.2800000000000001E-2</v>
      </c>
    </row>
    <row r="217" spans="1:6" x14ac:dyDescent="0.3">
      <c r="A217">
        <v>201010</v>
      </c>
      <c r="B217" s="12">
        <v>-0.15679999999999999</v>
      </c>
      <c r="C217" s="12">
        <v>5.57E-2</v>
      </c>
      <c r="D217" s="12">
        <v>0.16009999999999999</v>
      </c>
      <c r="E217" s="12">
        <v>-0.1166</v>
      </c>
      <c r="F217" s="12">
        <v>-8.9499999999999996E-2</v>
      </c>
    </row>
    <row r="218" spans="1:6" x14ac:dyDescent="0.3">
      <c r="A218">
        <v>201011</v>
      </c>
      <c r="B218" s="12">
        <v>0.01</v>
      </c>
      <c r="C218" s="12">
        <v>-0.19850000000000001</v>
      </c>
      <c r="D218" s="12">
        <v>2.6200000000000001E-2</v>
      </c>
      <c r="E218" s="12">
        <v>-9.69E-2</v>
      </c>
      <c r="F218" s="12">
        <v>-0.1285</v>
      </c>
    </row>
    <row r="219" spans="1:6" x14ac:dyDescent="0.3">
      <c r="A219">
        <v>201012</v>
      </c>
      <c r="B219" s="12">
        <v>4.8999999999999998E-3</v>
      </c>
      <c r="C219" s="12">
        <v>-4.5400000000000003E-2</v>
      </c>
      <c r="D219" s="12">
        <v>-1.4E-2</v>
      </c>
      <c r="E219" s="12">
        <v>-0.24199999999999999</v>
      </c>
      <c r="F219" s="12">
        <v>-0.1206</v>
      </c>
    </row>
    <row r="220" spans="1:6" x14ac:dyDescent="0.3">
      <c r="A220">
        <v>201101</v>
      </c>
      <c r="B220" s="12">
        <v>-6.4500000000000002E-2</v>
      </c>
      <c r="C220" s="12">
        <v>-0.17630000000000001</v>
      </c>
      <c r="D220" s="12">
        <v>-0.2097</v>
      </c>
      <c r="E220" s="12">
        <v>-9.8100000000000007E-2</v>
      </c>
      <c r="F220" s="12">
        <v>-0.15310000000000001</v>
      </c>
    </row>
    <row r="221" spans="1:6" x14ac:dyDescent="0.3">
      <c r="A221">
        <v>201102</v>
      </c>
      <c r="B221" s="12">
        <v>-0.12920000000000001</v>
      </c>
      <c r="C221" s="12">
        <v>-0.159</v>
      </c>
      <c r="D221" s="12">
        <v>3.8199999999999998E-2</v>
      </c>
      <c r="E221" s="12">
        <v>-0.1154</v>
      </c>
      <c r="F221" s="12">
        <v>-4.2700000000000002E-2</v>
      </c>
    </row>
    <row r="222" spans="1:6" x14ac:dyDescent="0.3">
      <c r="A222">
        <v>201103</v>
      </c>
      <c r="B222" s="12">
        <v>-0.185</v>
      </c>
      <c r="C222" s="12">
        <v>-5.1799999999999999E-2</v>
      </c>
      <c r="D222" s="12">
        <v>2.52E-2</v>
      </c>
      <c r="E222" s="12">
        <v>-0.20050000000000001</v>
      </c>
      <c r="F222" s="12">
        <v>-6.3200000000000006E-2</v>
      </c>
    </row>
    <row r="223" spans="1:6" x14ac:dyDescent="0.3">
      <c r="A223">
        <v>201104</v>
      </c>
      <c r="B223" s="12">
        <v>-6.54E-2</v>
      </c>
      <c r="C223" s="12">
        <v>0.22489999999999999</v>
      </c>
      <c r="D223" s="12">
        <v>0.17199999999999999</v>
      </c>
      <c r="E223" s="12">
        <v>2.64E-2</v>
      </c>
      <c r="F223" s="12">
        <v>-8.6199999999999999E-2</v>
      </c>
    </row>
    <row r="224" spans="1:6" x14ac:dyDescent="0.3">
      <c r="A224">
        <v>201105</v>
      </c>
      <c r="B224" s="12">
        <v>2.3400000000000001E-2</v>
      </c>
      <c r="C224" s="12">
        <v>-0.19009999999999999</v>
      </c>
      <c r="D224" s="12">
        <v>-0.15459999999999999</v>
      </c>
      <c r="E224" s="12">
        <v>-4.4999999999999998E-2</v>
      </c>
      <c r="F224" s="12">
        <v>-0.21629999999999999</v>
      </c>
    </row>
    <row r="225" spans="1:6" x14ac:dyDescent="0.3">
      <c r="A225">
        <v>201106</v>
      </c>
      <c r="B225" s="12">
        <v>-0.1181</v>
      </c>
      <c r="C225" s="12">
        <v>-0.18229999999999999</v>
      </c>
      <c r="D225" s="12">
        <v>-4.9500000000000002E-2</v>
      </c>
      <c r="E225" s="12">
        <v>-3.0200000000000001E-2</v>
      </c>
      <c r="F225" s="12">
        <v>-0.1074</v>
      </c>
    </row>
    <row r="226" spans="1:6" x14ac:dyDescent="0.3">
      <c r="A226">
        <v>201107</v>
      </c>
      <c r="B226" s="12">
        <v>0.34699999999999998</v>
      </c>
      <c r="C226" s="12">
        <v>0.13689999999999999</v>
      </c>
      <c r="D226" s="12">
        <v>8.9999999999999998E-4</v>
      </c>
      <c r="E226" s="12">
        <v>-7.8399999999999997E-2</v>
      </c>
      <c r="F226" s="12">
        <v>-3.7499999999999999E-2</v>
      </c>
    </row>
    <row r="227" spans="1:6" x14ac:dyDescent="0.3">
      <c r="A227">
        <v>201108</v>
      </c>
      <c r="B227" s="12">
        <v>0.36919999999999997</v>
      </c>
      <c r="C227" s="12">
        <v>-5.5999999999999999E-3</v>
      </c>
      <c r="D227" s="12">
        <v>0.22020000000000001</v>
      </c>
      <c r="E227" s="12">
        <v>0.17599999999999999</v>
      </c>
      <c r="F227" s="12">
        <v>0.4642</v>
      </c>
    </row>
    <row r="228" spans="1:6" x14ac:dyDescent="0.3">
      <c r="A228">
        <v>201109</v>
      </c>
      <c r="B228" s="12">
        <v>0.13519999999999999</v>
      </c>
      <c r="C228" s="12">
        <v>0.18509999999999999</v>
      </c>
      <c r="D228" s="12">
        <v>0.27800000000000002</v>
      </c>
      <c r="E228" s="12">
        <v>-8.0699999999999994E-2</v>
      </c>
      <c r="F228" s="12">
        <v>1.89E-2</v>
      </c>
    </row>
    <row r="229" spans="1:6" x14ac:dyDescent="0.3">
      <c r="A229">
        <v>201110</v>
      </c>
      <c r="B229" s="12">
        <v>-9.69E-2</v>
      </c>
      <c r="C229" s="12">
        <v>-0.1694</v>
      </c>
      <c r="D229" s="12">
        <v>-0.21529999999999999</v>
      </c>
      <c r="E229" s="12">
        <v>-0.2467</v>
      </c>
      <c r="F229" s="12">
        <v>-6.93E-2</v>
      </c>
    </row>
    <row r="230" spans="1:6" x14ac:dyDescent="0.3">
      <c r="A230">
        <v>201111</v>
      </c>
      <c r="B230" s="12">
        <v>2.29E-2</v>
      </c>
      <c r="C230" s="12">
        <v>-0.19259999999999999</v>
      </c>
      <c r="D230" s="12">
        <v>-6.1600000000000002E-2</v>
      </c>
      <c r="E230" s="12">
        <v>-0.22500000000000001</v>
      </c>
      <c r="F230" s="12">
        <v>-0.2286</v>
      </c>
    </row>
    <row r="231" spans="1:6" x14ac:dyDescent="0.3">
      <c r="A231">
        <v>201112</v>
      </c>
      <c r="B231" s="12">
        <v>-9.4999999999999998E-3</v>
      </c>
      <c r="C231" s="12">
        <v>-0.25140000000000001</v>
      </c>
      <c r="D231" s="12">
        <v>3.7000000000000002E-3</v>
      </c>
      <c r="E231" s="12">
        <v>-0.34639999999999999</v>
      </c>
      <c r="F231" s="12">
        <v>-0.15129999999999999</v>
      </c>
    </row>
    <row r="232" spans="1:6" x14ac:dyDescent="0.3">
      <c r="A232">
        <v>201201</v>
      </c>
      <c r="B232" s="12">
        <v>-0.1497</v>
      </c>
      <c r="C232" s="12">
        <v>-0.23089999999999999</v>
      </c>
      <c r="D232" s="12">
        <v>-0.219</v>
      </c>
      <c r="E232" s="12">
        <v>-2.63E-2</v>
      </c>
      <c r="F232" s="12">
        <v>-0.23430000000000001</v>
      </c>
    </row>
    <row r="233" spans="1:6" x14ac:dyDescent="0.3">
      <c r="A233">
        <v>201202</v>
      </c>
      <c r="B233" s="12">
        <v>-0.1419</v>
      </c>
      <c r="C233" s="12">
        <v>5.5599999999999997E-2</v>
      </c>
      <c r="D233" s="12">
        <v>-8.0600000000000005E-2</v>
      </c>
      <c r="E233" s="12">
        <v>-6.9099999999999995E-2</v>
      </c>
      <c r="F233" s="12">
        <v>-2.69E-2</v>
      </c>
    </row>
    <row r="234" spans="1:6" x14ac:dyDescent="0.3">
      <c r="A234">
        <v>201203</v>
      </c>
      <c r="B234" s="12">
        <v>-8.5500000000000007E-2</v>
      </c>
      <c r="C234" s="12">
        <v>-0.107</v>
      </c>
      <c r="D234" s="12">
        <v>-0.125</v>
      </c>
      <c r="E234" s="12">
        <v>-0.2107</v>
      </c>
      <c r="F234" s="12">
        <v>-0.14410000000000001</v>
      </c>
    </row>
    <row r="235" spans="1:6" x14ac:dyDescent="0.3">
      <c r="A235">
        <v>201204</v>
      </c>
      <c r="B235" s="12">
        <v>2.06E-2</v>
      </c>
      <c r="C235" s="12">
        <v>-0.18729999999999999</v>
      </c>
      <c r="D235" s="12">
        <v>-0.1348</v>
      </c>
      <c r="E235" s="12">
        <v>-6.0400000000000002E-2</v>
      </c>
      <c r="F235" s="12">
        <v>-0.16270000000000001</v>
      </c>
    </row>
    <row r="236" spans="1:6" x14ac:dyDescent="0.3">
      <c r="A236">
        <v>201205</v>
      </c>
      <c r="B236" s="12">
        <v>0.505</v>
      </c>
      <c r="C236" s="12">
        <v>0.41039999999999999</v>
      </c>
      <c r="D236" s="12">
        <v>0.19139999999999999</v>
      </c>
      <c r="E236" s="12">
        <v>0.12620000000000001</v>
      </c>
      <c r="F236" s="12">
        <v>0.1366</v>
      </c>
    </row>
    <row r="237" spans="1:6" x14ac:dyDescent="0.3">
      <c r="A237">
        <v>201206</v>
      </c>
      <c r="B237" s="12">
        <v>-0.13350000000000001</v>
      </c>
      <c r="C237" s="12">
        <v>-0.2316</v>
      </c>
      <c r="D237" s="12">
        <v>0.1376</v>
      </c>
      <c r="E237" s="12">
        <v>0.19939999999999999</v>
      </c>
      <c r="F237" s="12">
        <v>-0.1772</v>
      </c>
    </row>
    <row r="238" spans="1:6" x14ac:dyDescent="0.3">
      <c r="A238">
        <v>201207</v>
      </c>
      <c r="B238" s="12">
        <v>-3.9399999999999998E-2</v>
      </c>
      <c r="C238" s="12">
        <v>-0.1671</v>
      </c>
      <c r="D238" s="12">
        <v>0.1923</v>
      </c>
      <c r="E238" s="12">
        <v>0.29809999999999998</v>
      </c>
      <c r="F238" s="12">
        <v>-8.0399999999999999E-2</v>
      </c>
    </row>
    <row r="239" spans="1:6" x14ac:dyDescent="0.3">
      <c r="A239">
        <v>201208</v>
      </c>
      <c r="B239" s="12">
        <v>-6.6100000000000006E-2</v>
      </c>
      <c r="C239" s="12">
        <v>-0.20730000000000001</v>
      </c>
      <c r="D239" s="12">
        <v>-0.1033</v>
      </c>
      <c r="E239" s="12">
        <v>-0.1386</v>
      </c>
      <c r="F239" s="12">
        <v>-2.5100000000000001E-2</v>
      </c>
    </row>
    <row r="240" spans="1:6" x14ac:dyDescent="0.3">
      <c r="A240">
        <v>201209</v>
      </c>
      <c r="B240" s="12">
        <v>-0.14069999999999999</v>
      </c>
      <c r="C240" s="12">
        <v>-0.15179999999999999</v>
      </c>
      <c r="D240" s="12">
        <v>-7.1499999999999994E-2</v>
      </c>
      <c r="E240" s="12">
        <v>-0.11360000000000001</v>
      </c>
      <c r="F240" s="12">
        <v>-0.17150000000000001</v>
      </c>
    </row>
    <row r="241" spans="1:6" x14ac:dyDescent="0.3">
      <c r="A241">
        <v>201210</v>
      </c>
      <c r="B241" s="13">
        <v>-0.26629999999999998</v>
      </c>
      <c r="C241" s="12">
        <v>-0.19850000000000001</v>
      </c>
      <c r="D241" s="12">
        <v>-0.2465</v>
      </c>
      <c r="E241" s="12">
        <v>-0.2702</v>
      </c>
      <c r="F241" s="12">
        <v>-0.15010000000000001</v>
      </c>
    </row>
    <row r="242" spans="1:6" x14ac:dyDescent="0.3">
      <c r="A242">
        <v>201211</v>
      </c>
      <c r="B242" s="13">
        <v>-0.18720000000000001</v>
      </c>
      <c r="C242" s="12">
        <v>-6.0900000000000003E-2</v>
      </c>
      <c r="D242" s="12">
        <v>-9.1899999999999996E-2</v>
      </c>
      <c r="E242" s="12">
        <v>-0.17480000000000001</v>
      </c>
      <c r="F242" s="12">
        <v>-0.18909999999999999</v>
      </c>
    </row>
    <row r="243" spans="1:6" x14ac:dyDescent="0.3">
      <c r="A243">
        <v>201212</v>
      </c>
      <c r="B243" s="12">
        <v>-0.1772</v>
      </c>
      <c r="C243" s="12">
        <v>9.9500000000000005E-2</v>
      </c>
      <c r="D243" s="12">
        <v>3.4299999999999997E-2</v>
      </c>
      <c r="E243" s="12">
        <v>-0.13900000000000001</v>
      </c>
      <c r="F243" s="12">
        <v>-2.53E-2</v>
      </c>
    </row>
    <row r="244" spans="1:6" x14ac:dyDescent="0.3">
      <c r="A244">
        <v>201301</v>
      </c>
      <c r="B244" s="12">
        <v>2.6599999999999999E-2</v>
      </c>
      <c r="C244" s="12">
        <v>0.1255</v>
      </c>
      <c r="D244" s="12">
        <v>-0.1855</v>
      </c>
      <c r="E244" s="12">
        <v>-4.2299999999999997E-2</v>
      </c>
      <c r="F244" s="12">
        <v>0.1275</v>
      </c>
    </row>
    <row r="245" spans="1:6" x14ac:dyDescent="0.3">
      <c r="A245">
        <v>201302</v>
      </c>
      <c r="B245" s="12">
        <v>-8.3199999999999996E-2</v>
      </c>
      <c r="C245" s="12">
        <v>0.1183</v>
      </c>
      <c r="D245" s="12">
        <v>1.9900000000000001E-2</v>
      </c>
      <c r="E245" s="12">
        <v>-0.28349999999999997</v>
      </c>
      <c r="F245" s="12">
        <v>0.183</v>
      </c>
    </row>
    <row r="246" spans="1:6" x14ac:dyDescent="0.3">
      <c r="A246">
        <v>201303</v>
      </c>
      <c r="B246" s="12">
        <v>-1.8700000000000001E-2</v>
      </c>
      <c r="C246" s="12">
        <v>-0.15379999999999999</v>
      </c>
      <c r="D246" s="12">
        <v>-0.15920000000000001</v>
      </c>
      <c r="E246" s="12">
        <v>0.155</v>
      </c>
      <c r="F246" s="12">
        <v>-3.32E-2</v>
      </c>
    </row>
    <row r="247" spans="1:6" x14ac:dyDescent="0.3">
      <c r="A247">
        <v>201304</v>
      </c>
      <c r="B247" s="12">
        <v>0.11260000000000001</v>
      </c>
      <c r="C247" s="12">
        <v>-1.5800000000000002E-2</v>
      </c>
      <c r="D247" s="12">
        <v>0.41439999999999999</v>
      </c>
      <c r="E247" s="12">
        <v>-0.26900000000000002</v>
      </c>
      <c r="F247" s="12">
        <v>-8.7300000000000003E-2</v>
      </c>
    </row>
    <row r="248" spans="1:6" x14ac:dyDescent="0.3">
      <c r="A248">
        <v>201305</v>
      </c>
      <c r="B248" s="12">
        <v>0.1108</v>
      </c>
      <c r="C248" s="12">
        <v>-1.9E-3</v>
      </c>
      <c r="D248" s="12">
        <v>-6.6600000000000006E-2</v>
      </c>
      <c r="E248" s="12">
        <v>-0.1099</v>
      </c>
      <c r="F248" s="12">
        <v>0.19059999999999999</v>
      </c>
    </row>
    <row r="249" spans="1:6" x14ac:dyDescent="0.3">
      <c r="A249">
        <v>201306</v>
      </c>
      <c r="B249" s="12">
        <v>0.33600000000000002</v>
      </c>
      <c r="C249" s="12">
        <v>7.9500000000000001E-2</v>
      </c>
      <c r="D249" s="12">
        <v>8.9599999999999999E-2</v>
      </c>
      <c r="E249" s="12">
        <v>0.1472</v>
      </c>
      <c r="F249" s="12">
        <v>-2.0500000000000001E-2</v>
      </c>
    </row>
    <row r="250" spans="1:6" x14ac:dyDescent="0.3">
      <c r="A250">
        <v>201307</v>
      </c>
      <c r="B250" s="12">
        <v>-0.128</v>
      </c>
      <c r="C250" s="12">
        <v>-0.1046</v>
      </c>
      <c r="D250" s="12">
        <v>6.7999999999999996E-3</v>
      </c>
      <c r="E250" s="12">
        <v>-0.20030000000000001</v>
      </c>
      <c r="F250" s="12">
        <v>-5.1999999999999998E-3</v>
      </c>
    </row>
    <row r="251" spans="1:6" x14ac:dyDescent="0.3">
      <c r="A251">
        <v>201308</v>
      </c>
      <c r="B251" s="12">
        <v>-2.4799999999999999E-2</v>
      </c>
      <c r="C251" s="12">
        <v>-0.21879999999999999</v>
      </c>
      <c r="D251" s="12">
        <v>0.2833</v>
      </c>
      <c r="E251" s="12">
        <v>-0.28589999999999999</v>
      </c>
      <c r="F251" s="12">
        <v>-0.113</v>
      </c>
    </row>
    <row r="252" spans="1:6" x14ac:dyDescent="0.3">
      <c r="A252">
        <v>201309</v>
      </c>
      <c r="B252" s="12">
        <v>-2.81E-2</v>
      </c>
      <c r="C252" s="12">
        <v>5.8999999999999999E-3</v>
      </c>
      <c r="D252" s="12">
        <v>-0.18709999999999999</v>
      </c>
      <c r="E252" s="12">
        <v>-0.24610000000000001</v>
      </c>
      <c r="F252" s="12">
        <v>-0.12479999999999999</v>
      </c>
    </row>
    <row r="253" spans="1:6" x14ac:dyDescent="0.3">
      <c r="A253">
        <v>201310</v>
      </c>
      <c r="B253" s="12">
        <v>-0.153</v>
      </c>
      <c r="C253" s="12">
        <v>-0.18110000000000001</v>
      </c>
      <c r="D253" s="12">
        <v>-0.10639999999999999</v>
      </c>
      <c r="E253" s="12">
        <v>-3.5799999999999998E-2</v>
      </c>
      <c r="F253" s="12">
        <v>4.9000000000000002E-2</v>
      </c>
    </row>
    <row r="254" spans="1:6" x14ac:dyDescent="0.3">
      <c r="A254">
        <v>201311</v>
      </c>
      <c r="B254" s="12">
        <v>-0.1215</v>
      </c>
      <c r="C254" s="12">
        <v>2.1899999999999999E-2</v>
      </c>
      <c r="D254" s="12">
        <v>-7.8100000000000003E-2</v>
      </c>
      <c r="E254" s="12">
        <v>-0.2888</v>
      </c>
      <c r="F254" s="12">
        <v>-9.4299999999999995E-2</v>
      </c>
    </row>
    <row r="255" spans="1:6" x14ac:dyDescent="0.3">
      <c r="A255">
        <v>201312</v>
      </c>
      <c r="B255" s="12">
        <v>-2.6100000000000002E-2</v>
      </c>
      <c r="C255" s="12">
        <v>-1.5699999999999999E-2</v>
      </c>
      <c r="D255" s="12">
        <v>2.5700000000000001E-2</v>
      </c>
      <c r="E255" s="12">
        <v>-5.33E-2</v>
      </c>
      <c r="F255" s="12">
        <v>1E-4</v>
      </c>
    </row>
    <row r="256" spans="1:6" x14ac:dyDescent="0.3">
      <c r="A256">
        <v>201401</v>
      </c>
      <c r="B256" s="12">
        <v>-2.53E-2</v>
      </c>
      <c r="C256" s="12">
        <v>-0.23250000000000001</v>
      </c>
      <c r="D256" s="12">
        <v>-0.10009999999999999</v>
      </c>
      <c r="E256" s="12">
        <v>-0.17510000000000001</v>
      </c>
      <c r="F256" s="12">
        <v>-0.1258</v>
      </c>
    </row>
    <row r="257" spans="1:6" x14ac:dyDescent="0.3">
      <c r="A257">
        <v>201402</v>
      </c>
      <c r="B257" s="12">
        <v>-0.1142</v>
      </c>
      <c r="C257" s="12">
        <v>-0.15459999999999999</v>
      </c>
      <c r="D257" s="12">
        <v>0.2162</v>
      </c>
      <c r="E257" s="12">
        <v>-0.29360000000000003</v>
      </c>
      <c r="F257" s="12">
        <v>-4.9599999999999998E-2</v>
      </c>
    </row>
    <row r="258" spans="1:6" x14ac:dyDescent="0.3">
      <c r="A258">
        <v>201403</v>
      </c>
      <c r="B258" s="12">
        <v>-0.20810000000000001</v>
      </c>
      <c r="C258" s="12">
        <v>-0.15629999999999999</v>
      </c>
      <c r="D258" s="12">
        <v>0.1991</v>
      </c>
      <c r="E258" s="12">
        <v>-0.25459999999999999</v>
      </c>
      <c r="F258" s="12">
        <v>-0.1038</v>
      </c>
    </row>
    <row r="259" spans="1:6" x14ac:dyDescent="0.3">
      <c r="A259">
        <v>201404</v>
      </c>
      <c r="B259" s="12">
        <v>-0.1016</v>
      </c>
      <c r="C259" s="12">
        <v>-0.27939999999999998</v>
      </c>
      <c r="D259" s="12">
        <v>-0.1779</v>
      </c>
      <c r="E259" s="12">
        <v>-0.15970000000000001</v>
      </c>
      <c r="F259" s="12">
        <v>-0.125</v>
      </c>
    </row>
    <row r="260" spans="1:6" x14ac:dyDescent="0.3">
      <c r="A260">
        <v>201405</v>
      </c>
      <c r="B260" s="12">
        <v>9.3399999999999997E-2</v>
      </c>
      <c r="C260" s="12">
        <v>-0.13150000000000001</v>
      </c>
      <c r="D260" s="12">
        <v>-0.1222</v>
      </c>
      <c r="E260" s="12">
        <v>-0.15859999999999999</v>
      </c>
      <c r="F260" s="12">
        <v>-0.12330000000000001</v>
      </c>
    </row>
    <row r="261" spans="1:6" x14ac:dyDescent="0.3">
      <c r="A261">
        <v>201406</v>
      </c>
      <c r="B261" s="12">
        <v>-0.18410000000000001</v>
      </c>
      <c r="C261" s="12">
        <v>-0.17780000000000001</v>
      </c>
      <c r="D261" s="12">
        <v>1.06E-2</v>
      </c>
      <c r="E261" s="12">
        <v>-0.1062</v>
      </c>
      <c r="F261" s="12">
        <v>-0.1731</v>
      </c>
    </row>
    <row r="262" spans="1:6" x14ac:dyDescent="0.3">
      <c r="A262">
        <v>201407</v>
      </c>
      <c r="B262" s="12">
        <v>-7.8399999999999997E-2</v>
      </c>
      <c r="C262" s="12">
        <v>-9.1800000000000007E-2</v>
      </c>
      <c r="D262" s="12">
        <v>9.8299999999999998E-2</v>
      </c>
      <c r="E262" s="12">
        <v>-8.8300000000000003E-2</v>
      </c>
      <c r="F262" s="12">
        <v>-8.1299999999999997E-2</v>
      </c>
    </row>
    <row r="263" spans="1:6" x14ac:dyDescent="0.3">
      <c r="A263">
        <v>201408</v>
      </c>
      <c r="B263" s="12">
        <v>0.159</v>
      </c>
      <c r="C263" s="12">
        <v>0.1981</v>
      </c>
      <c r="D263" s="12">
        <v>-0.17</v>
      </c>
      <c r="E263" s="12">
        <v>-0.1137</v>
      </c>
      <c r="F263" s="12">
        <v>-0.124</v>
      </c>
    </row>
    <row r="264" spans="1:6" x14ac:dyDescent="0.3">
      <c r="A264">
        <v>201409</v>
      </c>
      <c r="B264" s="12">
        <v>-0.1265</v>
      </c>
      <c r="C264" s="12">
        <v>0.37259999999999999</v>
      </c>
      <c r="D264" s="12">
        <v>0.42870000000000003</v>
      </c>
      <c r="E264" s="12">
        <v>-0.20580000000000001</v>
      </c>
      <c r="F264" s="12">
        <v>2.86E-2</v>
      </c>
    </row>
    <row r="265" spans="1:6" x14ac:dyDescent="0.3">
      <c r="A265">
        <v>201410</v>
      </c>
      <c r="B265" s="12">
        <v>8.7900000000000006E-2</v>
      </c>
      <c r="C265" s="12">
        <v>7.2700000000000001E-2</v>
      </c>
      <c r="D265" s="12">
        <v>0.2198</v>
      </c>
      <c r="E265" s="12">
        <v>1.21E-2</v>
      </c>
      <c r="F265" s="12">
        <v>8.6099999999999996E-2</v>
      </c>
    </row>
    <row r="266" spans="1:6" x14ac:dyDescent="0.3">
      <c r="A266">
        <v>201411</v>
      </c>
      <c r="B266" s="12">
        <v>1.9800000000000002E-2</v>
      </c>
      <c r="C266" s="12">
        <v>0.1673</v>
      </c>
      <c r="D266" s="12">
        <v>5.7000000000000002E-3</v>
      </c>
      <c r="E266" s="12">
        <v>-0.1908</v>
      </c>
      <c r="F266" s="12">
        <v>-1.8700000000000001E-2</v>
      </c>
    </row>
    <row r="267" spans="1:6" x14ac:dyDescent="0.3">
      <c r="A267">
        <v>201412</v>
      </c>
      <c r="B267" s="12">
        <v>9.1700000000000004E-2</v>
      </c>
      <c r="C267" s="12">
        <v>-2.81E-2</v>
      </c>
      <c r="D267" s="12">
        <v>6.5199999999999994E-2</v>
      </c>
      <c r="E267" s="12">
        <v>-6.9599999999999995E-2</v>
      </c>
      <c r="F267" s="12">
        <v>0.1187</v>
      </c>
    </row>
    <row r="268" spans="1:6" x14ac:dyDescent="0.3">
      <c r="A268">
        <v>201501</v>
      </c>
      <c r="B268" s="12">
        <v>0.373</v>
      </c>
      <c r="C268" s="12">
        <v>0.69099999999999995</v>
      </c>
      <c r="D268" s="12">
        <v>5.8799999999999998E-2</v>
      </c>
      <c r="E268" s="12">
        <v>-4.4600000000000001E-2</v>
      </c>
      <c r="F268" s="12">
        <v>-7.5200000000000003E-2</v>
      </c>
    </row>
    <row r="269" spans="1:6" x14ac:dyDescent="0.3">
      <c r="A269">
        <v>201502</v>
      </c>
      <c r="B269" s="12">
        <v>-2.0199999999999999E-2</v>
      </c>
      <c r="C269" s="12">
        <v>-0.18790000000000001</v>
      </c>
      <c r="D269" s="12">
        <v>-6.6199999999999995E-2</v>
      </c>
      <c r="E269" s="12">
        <v>-6.0999999999999999E-2</v>
      </c>
      <c r="F269" s="12">
        <v>0.26650000000000001</v>
      </c>
    </row>
    <row r="270" spans="1:6" x14ac:dyDescent="0.3">
      <c r="A270">
        <v>201503</v>
      </c>
      <c r="B270" s="12">
        <v>4.7000000000000002E-3</v>
      </c>
      <c r="C270" s="12">
        <v>0.14630000000000001</v>
      </c>
      <c r="D270" s="12">
        <v>-0.18190000000000001</v>
      </c>
      <c r="E270" s="12">
        <v>-0.16</v>
      </c>
      <c r="F270" s="12">
        <v>-5.5100000000000003E-2</v>
      </c>
    </row>
    <row r="271" spans="1:6" x14ac:dyDescent="0.3">
      <c r="A271">
        <v>201504</v>
      </c>
      <c r="B271" s="12">
        <v>-4.0599999999999997E-2</v>
      </c>
      <c r="C271" s="12">
        <v>-5.7799999999999997E-2</v>
      </c>
      <c r="D271" s="12">
        <v>-0.1109</v>
      </c>
      <c r="E271" s="12">
        <v>-0.1285</v>
      </c>
      <c r="F271" s="12">
        <v>-0.12989999999999999</v>
      </c>
    </row>
    <row r="272" spans="1:6" x14ac:dyDescent="0.3">
      <c r="A272">
        <v>201505</v>
      </c>
      <c r="B272" s="12">
        <v>0.12609999999999999</v>
      </c>
      <c r="C272" s="12">
        <v>-1.11E-2</v>
      </c>
      <c r="D272" s="12">
        <v>-0.12909999999999999</v>
      </c>
      <c r="E272" s="12">
        <v>-0.3513</v>
      </c>
      <c r="F272" s="12">
        <v>-0.23400000000000001</v>
      </c>
    </row>
    <row r="273" spans="1:6" x14ac:dyDescent="0.3">
      <c r="A273">
        <v>201506</v>
      </c>
      <c r="B273" s="12">
        <v>6.0400000000000002E-2</v>
      </c>
      <c r="C273" s="12">
        <v>-2.12E-2</v>
      </c>
      <c r="D273" s="12">
        <v>0.31580000000000003</v>
      </c>
      <c r="E273" s="12">
        <v>1.2999999999999999E-2</v>
      </c>
      <c r="F273" s="12">
        <v>-2.4500000000000001E-2</v>
      </c>
    </row>
    <row r="274" spans="1:6" x14ac:dyDescent="0.3">
      <c r="A274">
        <v>201507</v>
      </c>
      <c r="B274" s="12">
        <v>-0.187</v>
      </c>
      <c r="C274" s="12">
        <v>-0.1827</v>
      </c>
      <c r="D274" s="12">
        <v>9.7100000000000006E-2</v>
      </c>
      <c r="E274" s="12">
        <v>-0.3105</v>
      </c>
      <c r="F274" s="12">
        <v>-0.26900000000000002</v>
      </c>
    </row>
    <row r="275" spans="1:6" x14ac:dyDescent="0.3">
      <c r="A275">
        <v>201508</v>
      </c>
      <c r="B275" s="12">
        <v>5.8700000000000002E-2</v>
      </c>
      <c r="C275" s="12">
        <v>3.6600000000000001E-2</v>
      </c>
      <c r="D275" s="12">
        <v>7.3300000000000004E-2</v>
      </c>
      <c r="E275" s="12">
        <v>-0.21390000000000001</v>
      </c>
      <c r="F275" s="12">
        <v>0.66620000000000001</v>
      </c>
    </row>
    <row r="276" spans="1:6" x14ac:dyDescent="0.3">
      <c r="A276">
        <v>201509</v>
      </c>
      <c r="B276" s="12">
        <v>-0.111</v>
      </c>
      <c r="C276" s="12">
        <v>-0.1193</v>
      </c>
      <c r="D276" s="12">
        <v>-0.18179999999999999</v>
      </c>
      <c r="E276" s="12">
        <v>-7.1999999999999995E-2</v>
      </c>
      <c r="F276" s="12">
        <v>-9.1700000000000004E-2</v>
      </c>
    </row>
    <row r="277" spans="1:6" x14ac:dyDescent="0.3">
      <c r="A277">
        <v>201510</v>
      </c>
      <c r="B277" s="12">
        <v>-0.1658</v>
      </c>
      <c r="C277" s="12">
        <v>-0.17169999999999999</v>
      </c>
      <c r="D277" s="12">
        <v>-0.19750000000000001</v>
      </c>
      <c r="E277" s="12">
        <v>-0.11559999999999999</v>
      </c>
      <c r="F277" s="12">
        <v>-0.1023</v>
      </c>
    </row>
    <row r="278" spans="1:6" x14ac:dyDescent="0.3">
      <c r="A278">
        <v>201511</v>
      </c>
      <c r="B278" s="12">
        <v>-9.2399999999999996E-2</v>
      </c>
      <c r="C278" s="12">
        <v>0.17299999999999999</v>
      </c>
      <c r="D278" s="12">
        <v>-4.2900000000000001E-2</v>
      </c>
      <c r="E278" s="12">
        <v>7.3099999999999998E-2</v>
      </c>
      <c r="F278" s="12">
        <v>-0.1588</v>
      </c>
    </row>
    <row r="279" spans="1:6" x14ac:dyDescent="0.3">
      <c r="A279">
        <v>201512</v>
      </c>
      <c r="B279" s="12">
        <v>-0.18729999999999999</v>
      </c>
      <c r="C279" s="12">
        <v>-0.1002</v>
      </c>
      <c r="D279" s="12">
        <v>-4.3900000000000002E-2</v>
      </c>
      <c r="E279" s="12">
        <v>-0.15279999999999999</v>
      </c>
      <c r="F279" s="12">
        <v>-8.0999999999999996E-3</v>
      </c>
    </row>
    <row r="280" spans="1:6" x14ac:dyDescent="0.3">
      <c r="A280">
        <v>201601</v>
      </c>
      <c r="B280" s="12">
        <v>0.245</v>
      </c>
      <c r="C280" s="12">
        <v>4.7500000000000001E-2</v>
      </c>
      <c r="D280" s="12">
        <v>-0.1116</v>
      </c>
      <c r="E280" s="12">
        <v>-0.08</v>
      </c>
      <c r="F280" s="12">
        <v>7.1999999999999998E-3</v>
      </c>
    </row>
    <row r="281" spans="1:6" x14ac:dyDescent="0.3">
      <c r="A281">
        <v>201602</v>
      </c>
      <c r="B281" s="12">
        <v>9.1700000000000004E-2</v>
      </c>
      <c r="C281" s="12">
        <v>0.1988</v>
      </c>
      <c r="D281" s="12">
        <v>7.2900000000000006E-2</v>
      </c>
      <c r="E281" s="12">
        <v>-0.25159999999999999</v>
      </c>
      <c r="F281" s="12">
        <v>-6.0199999999999997E-2</v>
      </c>
    </row>
    <row r="282" spans="1:6" x14ac:dyDescent="0.3">
      <c r="A282">
        <v>201603</v>
      </c>
      <c r="B282" s="12">
        <v>-0.1933</v>
      </c>
      <c r="C282" s="12">
        <v>-0.14369999999999999</v>
      </c>
      <c r="D282" s="12">
        <v>-0.13320000000000001</v>
      </c>
      <c r="E282" s="12">
        <v>-0.42209999999999998</v>
      </c>
      <c r="F282" s="12">
        <v>-0.15609999999999999</v>
      </c>
    </row>
    <row r="283" spans="1:6" x14ac:dyDescent="0.3">
      <c r="A283">
        <v>201604</v>
      </c>
      <c r="B283" s="12">
        <v>-0.18360000000000001</v>
      </c>
      <c r="C283" s="12">
        <v>3.9E-2</v>
      </c>
      <c r="D283" s="12">
        <v>0.33860000000000001</v>
      </c>
      <c r="E283" s="12">
        <v>-0.17480000000000001</v>
      </c>
      <c r="F283" s="12">
        <v>-4.6600000000000003E-2</v>
      </c>
    </row>
    <row r="284" spans="1:6" x14ac:dyDescent="0.3">
      <c r="A284">
        <v>201605</v>
      </c>
      <c r="B284" s="12">
        <v>-6.7100000000000007E-2</v>
      </c>
      <c r="C284" s="12">
        <v>-0.22320000000000001</v>
      </c>
      <c r="D284" s="12">
        <v>-0.14990000000000001</v>
      </c>
      <c r="E284" s="12">
        <v>-0.14449999999999999</v>
      </c>
      <c r="F284" s="12">
        <v>-0.1399</v>
      </c>
    </row>
    <row r="285" spans="1:6" x14ac:dyDescent="0.3">
      <c r="A285">
        <v>201606</v>
      </c>
      <c r="B285" s="12">
        <v>0.16719999999999999</v>
      </c>
      <c r="C285" s="12">
        <v>0.22600000000000001</v>
      </c>
      <c r="D285" s="12">
        <v>0.15620000000000001</v>
      </c>
      <c r="E285" s="12">
        <v>0.36630000000000001</v>
      </c>
      <c r="F285" s="12">
        <v>7.3700000000000002E-2</v>
      </c>
    </row>
    <row r="286" spans="1:6" x14ac:dyDescent="0.3">
      <c r="A286">
        <v>201607</v>
      </c>
      <c r="B286" s="12">
        <v>-1.9099999999999999E-2</v>
      </c>
      <c r="C286" s="12">
        <v>-0.1643</v>
      </c>
      <c r="D286" s="12">
        <v>0.16109999999999999</v>
      </c>
      <c r="E286" s="12">
        <v>-0.1158</v>
      </c>
      <c r="F286" s="12">
        <v>1.3100000000000001E-2</v>
      </c>
    </row>
    <row r="287" spans="1:6" x14ac:dyDescent="0.3">
      <c r="A287">
        <v>201608</v>
      </c>
      <c r="B287" s="12">
        <v>-0.1031</v>
      </c>
      <c r="C287" s="12">
        <v>-0.1492</v>
      </c>
      <c r="D287" s="12">
        <v>-6.9000000000000006E-2</v>
      </c>
      <c r="E287" s="12">
        <v>-0.1087</v>
      </c>
      <c r="F287" s="12">
        <v>-0.12089999999999999</v>
      </c>
    </row>
    <row r="288" spans="1:6" x14ac:dyDescent="0.3">
      <c r="A288">
        <v>201609</v>
      </c>
      <c r="B288" s="12">
        <v>-4.8599999999999997E-2</v>
      </c>
      <c r="C288" s="12">
        <v>-0.14510000000000001</v>
      </c>
      <c r="D288" s="12">
        <v>-0.216</v>
      </c>
      <c r="E288" s="12">
        <v>2.3199999999999998E-2</v>
      </c>
      <c r="F288" s="12">
        <v>-5.79E-2</v>
      </c>
    </row>
    <row r="289" spans="1:6" x14ac:dyDescent="0.3">
      <c r="A289">
        <v>201610</v>
      </c>
      <c r="B289" s="12">
        <v>5.7599999999999998E-2</v>
      </c>
      <c r="C289" s="12">
        <v>8.1299999999999997E-2</v>
      </c>
      <c r="D289" s="12">
        <v>2.9000000000000001E-2</v>
      </c>
      <c r="E289" s="12">
        <v>-0.15010000000000001</v>
      </c>
      <c r="F289" s="12">
        <v>-0.15110000000000001</v>
      </c>
    </row>
    <row r="290" spans="1:6" x14ac:dyDescent="0.3">
      <c r="A290">
        <v>201611</v>
      </c>
      <c r="B290" s="12">
        <v>0.23230000000000001</v>
      </c>
      <c r="C290" s="12">
        <v>0.47210000000000002</v>
      </c>
      <c r="D290" s="12">
        <v>5.6000000000000001E-2</v>
      </c>
      <c r="E290" s="12">
        <v>-0.2243</v>
      </c>
      <c r="F290" s="12">
        <v>-0.14860000000000001</v>
      </c>
    </row>
    <row r="291" spans="1:6" x14ac:dyDescent="0.3">
      <c r="A291">
        <v>201612</v>
      </c>
      <c r="B291" s="12">
        <v>-0.12540000000000001</v>
      </c>
      <c r="C291" s="12">
        <v>-8.7499999999999994E-2</v>
      </c>
      <c r="D291" s="12">
        <v>-7.2700000000000001E-2</v>
      </c>
      <c r="E291" s="12">
        <v>-0.126</v>
      </c>
      <c r="F291" s="12">
        <v>2.64E-2</v>
      </c>
    </row>
    <row r="292" spans="1:6" x14ac:dyDescent="0.3">
      <c r="A292">
        <v>201701</v>
      </c>
      <c r="B292" s="12">
        <v>-0.215</v>
      </c>
      <c r="C292" s="12">
        <v>-0.158</v>
      </c>
      <c r="D292" s="12">
        <v>-0.20230000000000001</v>
      </c>
      <c r="E292" s="12">
        <v>-0.188</v>
      </c>
      <c r="F292" s="12">
        <v>-0.15970000000000001</v>
      </c>
    </row>
    <row r="293" spans="1:6" x14ac:dyDescent="0.3">
      <c r="A293">
        <v>201702</v>
      </c>
      <c r="B293" s="12">
        <v>-9.7799999999999998E-2</v>
      </c>
      <c r="C293" s="12">
        <v>-0.31809999999999999</v>
      </c>
      <c r="D293" s="12">
        <v>-6.7199999999999996E-2</v>
      </c>
      <c r="E293" s="12">
        <v>-0.27389999999999998</v>
      </c>
      <c r="F293" s="12">
        <v>7.6600000000000001E-2</v>
      </c>
    </row>
    <row r="294" spans="1:6" x14ac:dyDescent="0.3">
      <c r="A294">
        <v>201703</v>
      </c>
      <c r="B294" s="12">
        <v>-0.16819999999999999</v>
      </c>
      <c r="C294" s="12">
        <v>-0.15659999999999999</v>
      </c>
      <c r="D294" s="12">
        <v>-6.0400000000000002E-2</v>
      </c>
      <c r="E294" s="12">
        <v>-0.13650000000000001</v>
      </c>
      <c r="F294" s="12">
        <v>-0.19800000000000001</v>
      </c>
    </row>
    <row r="295" spans="1:6" x14ac:dyDescent="0.3">
      <c r="A295">
        <v>201704</v>
      </c>
      <c r="B295" s="12">
        <v>-4.6800000000000001E-2</v>
      </c>
      <c r="C295" s="12">
        <v>-4.5900000000000003E-2</v>
      </c>
      <c r="D295" s="12">
        <v>-0.108</v>
      </c>
      <c r="E295" s="12">
        <v>-0.12640000000000001</v>
      </c>
      <c r="F295" s="12">
        <v>-0.2064</v>
      </c>
    </row>
    <row r="296" spans="1:6" x14ac:dyDescent="0.3">
      <c r="A296">
        <v>201705</v>
      </c>
      <c r="B296" s="12">
        <v>-0.1077</v>
      </c>
      <c r="C296" s="12">
        <v>9.5799999999999996E-2</v>
      </c>
      <c r="D296" s="12">
        <v>-9.0399999999999994E-2</v>
      </c>
      <c r="E296" s="12">
        <v>-0.14000000000000001</v>
      </c>
      <c r="F296" s="12">
        <v>-5.5100000000000003E-2</v>
      </c>
    </row>
    <row r="297" spans="1:6" x14ac:dyDescent="0.3">
      <c r="A297">
        <v>201706</v>
      </c>
      <c r="B297" s="12">
        <v>-9.1499999999999998E-2</v>
      </c>
      <c r="C297" s="12">
        <v>-6.4799999999999996E-2</v>
      </c>
      <c r="D297" s="12">
        <v>1.6999999999999999E-3</v>
      </c>
      <c r="E297" s="12">
        <v>9.7900000000000001E-2</v>
      </c>
      <c r="F297" s="12">
        <v>-0.12039999999999999</v>
      </c>
    </row>
    <row r="298" spans="1:6" x14ac:dyDescent="0.3">
      <c r="A298">
        <v>201707</v>
      </c>
      <c r="B298" s="12">
        <v>-0.15479999999999999</v>
      </c>
      <c r="C298" s="12">
        <v>0.12239999999999999</v>
      </c>
      <c r="D298" s="12">
        <v>-5.3999999999999999E-2</v>
      </c>
      <c r="E298" s="12">
        <v>-0.26140000000000002</v>
      </c>
      <c r="F298" s="12">
        <v>-0.27010000000000001</v>
      </c>
    </row>
    <row r="299" spans="1:6" x14ac:dyDescent="0.3">
      <c r="A299">
        <v>201708</v>
      </c>
      <c r="B299" s="12">
        <v>-2.01E-2</v>
      </c>
      <c r="C299" s="12">
        <v>-0.1978</v>
      </c>
      <c r="D299" s="12">
        <v>6.0400000000000002E-2</v>
      </c>
      <c r="E299" s="12">
        <v>-0.24079999999999999</v>
      </c>
      <c r="F299" s="12">
        <v>-0.3044</v>
      </c>
    </row>
    <row r="300" spans="1:6" x14ac:dyDescent="0.3">
      <c r="A300">
        <v>201709</v>
      </c>
      <c r="B300" s="12">
        <v>-0.1157</v>
      </c>
      <c r="C300" s="12">
        <v>3.2899999999999999E-2</v>
      </c>
      <c r="D300" s="12">
        <v>-0.1389</v>
      </c>
      <c r="E300" s="12">
        <v>3.4299999999999997E-2</v>
      </c>
      <c r="F300" s="12">
        <v>-0.18479999999999999</v>
      </c>
    </row>
    <row r="301" spans="1:6" x14ac:dyDescent="0.3">
      <c r="A301">
        <v>201710</v>
      </c>
      <c r="B301" s="12">
        <v>-0.15540000000000001</v>
      </c>
      <c r="C301" s="12">
        <v>-2.3900000000000001E-2</v>
      </c>
      <c r="D301" s="12">
        <v>-5.9200000000000003E-2</v>
      </c>
      <c r="E301" s="12">
        <v>-0.1542</v>
      </c>
      <c r="F301" s="12">
        <v>1.9800000000000002E-2</v>
      </c>
    </row>
    <row r="302" spans="1:6" x14ac:dyDescent="0.3">
      <c r="A302">
        <v>201711</v>
      </c>
      <c r="B302" s="12">
        <v>-8.0600000000000005E-2</v>
      </c>
      <c r="C302" s="12">
        <v>-0.26779999999999998</v>
      </c>
      <c r="D302" s="12">
        <v>-0.1222</v>
      </c>
      <c r="E302" s="12">
        <v>-0.22500000000000001</v>
      </c>
      <c r="F302" s="12">
        <v>6.7000000000000004E-2</v>
      </c>
    </row>
    <row r="303" spans="1:6" x14ac:dyDescent="0.3">
      <c r="A303">
        <v>201712</v>
      </c>
      <c r="B303" s="12">
        <v>-0.11310000000000001</v>
      </c>
      <c r="C303" s="12">
        <v>-0.11899999999999999</v>
      </c>
      <c r="D303" s="12">
        <v>8.3999999999999995E-3</v>
      </c>
      <c r="E303" s="12">
        <v>-7.3200000000000001E-2</v>
      </c>
      <c r="F303" s="12">
        <v>-1.9199999999999998E-2</v>
      </c>
    </row>
    <row r="304" spans="1:6" x14ac:dyDescent="0.3">
      <c r="A304">
        <v>201801</v>
      </c>
      <c r="B304" s="12">
        <v>0.2099</v>
      </c>
      <c r="C304" s="12">
        <v>0.51270000000000004</v>
      </c>
      <c r="D304" s="12">
        <v>4.4999999999999997E-3</v>
      </c>
      <c r="E304" s="12">
        <v>-0.1239</v>
      </c>
      <c r="F304" s="12">
        <v>0.1971</v>
      </c>
    </row>
    <row r="305" spans="1:6" x14ac:dyDescent="0.3">
      <c r="A305">
        <v>201802</v>
      </c>
      <c r="B305" s="12">
        <v>-9.2100000000000001E-2</v>
      </c>
      <c r="C305" s="12">
        <v>-8.4400000000000003E-2</v>
      </c>
      <c r="D305" s="12">
        <v>3.9199999999999999E-2</v>
      </c>
      <c r="E305" s="12">
        <v>0.50129999999999997</v>
      </c>
      <c r="F305" s="12">
        <v>0.2019</v>
      </c>
    </row>
    <row r="306" spans="1:6" x14ac:dyDescent="0.3">
      <c r="A306">
        <v>201803</v>
      </c>
      <c r="B306" s="12">
        <v>-5.4999999999999997E-3</v>
      </c>
      <c r="C306" s="12">
        <v>-0.1084</v>
      </c>
      <c r="D306" s="12">
        <v>-8.9499999999999996E-2</v>
      </c>
      <c r="E306" s="12">
        <v>8.4900000000000003E-2</v>
      </c>
      <c r="F306" s="12">
        <v>-1.0200000000000001E-2</v>
      </c>
    </row>
    <row r="307" spans="1:6" x14ac:dyDescent="0.3">
      <c r="A307">
        <v>201804</v>
      </c>
      <c r="B307" s="12">
        <v>-0.21929999999999999</v>
      </c>
      <c r="C307" s="12">
        <v>0.14050000000000001</v>
      </c>
      <c r="D307" s="12">
        <v>-2.9700000000000001E-2</v>
      </c>
      <c r="E307" s="12">
        <v>-0.23580000000000001</v>
      </c>
      <c r="F307" s="12">
        <v>-0.1205</v>
      </c>
    </row>
    <row r="308" spans="1:6" x14ac:dyDescent="0.3">
      <c r="A308">
        <v>201805</v>
      </c>
      <c r="B308" s="12">
        <v>0.27010000000000001</v>
      </c>
      <c r="C308" s="12">
        <v>0.2908</v>
      </c>
      <c r="D308" s="12">
        <v>-0.15240000000000001</v>
      </c>
      <c r="E308" s="12">
        <v>-7.4800000000000005E-2</v>
      </c>
      <c r="F308" s="12">
        <v>-6.6199999999999995E-2</v>
      </c>
    </row>
    <row r="309" spans="1:6" x14ac:dyDescent="0.3">
      <c r="A309">
        <v>201806</v>
      </c>
      <c r="B309" s="12">
        <v>-0.14380000000000001</v>
      </c>
      <c r="C309" s="12">
        <v>-8.8300000000000003E-2</v>
      </c>
      <c r="D309" s="12">
        <v>0.30649999999999999</v>
      </c>
      <c r="E309" s="12">
        <v>-9.5500000000000002E-2</v>
      </c>
      <c r="F309" s="12">
        <v>-8.9999999999999998E-4</v>
      </c>
    </row>
    <row r="310" spans="1:6" x14ac:dyDescent="0.3">
      <c r="A310">
        <v>201807</v>
      </c>
      <c r="B310" s="12">
        <v>-0.1983</v>
      </c>
      <c r="C310" s="12">
        <v>-0.17929999999999999</v>
      </c>
      <c r="D310" s="12">
        <v>-3.5099999999999999E-2</v>
      </c>
      <c r="E310" s="12">
        <v>-0.17949999999999999</v>
      </c>
      <c r="F310" s="12">
        <v>-0.16120000000000001</v>
      </c>
    </row>
    <row r="311" spans="1:6" x14ac:dyDescent="0.3">
      <c r="A311">
        <v>201808</v>
      </c>
      <c r="B311" s="12">
        <v>4.2500000000000003E-2</v>
      </c>
      <c r="C311" s="12">
        <v>0.1179</v>
      </c>
      <c r="D311" s="12">
        <v>1.17E-2</v>
      </c>
      <c r="E311" s="12">
        <v>-8.9599999999999999E-2</v>
      </c>
      <c r="F311" s="12">
        <v>-4.4000000000000003E-3</v>
      </c>
    </row>
    <row r="312" spans="1:6" x14ac:dyDescent="0.3">
      <c r="A312">
        <v>201809</v>
      </c>
      <c r="B312" s="12">
        <v>-5.6500000000000002E-2</v>
      </c>
      <c r="C312" s="12">
        <v>-3.27E-2</v>
      </c>
      <c r="D312" s="12">
        <v>-4.8500000000000001E-2</v>
      </c>
      <c r="E312" s="12">
        <v>-0.17280000000000001</v>
      </c>
      <c r="F312" s="12">
        <v>-0.1353</v>
      </c>
    </row>
    <row r="313" spans="1:6" x14ac:dyDescent="0.3">
      <c r="A313">
        <v>201810</v>
      </c>
      <c r="B313" s="12">
        <v>-2.5100000000000001E-2</v>
      </c>
      <c r="C313" s="12">
        <v>6.5799999999999997E-2</v>
      </c>
      <c r="D313" s="12">
        <v>-5.4199999999999998E-2</v>
      </c>
      <c r="E313" s="12">
        <v>1.5E-3</v>
      </c>
      <c r="F313" s="12">
        <v>0.45</v>
      </c>
    </row>
    <row r="314" spans="1:6" x14ac:dyDescent="0.3">
      <c r="A314">
        <v>201811</v>
      </c>
      <c r="B314" s="12">
        <v>-0.15529999999999999</v>
      </c>
      <c r="C314" s="12">
        <v>-0.1593</v>
      </c>
      <c r="D314" s="12">
        <v>6.6199999999999995E-2</v>
      </c>
      <c r="E314" s="12">
        <v>-0.16289999999999999</v>
      </c>
      <c r="F314" s="12">
        <v>-9.1600000000000001E-2</v>
      </c>
    </row>
    <row r="315" spans="1:6" x14ac:dyDescent="0.3">
      <c r="A315">
        <v>201812</v>
      </c>
      <c r="B315" s="12">
        <v>0.26169999999999999</v>
      </c>
      <c r="C315" s="12">
        <v>-1.7000000000000001E-2</v>
      </c>
      <c r="D315" s="12">
        <v>-2.7799999999999998E-2</v>
      </c>
      <c r="E315" s="12">
        <v>1.23E-2</v>
      </c>
      <c r="F315" s="12">
        <v>0.18840000000000001</v>
      </c>
    </row>
    <row r="316" spans="1:6" x14ac:dyDescent="0.3">
      <c r="A316">
        <v>201901</v>
      </c>
      <c r="B316" s="12">
        <v>8.2699999999999996E-2</v>
      </c>
      <c r="C316" s="12">
        <v>-0.20599999999999999</v>
      </c>
      <c r="D316" s="12">
        <v>-0.19339999999999999</v>
      </c>
      <c r="E316" s="12">
        <v>-0.2276</v>
      </c>
      <c r="F316" s="12">
        <v>-0.16289999999999999</v>
      </c>
    </row>
    <row r="317" spans="1:6" x14ac:dyDescent="0.3">
      <c r="A317">
        <v>201902</v>
      </c>
      <c r="B317" s="12">
        <v>-1.7899999999999999E-2</v>
      </c>
      <c r="C317" s="12">
        <v>-0.12239999999999999</v>
      </c>
      <c r="D317" s="12">
        <v>-5.9299999999999999E-2</v>
      </c>
      <c r="E317" s="12">
        <v>-5.8999999999999997E-2</v>
      </c>
      <c r="F317" s="12">
        <v>0.1653</v>
      </c>
    </row>
    <row r="318" spans="1:6" x14ac:dyDescent="0.3">
      <c r="A318">
        <v>201903</v>
      </c>
      <c r="B318" s="12">
        <v>0.34029999999999999</v>
      </c>
      <c r="C318" s="12">
        <v>-0.04</v>
      </c>
      <c r="D318" s="12">
        <v>2.7400000000000001E-2</v>
      </c>
      <c r="E318" s="12">
        <v>9.9099999999999994E-2</v>
      </c>
      <c r="F318" s="12">
        <v>-4.6699999999999998E-2</v>
      </c>
    </row>
    <row r="319" spans="1:6" x14ac:dyDescent="0.3">
      <c r="A319">
        <v>201904</v>
      </c>
      <c r="B319" s="12">
        <v>-0.22600000000000001</v>
      </c>
      <c r="C319" s="12">
        <v>-0.1696</v>
      </c>
      <c r="D319" s="12">
        <v>9.69E-2</v>
      </c>
      <c r="E319" s="12">
        <v>2.8E-3</v>
      </c>
      <c r="F319" s="12">
        <v>-1.5900000000000001E-2</v>
      </c>
    </row>
    <row r="320" spans="1:6" x14ac:dyDescent="0.3">
      <c r="A320">
        <v>201905</v>
      </c>
      <c r="B320" s="12">
        <v>0.42499999999999999</v>
      </c>
      <c r="C320" s="12">
        <v>6.4799999999999996E-2</v>
      </c>
      <c r="D320" s="12">
        <v>0.3881</v>
      </c>
      <c r="E320" s="12">
        <v>0.1234</v>
      </c>
      <c r="F320" s="12">
        <v>-5.79E-2</v>
      </c>
    </row>
    <row r="321" spans="1:6" x14ac:dyDescent="0.3">
      <c r="A321">
        <v>201906</v>
      </c>
      <c r="B321" s="12">
        <v>7.3700000000000002E-2</v>
      </c>
      <c r="C321" s="12">
        <v>-5.2900000000000003E-2</v>
      </c>
      <c r="D321" s="12">
        <v>8.9700000000000002E-2</v>
      </c>
      <c r="E321" s="12">
        <v>0.20810000000000001</v>
      </c>
      <c r="F321" s="12">
        <v>3.49E-2</v>
      </c>
    </row>
    <row r="322" spans="1:6" x14ac:dyDescent="0.3">
      <c r="A322">
        <v>201907</v>
      </c>
      <c r="B322" s="12">
        <v>4.5999999999999999E-2</v>
      </c>
      <c r="C322" s="12">
        <v>1.6400000000000001E-2</v>
      </c>
      <c r="D322" s="12">
        <v>-7.1300000000000002E-2</v>
      </c>
      <c r="E322" s="12">
        <v>-0.1847</v>
      </c>
      <c r="F322" s="12">
        <v>3.3599999999999998E-2</v>
      </c>
    </row>
    <row r="323" spans="1:6" x14ac:dyDescent="0.3">
      <c r="A323">
        <v>201908</v>
      </c>
      <c r="B323" s="12">
        <v>0.60880000000000001</v>
      </c>
      <c r="C323" s="12">
        <v>1.04E-2</v>
      </c>
      <c r="D323" s="12">
        <v>0.1154</v>
      </c>
      <c r="E323" s="12">
        <v>-9.0499999999999997E-2</v>
      </c>
      <c r="F323" s="12">
        <v>-0.15970000000000001</v>
      </c>
    </row>
    <row r="324" spans="1:6" x14ac:dyDescent="0.3">
      <c r="A324">
        <v>201909</v>
      </c>
      <c r="B324" s="12">
        <v>-0.13650000000000001</v>
      </c>
      <c r="C324" s="12">
        <v>-0.12809999999999999</v>
      </c>
      <c r="D324" s="12">
        <v>-1.89E-2</v>
      </c>
      <c r="E324" s="12">
        <v>1.2999999999999999E-3</v>
      </c>
      <c r="F324" s="12">
        <v>-0.1154</v>
      </c>
    </row>
    <row r="325" spans="1:6" x14ac:dyDescent="0.3">
      <c r="A325">
        <v>201910</v>
      </c>
      <c r="B325" s="12">
        <v>-4.9599999999999998E-2</v>
      </c>
      <c r="C325" s="12">
        <v>-0.2011</v>
      </c>
      <c r="D325" s="12">
        <v>-0.159</v>
      </c>
      <c r="E325" s="12">
        <v>-0.1221</v>
      </c>
      <c r="F325" s="12">
        <v>-0.22989999999999999</v>
      </c>
    </row>
    <row r="326" spans="1:6" x14ac:dyDescent="0.3">
      <c r="A326">
        <v>201911</v>
      </c>
      <c r="B326" s="12">
        <v>-5.16E-2</v>
      </c>
      <c r="C326" s="12">
        <v>-8.6499999999999994E-2</v>
      </c>
      <c r="D326" s="12">
        <v>-1.9099999999999999E-2</v>
      </c>
      <c r="E326" s="12">
        <v>-0.17230000000000001</v>
      </c>
      <c r="F326" s="12">
        <v>6.7400000000000002E-2</v>
      </c>
    </row>
    <row r="327" spans="1:6" x14ac:dyDescent="0.3">
      <c r="A327">
        <v>201912</v>
      </c>
      <c r="B327" s="12">
        <v>0.1072</v>
      </c>
      <c r="C327" s="12">
        <v>0.03</v>
      </c>
      <c r="D327" s="12">
        <v>4.2599999999999999E-2</v>
      </c>
      <c r="E327" s="12">
        <v>-0.26179999999999998</v>
      </c>
      <c r="F327" s="12">
        <v>3.6999999999999998E-2</v>
      </c>
    </row>
    <row r="328" spans="1:6" x14ac:dyDescent="0.3">
      <c r="A328">
        <v>202001</v>
      </c>
      <c r="B328" s="12">
        <v>5.8000000000000003E-2</v>
      </c>
      <c r="C328" s="12">
        <v>-0.18870000000000001</v>
      </c>
      <c r="D328" s="12">
        <v>-7.1400000000000005E-2</v>
      </c>
      <c r="E328" s="12">
        <v>-2.4199999999999999E-2</v>
      </c>
      <c r="F328" s="12">
        <v>4.5400000000000003E-2</v>
      </c>
    </row>
    <row r="329" spans="1:6" x14ac:dyDescent="0.3">
      <c r="A329">
        <v>202002</v>
      </c>
      <c r="B329" s="12">
        <v>0.31979999999999997</v>
      </c>
      <c r="C329" s="12">
        <v>0.372</v>
      </c>
      <c r="D329" s="12">
        <v>0.22189999999999999</v>
      </c>
      <c r="E329" s="12">
        <v>0.64390000000000003</v>
      </c>
      <c r="F329" s="12">
        <v>0.83489999999999998</v>
      </c>
    </row>
    <row r="330" spans="1:6" x14ac:dyDescent="0.3">
      <c r="A330">
        <v>202003</v>
      </c>
      <c r="B330" s="12">
        <v>1.0469999999999999</v>
      </c>
      <c r="C330" s="12">
        <v>0.99839999999999995</v>
      </c>
      <c r="D330" s="12">
        <v>0.75419999999999998</v>
      </c>
      <c r="E330" s="12">
        <v>0.3836</v>
      </c>
      <c r="F330" s="12">
        <v>0.88500000000000001</v>
      </c>
    </row>
    <row r="331" spans="1:6" x14ac:dyDescent="0.3">
      <c r="A331">
        <v>202004</v>
      </c>
      <c r="B331" s="12">
        <v>-0.1138</v>
      </c>
      <c r="C331" s="12">
        <v>-0.15359999999999999</v>
      </c>
      <c r="D331" s="12">
        <v>3.73E-2</v>
      </c>
      <c r="E331" s="12">
        <v>0.1183</v>
      </c>
      <c r="F331" s="12">
        <v>-0.13830000000000001</v>
      </c>
    </row>
    <row r="332" spans="1:6" x14ac:dyDescent="0.3">
      <c r="A332">
        <v>202005</v>
      </c>
      <c r="B332" s="12">
        <v>-0.1338</v>
      </c>
      <c r="C332" s="12">
        <v>-3.4599999999999999E-2</v>
      </c>
      <c r="D332" s="12">
        <v>-3.8600000000000002E-2</v>
      </c>
      <c r="E332" s="12">
        <v>2.5000000000000001E-3</v>
      </c>
      <c r="F332" s="12">
        <v>-2.98E-2</v>
      </c>
    </row>
    <row r="333" spans="1:6" x14ac:dyDescent="0.3">
      <c r="A333">
        <v>202006</v>
      </c>
      <c r="B333" s="12">
        <v>3.5499999999999997E-2</v>
      </c>
      <c r="C333" s="12">
        <v>0.04</v>
      </c>
      <c r="D333" s="12">
        <v>-9.3600000000000003E-2</v>
      </c>
      <c r="E333" s="12">
        <v>-0.18759999999999999</v>
      </c>
      <c r="F333" s="12">
        <v>-1.35E-2</v>
      </c>
    </row>
    <row r="334" spans="1:6" x14ac:dyDescent="0.3">
      <c r="A334">
        <v>202007</v>
      </c>
      <c r="B334" s="12">
        <v>-2.1299999999999999E-2</v>
      </c>
      <c r="C334" s="12">
        <v>0.39710000000000001</v>
      </c>
      <c r="D334" s="12">
        <v>0.12620000000000001</v>
      </c>
      <c r="E334" s="12">
        <v>1.4E-2</v>
      </c>
      <c r="F334" s="12">
        <v>-0.19989999999999999</v>
      </c>
    </row>
    <row r="335" spans="1:6" x14ac:dyDescent="0.3">
      <c r="A335">
        <v>202008</v>
      </c>
      <c r="B335" s="12">
        <v>-8.4500000000000006E-2</v>
      </c>
      <c r="C335" s="12">
        <v>-2.6599999999999999E-2</v>
      </c>
      <c r="D335" s="12">
        <v>0.13969999999999999</v>
      </c>
      <c r="E335" s="12">
        <v>-0.2089</v>
      </c>
      <c r="F335" s="12">
        <v>-7.3700000000000002E-2</v>
      </c>
    </row>
    <row r="336" spans="1:6" x14ac:dyDescent="0.3">
      <c r="A336">
        <v>202009</v>
      </c>
      <c r="B336" s="12">
        <v>-0.186</v>
      </c>
      <c r="C336" s="12">
        <v>-4.2299999999999997E-2</v>
      </c>
      <c r="D336" s="12">
        <v>7.3300000000000004E-2</v>
      </c>
      <c r="E336" s="12">
        <v>-0.15490000000000001</v>
      </c>
      <c r="F336" s="12">
        <v>-7.9799999999999996E-2</v>
      </c>
    </row>
    <row r="337" spans="1:6" x14ac:dyDescent="0.3">
      <c r="A337">
        <v>202010</v>
      </c>
      <c r="B337" s="12">
        <v>2.8500000000000001E-2</v>
      </c>
      <c r="C337" s="12">
        <v>-0.18609999999999999</v>
      </c>
      <c r="D337" s="12">
        <v>2.2200000000000001E-2</v>
      </c>
      <c r="E337" s="12">
        <v>-0.16919999999999999</v>
      </c>
      <c r="F337" s="12">
        <v>-6.6000000000000003E-2</v>
      </c>
    </row>
    <row r="338" spans="1:6" x14ac:dyDescent="0.3">
      <c r="A338">
        <v>202011</v>
      </c>
      <c r="B338" s="12">
        <v>-0.1555</v>
      </c>
      <c r="C338" s="12">
        <v>-0.26040000000000002</v>
      </c>
      <c r="D338" s="12">
        <v>4.7999999999999996E-3</v>
      </c>
      <c r="E338" s="12">
        <v>-0.2954</v>
      </c>
      <c r="F338" s="12">
        <v>8.8000000000000005E-3</v>
      </c>
    </row>
    <row r="339" spans="1:6" x14ac:dyDescent="0.3">
      <c r="A339">
        <v>202012</v>
      </c>
      <c r="B339" s="12">
        <v>-0.16439999999999999</v>
      </c>
      <c r="C339" s="12">
        <v>-2.3599999999999999E-2</v>
      </c>
      <c r="D339" s="12">
        <v>0.18110000000000001</v>
      </c>
      <c r="E339" s="12">
        <v>-7.4000000000000003E-3</v>
      </c>
      <c r="F339" s="12">
        <v>-1.49E-2</v>
      </c>
    </row>
    <row r="340" spans="1:6" x14ac:dyDescent="0.3">
      <c r="A340">
        <v>202101</v>
      </c>
      <c r="B340" s="12">
        <v>-0.1183</v>
      </c>
      <c r="C340" s="12">
        <v>-0.21099999999999999</v>
      </c>
      <c r="D340" s="12">
        <v>0.1193</v>
      </c>
      <c r="E340" s="12">
        <v>-0.17610000000000001</v>
      </c>
      <c r="F340" s="12">
        <v>2.7400000000000001E-2</v>
      </c>
    </row>
    <row r="341" spans="1:6" x14ac:dyDescent="0.3">
      <c r="A341">
        <v>202102</v>
      </c>
      <c r="B341" s="12">
        <v>1.2577</v>
      </c>
      <c r="C341" s="12">
        <v>0.1143</v>
      </c>
      <c r="D341" s="12">
        <v>-0.10100000000000001</v>
      </c>
      <c r="E341" s="12">
        <v>-3.0200000000000001E-2</v>
      </c>
      <c r="F341" s="12">
        <v>-0.2077</v>
      </c>
    </row>
    <row r="342" spans="1:6" x14ac:dyDescent="0.3">
      <c r="A342">
        <v>202103</v>
      </c>
      <c r="B342" s="12">
        <v>-6.7999999999999996E-3</v>
      </c>
      <c r="C342" s="12">
        <v>9.8000000000000004E-2</v>
      </c>
      <c r="D342" s="12">
        <v>-0.15049999999999999</v>
      </c>
      <c r="E342" s="12">
        <v>-0.30680000000000002</v>
      </c>
      <c r="F342" s="12">
        <v>-0.2402</v>
      </c>
    </row>
    <row r="343" spans="1:6" x14ac:dyDescent="0.3">
      <c r="A343">
        <v>202104</v>
      </c>
      <c r="B343" s="12">
        <v>-8.2500000000000004E-2</v>
      </c>
      <c r="C343" s="12">
        <v>-0.26400000000000001</v>
      </c>
      <c r="D343" s="12">
        <v>9.3600000000000003E-2</v>
      </c>
      <c r="E343" s="12">
        <v>-0.23930000000000001</v>
      </c>
      <c r="F343" s="12">
        <v>0.11020000000000001</v>
      </c>
    </row>
    <row r="344" spans="1:6" x14ac:dyDescent="0.3">
      <c r="A344">
        <v>202105</v>
      </c>
      <c r="B344" s="12">
        <v>-0.1205</v>
      </c>
      <c r="C344" s="12">
        <v>2.24E-2</v>
      </c>
      <c r="D344" s="12">
        <v>8.6E-3</v>
      </c>
      <c r="E344" s="12">
        <v>0.1671</v>
      </c>
      <c r="F344" s="12">
        <v>-5.8099999999999999E-2</v>
      </c>
    </row>
    <row r="345" spans="1:6" x14ac:dyDescent="0.3">
      <c r="A345">
        <v>202106</v>
      </c>
      <c r="B345" s="12">
        <v>4.6600000000000003E-2</v>
      </c>
      <c r="C345" s="12">
        <v>4.0099999999999997E-2</v>
      </c>
      <c r="D345" s="12">
        <v>3.5000000000000001E-3</v>
      </c>
      <c r="E345" s="12">
        <v>-0.19769999999999999</v>
      </c>
      <c r="F345" s="12">
        <v>-0.12230000000000001</v>
      </c>
    </row>
    <row r="346" spans="1:6" x14ac:dyDescent="0.3">
      <c r="A346">
        <v>202107</v>
      </c>
      <c r="B346" s="12">
        <v>0.40820000000000001</v>
      </c>
      <c r="C346" s="12">
        <v>-0.1779</v>
      </c>
      <c r="D346" s="12">
        <v>-0.18</v>
      </c>
      <c r="E346" s="12">
        <v>-8.9399999999999993E-2</v>
      </c>
      <c r="F346" s="12">
        <v>-3.9699999999999999E-2</v>
      </c>
    </row>
    <row r="347" spans="1:6" x14ac:dyDescent="0.3">
      <c r="A347">
        <v>202108</v>
      </c>
      <c r="B347" s="12">
        <v>0.1905</v>
      </c>
      <c r="C347" s="12">
        <v>-0.1348</v>
      </c>
      <c r="D347" s="12">
        <v>-0.1095</v>
      </c>
      <c r="E347" s="12">
        <v>-0.31890000000000002</v>
      </c>
      <c r="F347" s="12">
        <v>-0.1086</v>
      </c>
    </row>
    <row r="348" spans="1:6" x14ac:dyDescent="0.3">
      <c r="A348">
        <v>202109</v>
      </c>
      <c r="B348" s="12">
        <v>0.17130000000000001</v>
      </c>
      <c r="C348" s="12">
        <v>4.9500000000000002E-2</v>
      </c>
      <c r="D348" s="12">
        <v>-3.1099999999999999E-2</v>
      </c>
      <c r="E348" s="12">
        <v>0.1479</v>
      </c>
      <c r="F348" s="12">
        <v>-5.6500000000000002E-2</v>
      </c>
    </row>
    <row r="349" spans="1:6" x14ac:dyDescent="0.3">
      <c r="A349">
        <v>202110</v>
      </c>
      <c r="B349" s="12">
        <v>0.38069999999999998</v>
      </c>
      <c r="C349" s="12">
        <v>-3.3700000000000001E-2</v>
      </c>
      <c r="D349" s="12">
        <v>-4.9500000000000002E-2</v>
      </c>
      <c r="E349" s="12">
        <v>0.45429999999999998</v>
      </c>
      <c r="F349" s="12">
        <v>-0.15740000000000001</v>
      </c>
    </row>
    <row r="350" spans="1:6" x14ac:dyDescent="0.3">
      <c r="A350">
        <v>202111</v>
      </c>
      <c r="B350" s="12">
        <v>6.8400000000000002E-2</v>
      </c>
      <c r="C350" s="12">
        <v>0.10290000000000001</v>
      </c>
      <c r="D350" s="12">
        <v>3.8600000000000002E-2</v>
      </c>
      <c r="E350" s="12">
        <v>-0.28420000000000001</v>
      </c>
      <c r="F350" s="12">
        <v>-0.10299999999999999</v>
      </c>
    </row>
    <row r="351" spans="1:6" x14ac:dyDescent="0.3">
      <c r="A351">
        <v>202112</v>
      </c>
      <c r="B351" s="12">
        <v>-0.18429999999999999</v>
      </c>
      <c r="C351" s="12">
        <v>-0.2326</v>
      </c>
      <c r="D351" s="12">
        <v>-0.1769</v>
      </c>
      <c r="E351" s="12">
        <v>-2.6599999999999999E-2</v>
      </c>
      <c r="F351" s="12">
        <v>-0.15359999999999999</v>
      </c>
    </row>
    <row r="352" spans="1:6" x14ac:dyDescent="0.3">
      <c r="A352">
        <v>202201</v>
      </c>
      <c r="B352" s="12">
        <v>0.1278</v>
      </c>
      <c r="C352" s="12">
        <v>-3.8399999999999997E-2</v>
      </c>
      <c r="D352" s="12">
        <v>0.1497</v>
      </c>
      <c r="E352" s="12">
        <v>-2.0400000000000001E-2</v>
      </c>
      <c r="F352" s="12">
        <v>0.161</v>
      </c>
    </row>
    <row r="353" spans="1:6" x14ac:dyDescent="0.3">
      <c r="A353">
        <v>202202</v>
      </c>
      <c r="B353" s="12">
        <v>0.2863</v>
      </c>
      <c r="C353" s="12">
        <v>-0.18579999999999999</v>
      </c>
      <c r="D353" s="12">
        <v>0.27229999999999999</v>
      </c>
      <c r="E353" s="12">
        <v>5.4999999999999997E-3</v>
      </c>
      <c r="F353" s="12">
        <v>-3.9899999999999998E-2</v>
      </c>
    </row>
    <row r="354" spans="1:6" x14ac:dyDescent="0.3">
      <c r="A354">
        <v>202203</v>
      </c>
      <c r="B354" s="12">
        <v>0.66100000000000003</v>
      </c>
      <c r="C354" s="12">
        <v>0.19600000000000001</v>
      </c>
      <c r="D354" s="12">
        <v>0.13300000000000001</v>
      </c>
      <c r="E354" s="12">
        <v>0.31929999999999997</v>
      </c>
      <c r="F354" s="12">
        <v>-2.3800000000000002E-2</v>
      </c>
    </row>
    <row r="355" spans="1:6" x14ac:dyDescent="0.3">
      <c r="A355">
        <v>202204</v>
      </c>
      <c r="B355" s="12">
        <v>0.29480000000000001</v>
      </c>
      <c r="C355" s="12">
        <v>0.52849999999999997</v>
      </c>
      <c r="D355" s="12">
        <v>-0.12529999999999999</v>
      </c>
      <c r="E355" s="12">
        <v>0.56200000000000006</v>
      </c>
      <c r="F355" s="12">
        <v>-6.1600000000000002E-2</v>
      </c>
    </row>
    <row r="356" spans="1:6" x14ac:dyDescent="0.3">
      <c r="A356">
        <v>202205</v>
      </c>
      <c r="B356" s="12">
        <v>-1E-4</v>
      </c>
      <c r="C356" s="12">
        <v>2.06E-2</v>
      </c>
      <c r="D356" s="12">
        <v>-8.3099999999999993E-2</v>
      </c>
      <c r="E356" s="12">
        <v>-5.0900000000000001E-2</v>
      </c>
      <c r="F356" s="12">
        <v>-0.17349999999999999</v>
      </c>
    </row>
    <row r="357" spans="1:6" x14ac:dyDescent="0.3">
      <c r="A357">
        <v>202206</v>
      </c>
      <c r="B357" s="12">
        <v>0.61109999999999998</v>
      </c>
      <c r="C357" s="12">
        <v>0.23039999999999999</v>
      </c>
      <c r="D357" s="12">
        <v>1.5800000000000002E-2</v>
      </c>
      <c r="E357" s="12">
        <v>1.2313000000000001</v>
      </c>
      <c r="F357" s="12">
        <v>0.02</v>
      </c>
    </row>
    <row r="358" spans="1:6" x14ac:dyDescent="0.3">
      <c r="A358">
        <v>202207</v>
      </c>
      <c r="B358" s="12">
        <v>0.30980000000000002</v>
      </c>
      <c r="C358" s="12">
        <v>-5.8700000000000002E-2</v>
      </c>
      <c r="D358" s="12">
        <v>2.3900000000000001E-2</v>
      </c>
      <c r="E358" s="12">
        <v>-5.0000000000000001E-3</v>
      </c>
      <c r="F358" s="12">
        <v>-0.20699999999999999</v>
      </c>
    </row>
    <row r="359" spans="1:6" x14ac:dyDescent="0.3">
      <c r="A359">
        <v>202208</v>
      </c>
      <c r="B359" s="12">
        <v>9.06E-2</v>
      </c>
      <c r="C359" s="12">
        <v>3.8399999999999997E-2</v>
      </c>
      <c r="D359" s="12">
        <v>-0.10199999999999999</v>
      </c>
      <c r="E359" s="12">
        <v>4.2999999999999997E-2</v>
      </c>
      <c r="F359" s="12">
        <v>-0.13669999999999999</v>
      </c>
    </row>
    <row r="360" spans="1:6" x14ac:dyDescent="0.3">
      <c r="A360">
        <v>202209</v>
      </c>
      <c r="B360" s="12">
        <v>0.38750000000000001</v>
      </c>
      <c r="C360" s="12">
        <v>0.22770000000000001</v>
      </c>
      <c r="D360" s="12">
        <v>-2.9399999999999999E-2</v>
      </c>
      <c r="E360" s="12">
        <v>0.35239999999999999</v>
      </c>
      <c r="F360" s="12">
        <v>0.1207</v>
      </c>
    </row>
    <row r="361" spans="1:6" x14ac:dyDescent="0.3">
      <c r="A361">
        <v>202210</v>
      </c>
      <c r="B361" s="12">
        <v>6.3299999999999995E-2</v>
      </c>
      <c r="C361" s="12">
        <v>-0.1134</v>
      </c>
      <c r="D361" s="12">
        <v>-0.2291</v>
      </c>
      <c r="E361" s="12">
        <v>2E-3</v>
      </c>
      <c r="F361" s="12">
        <v>-0.26919999999999999</v>
      </c>
    </row>
    <row r="362" spans="1:6" x14ac:dyDescent="0.3">
      <c r="A362">
        <v>202211</v>
      </c>
      <c r="B362" s="12">
        <v>4.2599999999999999E-2</v>
      </c>
      <c r="C362" s="12">
        <v>0.14419999999999999</v>
      </c>
      <c r="D362" s="12">
        <v>-0.1036</v>
      </c>
      <c r="E362" s="12">
        <v>-4.2900000000000001E-2</v>
      </c>
      <c r="F362" s="12">
        <v>9.9900000000000003E-2</v>
      </c>
    </row>
    <row r="363" spans="1:6" x14ac:dyDescent="0.3">
      <c r="A363">
        <v>202212</v>
      </c>
      <c r="B363" s="12">
        <v>0.59019999999999995</v>
      </c>
      <c r="C363" s="12">
        <v>-0.1004</v>
      </c>
      <c r="D363" s="12">
        <v>3.1E-2</v>
      </c>
      <c r="E363" s="12">
        <v>-0.1173</v>
      </c>
      <c r="F363" s="12">
        <v>-0.1552</v>
      </c>
    </row>
    <row r="364" spans="1:6" x14ac:dyDescent="0.3">
      <c r="A364">
        <v>202301</v>
      </c>
      <c r="B364" s="12">
        <v>-0.183</v>
      </c>
      <c r="C364" s="12">
        <v>-0.1239</v>
      </c>
      <c r="D364" s="12">
        <v>-0.16389999999999999</v>
      </c>
      <c r="E364" s="12">
        <v>-0.30769999999999997</v>
      </c>
      <c r="F364" s="12">
        <v>-4.1000000000000002E-2</v>
      </c>
    </row>
    <row r="365" spans="1:6" x14ac:dyDescent="0.3">
      <c r="A365">
        <v>202302</v>
      </c>
      <c r="B365" s="12">
        <v>5.8799999999999998E-2</v>
      </c>
      <c r="C365" s="12">
        <v>-0.189</v>
      </c>
      <c r="D365" s="12">
        <v>-5.6000000000000001E-2</v>
      </c>
      <c r="E365" s="12">
        <v>-4.19E-2</v>
      </c>
      <c r="F365" s="12">
        <v>-0.1232</v>
      </c>
    </row>
    <row r="366" spans="1:6" x14ac:dyDescent="0.3">
      <c r="A366">
        <v>202303</v>
      </c>
      <c r="B366" s="12">
        <v>7.7000000000000002E-3</v>
      </c>
      <c r="C366" s="12">
        <v>3.7900000000000003E-2</v>
      </c>
      <c r="D366" s="12">
        <v>3.5099999999999999E-2</v>
      </c>
      <c r="E366" s="12">
        <v>1.7431000000000001</v>
      </c>
      <c r="F366" s="12">
        <v>4.0000000000000002E-4</v>
      </c>
    </row>
    <row r="367" spans="1:6" x14ac:dyDescent="0.3">
      <c r="A367">
        <v>202304</v>
      </c>
      <c r="B367" s="12">
        <v>-0.1711</v>
      </c>
      <c r="C367" s="12">
        <v>-1.47E-2</v>
      </c>
      <c r="D367" s="12">
        <v>-4.5900000000000003E-2</v>
      </c>
      <c r="E367" s="12">
        <v>-9.1700000000000004E-2</v>
      </c>
      <c r="F367" s="12">
        <v>-0.13139999999999999</v>
      </c>
    </row>
    <row r="368" spans="1:6" x14ac:dyDescent="0.3">
      <c r="A368">
        <v>202305</v>
      </c>
      <c r="B368" s="12">
        <v>-0.127</v>
      </c>
      <c r="C368" s="12">
        <v>-9.1899999999999996E-2</v>
      </c>
      <c r="D368" s="12">
        <v>4.9099999999999998E-2</v>
      </c>
      <c r="E368" s="12">
        <v>-6.54E-2</v>
      </c>
      <c r="F368" s="12">
        <v>-0.19059999999999999</v>
      </c>
    </row>
    <row r="369" spans="1:6" x14ac:dyDescent="0.3">
      <c r="A369">
        <v>202306</v>
      </c>
      <c r="B369" s="12">
        <v>-0.1429</v>
      </c>
      <c r="C369" s="12">
        <v>-3.5900000000000001E-2</v>
      </c>
      <c r="D369" s="12">
        <v>0.13719999999999999</v>
      </c>
      <c r="E369" s="12">
        <v>0.115</v>
      </c>
      <c r="F369" s="12">
        <v>-0.1153</v>
      </c>
    </row>
    <row r="370" spans="1:6" x14ac:dyDescent="0.3">
      <c r="A370">
        <v>202307</v>
      </c>
      <c r="B370" s="12">
        <v>-8.5400000000000004E-2</v>
      </c>
      <c r="C370" s="12">
        <v>8.8400000000000006E-2</v>
      </c>
      <c r="D370" s="12">
        <v>-2.9000000000000001E-2</v>
      </c>
      <c r="E370" s="12">
        <v>-0.19589999999999999</v>
      </c>
      <c r="F370" s="12">
        <v>0.16470000000000001</v>
      </c>
    </row>
    <row r="371" spans="1:6" x14ac:dyDescent="0.3">
      <c r="A371">
        <v>202308</v>
      </c>
      <c r="B371" s="12">
        <v>-6.9699999999999998E-2</v>
      </c>
      <c r="C371" s="12">
        <v>-4.7199999999999999E-2</v>
      </c>
      <c r="D371" s="12">
        <v>-0.1205</v>
      </c>
      <c r="E371" s="12">
        <v>-0.1132</v>
      </c>
      <c r="F371" s="12">
        <v>-0.29909999999999998</v>
      </c>
    </row>
    <row r="372" spans="1:6" x14ac:dyDescent="0.3">
      <c r="A372">
        <v>202309</v>
      </c>
      <c r="B372" s="12">
        <v>8.3599999999999994E-2</v>
      </c>
      <c r="C372" s="12">
        <v>6.4199999999999993E-2</v>
      </c>
      <c r="D372" s="12">
        <v>3.8800000000000001E-2</v>
      </c>
      <c r="E372" s="12">
        <v>-0.26479999999999998</v>
      </c>
      <c r="F372" s="12">
        <v>-1.6000000000000001E-3</v>
      </c>
    </row>
    <row r="373" spans="1:6" x14ac:dyDescent="0.3">
      <c r="A373">
        <v>202310</v>
      </c>
      <c r="B373" s="12">
        <v>5.9799999999999999E-2</v>
      </c>
      <c r="C373" s="12">
        <v>-9.0499999999999997E-2</v>
      </c>
      <c r="D373" s="12">
        <v>-7.1099999999999997E-2</v>
      </c>
      <c r="E373" s="12">
        <v>-0.2009</v>
      </c>
      <c r="F373" s="12">
        <v>3.8399999999999997E-2</v>
      </c>
    </row>
    <row r="374" spans="1:6" x14ac:dyDescent="0.3">
      <c r="A374">
        <v>202311</v>
      </c>
      <c r="B374" s="12">
        <v>-0.1062</v>
      </c>
      <c r="C374" s="12">
        <v>-0.1027</v>
      </c>
      <c r="D374" s="12">
        <v>-5.1200000000000002E-2</v>
      </c>
      <c r="E374" s="12">
        <v>-0.43590000000000001</v>
      </c>
      <c r="F374" s="12">
        <v>-0.23</v>
      </c>
    </row>
    <row r="375" spans="1:6" x14ac:dyDescent="0.3">
      <c r="A375">
        <v>202312</v>
      </c>
      <c r="B375" s="12">
        <v>0.3301</v>
      </c>
      <c r="C375" s="12">
        <v>0.20230000000000001</v>
      </c>
      <c r="D375" s="12">
        <v>-0.1298</v>
      </c>
      <c r="E375" s="12">
        <v>-5.7999999999999996E-3</v>
      </c>
      <c r="F375" s="12">
        <v>0.26179999999999998</v>
      </c>
    </row>
    <row r="376" spans="1:6" x14ac:dyDescent="0.3">
      <c r="A376">
        <v>202401</v>
      </c>
      <c r="B376" s="12">
        <v>-0.18509999999999999</v>
      </c>
      <c r="C376" s="12">
        <v>-0.2248</v>
      </c>
      <c r="D376" s="12">
        <v>-5.8500000000000003E-2</v>
      </c>
      <c r="E376" s="12">
        <v>-0.2117</v>
      </c>
      <c r="F376" s="12">
        <v>-0.12620000000000001</v>
      </c>
    </row>
    <row r="377" spans="1:6" x14ac:dyDescent="0.3">
      <c r="A377">
        <v>202402</v>
      </c>
      <c r="B377" s="12">
        <v>-0.1157</v>
      </c>
      <c r="C377" s="12">
        <v>5.8999999999999999E-3</v>
      </c>
      <c r="D377" s="12">
        <v>-7.3700000000000002E-2</v>
      </c>
      <c r="E377" s="12">
        <v>-1.18E-2</v>
      </c>
      <c r="F377" s="12">
        <v>-3.7400000000000003E-2</v>
      </c>
    </row>
    <row r="378" spans="1:6" x14ac:dyDescent="0.3">
      <c r="A378">
        <v>202403</v>
      </c>
      <c r="B378" s="12">
        <v>-0.19539999999999999</v>
      </c>
      <c r="C378" s="12">
        <v>-2.69E-2</v>
      </c>
      <c r="D378" s="12">
        <v>3.6799999999999999E-2</v>
      </c>
      <c r="E378" s="12">
        <v>-0.33650000000000002</v>
      </c>
      <c r="F378" s="12">
        <v>5.5E-2</v>
      </c>
    </row>
    <row r="379" spans="1:6" x14ac:dyDescent="0.3">
      <c r="A379">
        <v>202404</v>
      </c>
      <c r="B379" s="12">
        <v>0.20669999999999999</v>
      </c>
      <c r="C379" s="12">
        <v>0.27550000000000002</v>
      </c>
      <c r="D379" s="12">
        <v>2.23E-2</v>
      </c>
      <c r="E379" s="12">
        <v>0.1163</v>
      </c>
      <c r="F379" s="12">
        <v>-2.98E-2</v>
      </c>
    </row>
    <row r="380" spans="1:6" x14ac:dyDescent="0.3">
      <c r="A380">
        <v>202405</v>
      </c>
      <c r="B380" s="12">
        <v>-0.19850000000000001</v>
      </c>
      <c r="C380" s="12">
        <v>-0.2142</v>
      </c>
      <c r="D380" s="12">
        <v>6.0100000000000001E-2</v>
      </c>
      <c r="E380" s="12">
        <v>-0.1123</v>
      </c>
      <c r="F380" s="12">
        <v>-0.11</v>
      </c>
    </row>
    <row r="381" spans="1:6" x14ac:dyDescent="0.3">
      <c r="A381">
        <v>202406</v>
      </c>
      <c r="B381" s="12">
        <v>-5.6099999999999997E-2</v>
      </c>
      <c r="C381" s="12">
        <v>1.8100000000000002E-2</v>
      </c>
      <c r="D381" s="12">
        <v>-4.0000000000000001E-3</v>
      </c>
      <c r="E381" s="12">
        <v>-7.7499999999999999E-2</v>
      </c>
      <c r="F381" s="12">
        <v>-6.7599999999999993E-2</v>
      </c>
    </row>
    <row r="382" spans="1:6" x14ac:dyDescent="0.3">
      <c r="A382">
        <v>202407</v>
      </c>
      <c r="B382" s="12">
        <v>-0.10929999999999999</v>
      </c>
      <c r="C382" s="12">
        <v>-5.8700000000000002E-2</v>
      </c>
      <c r="D382" s="12">
        <v>6.6199999999999995E-2</v>
      </c>
      <c r="E382" s="12">
        <v>-0.13619999999999999</v>
      </c>
      <c r="F382" s="12">
        <v>4.8000000000000001E-2</v>
      </c>
    </row>
    <row r="383" spans="1:6" x14ac:dyDescent="0.3">
      <c r="A383">
        <v>202408</v>
      </c>
      <c r="B383" s="12">
        <v>-7.7799999999999994E-2</v>
      </c>
      <c r="C383" s="12">
        <v>0.49309999999999998</v>
      </c>
      <c r="D383" s="12">
        <v>-8.2400000000000001E-2</v>
      </c>
      <c r="E383" s="12">
        <v>0.26950000000000002</v>
      </c>
      <c r="F383" s="12">
        <v>-0.11360000000000001</v>
      </c>
    </row>
    <row r="384" spans="1:6" x14ac:dyDescent="0.3">
      <c r="A384">
        <v>202409</v>
      </c>
      <c r="B384" s="12">
        <v>-0.14330000000000001</v>
      </c>
      <c r="C384" s="12">
        <v>-5.7000000000000002E-2</v>
      </c>
      <c r="D384" s="12">
        <v>7.7700000000000005E-2</v>
      </c>
      <c r="E384" s="12">
        <v>-0.19539999999999999</v>
      </c>
      <c r="F384" s="12">
        <v>1.47E-2</v>
      </c>
    </row>
    <row r="385" spans="1:6" x14ac:dyDescent="0.3">
      <c r="A385">
        <v>202410</v>
      </c>
      <c r="B385" s="12">
        <v>0.19239999999999999</v>
      </c>
      <c r="C385" s="12">
        <v>0.13850000000000001</v>
      </c>
      <c r="D385" s="12">
        <v>-6.0100000000000001E-2</v>
      </c>
      <c r="E385" s="12">
        <v>3.1099999999999999E-2</v>
      </c>
      <c r="F385" s="12">
        <v>-0.1108</v>
      </c>
    </row>
    <row r="386" spans="1:6" x14ac:dyDescent="0.3">
      <c r="A386">
        <v>202411</v>
      </c>
      <c r="B386" s="12">
        <v>-0.14050000000000001</v>
      </c>
      <c r="C386" s="12">
        <v>0.22270000000000001</v>
      </c>
      <c r="D386" s="12">
        <v>-0.12970000000000001</v>
      </c>
      <c r="E386" s="12">
        <v>-8.4500000000000006E-2</v>
      </c>
      <c r="F386" s="12">
        <v>-0.1198</v>
      </c>
    </row>
    <row r="387" spans="1:6" x14ac:dyDescent="0.3">
      <c r="A387">
        <v>202412</v>
      </c>
      <c r="B387" s="12">
        <v>-8.4900000000000003E-2</v>
      </c>
      <c r="C387" s="12">
        <v>3.6999999999999998E-2</v>
      </c>
      <c r="D387" s="12">
        <v>-9.8400000000000001E-2</v>
      </c>
      <c r="E387" s="12">
        <v>-0.18010000000000001</v>
      </c>
      <c r="F387" s="12">
        <v>-6.4500000000000002E-2</v>
      </c>
    </row>
    <row r="388" spans="1:6" x14ac:dyDescent="0.3">
      <c r="A388">
        <v>202501</v>
      </c>
      <c r="B388" s="12">
        <v>-5.4800000000000001E-2</v>
      </c>
      <c r="C388" s="12">
        <v>-0.12820000000000001</v>
      </c>
      <c r="D388" s="12">
        <v>4.9200000000000001E-2</v>
      </c>
      <c r="E388" s="12">
        <v>-0.158</v>
      </c>
      <c r="F388" s="12">
        <v>4.82E-2</v>
      </c>
    </row>
    <row r="389" spans="1:6" x14ac:dyDescent="0.3">
      <c r="A389">
        <v>202502</v>
      </c>
      <c r="B389" s="12">
        <v>-6.2300000000000001E-2</v>
      </c>
      <c r="C389" s="12">
        <v>-0.15279999999999999</v>
      </c>
      <c r="D389" s="12">
        <v>-7.5399999999999995E-2</v>
      </c>
      <c r="E389" s="12">
        <v>-0.1191</v>
      </c>
      <c r="F389" s="12">
        <v>-0.11899999999999999</v>
      </c>
    </row>
    <row r="390" spans="1:6" x14ac:dyDescent="0.3">
      <c r="A390">
        <v>202503</v>
      </c>
      <c r="B390" s="12">
        <v>-3.3500000000000002E-2</v>
      </c>
      <c r="C390" s="12">
        <v>5.7099999999999998E-2</v>
      </c>
      <c r="D390" s="12">
        <v>-6.7000000000000002E-3</v>
      </c>
      <c r="E390" s="12">
        <v>-0.1134</v>
      </c>
      <c r="F390" s="12">
        <v>-3.9100000000000003E-2</v>
      </c>
    </row>
    <row r="391" spans="1:6" x14ac:dyDescent="0.3">
      <c r="A391">
        <v>202504</v>
      </c>
      <c r="B391" s="12">
        <v>-6.7599999999999993E-2</v>
      </c>
      <c r="C391" s="12">
        <v>0.67689999999999995</v>
      </c>
      <c r="D391" s="12">
        <v>0.16059999999999999</v>
      </c>
      <c r="E391" s="12">
        <v>0.24229999999999999</v>
      </c>
      <c r="F391" s="12">
        <v>0.4622</v>
      </c>
    </row>
    <row r="392" spans="1:6" x14ac:dyDescent="0.3">
      <c r="A392">
        <v>202505</v>
      </c>
      <c r="B392" s="12">
        <v>-0.20730000000000001</v>
      </c>
      <c r="C392" s="12">
        <v>-0.13109999999999999</v>
      </c>
      <c r="D392" s="12">
        <v>-0.1618</v>
      </c>
      <c r="E392" s="12">
        <v>-7.3999999999999996E-2</v>
      </c>
      <c r="F392" s="12">
        <v>3.1699999999999999E-2</v>
      </c>
    </row>
    <row r="393" spans="1:6" x14ac:dyDescent="0.3">
      <c r="A393">
        <v>202506</v>
      </c>
      <c r="B393" s="12">
        <v>-0.15440000000000001</v>
      </c>
      <c r="C393" s="12">
        <v>-3.1099999999999999E-2</v>
      </c>
      <c r="D393" s="12">
        <v>-6.9199999999999998E-2</v>
      </c>
      <c r="E393" s="12">
        <v>-0.1278</v>
      </c>
      <c r="F393" s="12">
        <v>-0.1066</v>
      </c>
    </row>
    <row r="394" spans="1:6" x14ac:dyDescent="0.3">
      <c r="A394">
        <v>202507</v>
      </c>
      <c r="B394" s="12">
        <v>-0.2757</v>
      </c>
      <c r="C394" s="12">
        <v>-7.51E-2</v>
      </c>
      <c r="D394" s="12">
        <v>-5.21E-2</v>
      </c>
      <c r="E394" s="12">
        <v>5.9299999999999999E-2</v>
      </c>
      <c r="F394" s="12">
        <v>4.8999999999999998E-3</v>
      </c>
    </row>
    <row r="395" spans="1:6" x14ac:dyDescent="0.3">
      <c r="A395">
        <v>202508</v>
      </c>
      <c r="B395" s="12">
        <v>-0.2132</v>
      </c>
      <c r="C395" s="12">
        <v>-0.28889999999999999</v>
      </c>
      <c r="D395" s="12">
        <v>3.8E-3</v>
      </c>
      <c r="E395" s="12">
        <v>-8.3500000000000005E-2</v>
      </c>
      <c r="F395" s="12">
        <v>1.9699999999999999E-2</v>
      </c>
    </row>
    <row r="396" spans="1:6" x14ac:dyDescent="0.3">
      <c r="A396">
        <v>202509</v>
      </c>
      <c r="B396" s="12">
        <v>-0.1711</v>
      </c>
      <c r="C396" s="12">
        <v>-0.15939999999999999</v>
      </c>
      <c r="D396" s="12">
        <v>-3.4099999999999998E-2</v>
      </c>
      <c r="E396" s="12">
        <v>-0.20699999999999999</v>
      </c>
      <c r="F396" s="12">
        <v>-3.61E-2</v>
      </c>
    </row>
    <row r="397" spans="1:6" x14ac:dyDescent="0.3">
      <c r="A397">
        <v>202510</v>
      </c>
      <c r="B397" s="12">
        <v>-0.2235</v>
      </c>
      <c r="C397" s="12">
        <v>5.3499999999999999E-2</v>
      </c>
      <c r="D397" s="12">
        <v>0.14119999999999999</v>
      </c>
      <c r="E397" s="12">
        <v>-6.4000000000000003E-3</v>
      </c>
      <c r="F397" s="12">
        <v>0.1</v>
      </c>
    </row>
    <row r="398" spans="1:6" x14ac:dyDescent="0.3">
      <c r="A398">
        <v>202511</v>
      </c>
      <c r="B398" s="12">
        <v>-0.1399</v>
      </c>
      <c r="C398" s="12">
        <v>-8.4199999999999997E-2</v>
      </c>
      <c r="D398" s="12">
        <v>9.2700000000000005E-2</v>
      </c>
      <c r="E398" s="12">
        <v>-0.1188</v>
      </c>
      <c r="F398" s="12">
        <v>-7.7700000000000005E-2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95433-50DA-45A1-94A7-149AC38888DA}">
  <dimension ref="A1:G272"/>
  <sheetViews>
    <sheetView workbookViewId="0">
      <selection activeCell="B5" sqref="B5"/>
    </sheetView>
  </sheetViews>
  <sheetFormatPr defaultRowHeight="14.4" x14ac:dyDescent="0.3"/>
  <cols>
    <col min="1" max="1" width="10.33203125" bestFit="1" customWidth="1"/>
    <col min="2" max="2" width="14.21875" style="4" customWidth="1"/>
    <col min="3" max="3" width="10.33203125" style="6" customWidth="1"/>
    <col min="6" max="6" width="10.33203125" bestFit="1" customWidth="1"/>
    <col min="7" max="7" width="13.44140625" bestFit="1" customWidth="1"/>
  </cols>
  <sheetData>
    <row r="1" spans="1:7" x14ac:dyDescent="0.3">
      <c r="A1" t="s">
        <v>63</v>
      </c>
      <c r="F1" t="s">
        <v>63</v>
      </c>
      <c r="G1" s="5">
        <v>37956</v>
      </c>
    </row>
    <row r="2" spans="1:7" x14ac:dyDescent="0.3">
      <c r="A2" t="s">
        <v>64</v>
      </c>
      <c r="F2" t="s">
        <v>64</v>
      </c>
    </row>
    <row r="4" spans="1:7" x14ac:dyDescent="0.3">
      <c r="C4" t="s">
        <v>65</v>
      </c>
      <c r="G4" t="s">
        <v>68</v>
      </c>
    </row>
    <row r="5" spans="1:7" x14ac:dyDescent="0.3">
      <c r="B5" s="14" t="s">
        <v>79</v>
      </c>
      <c r="C5" t="s">
        <v>67</v>
      </c>
      <c r="D5" t="s">
        <v>71</v>
      </c>
      <c r="G5" t="s">
        <v>69</v>
      </c>
    </row>
    <row r="6" spans="1:7" x14ac:dyDescent="0.3">
      <c r="A6" t="s">
        <v>34</v>
      </c>
      <c r="D6" t="s">
        <v>66</v>
      </c>
      <c r="F6" t="s">
        <v>34</v>
      </c>
      <c r="G6" t="s">
        <v>70</v>
      </c>
    </row>
    <row r="7" spans="1:7" x14ac:dyDescent="0.3">
      <c r="A7" s="5">
        <v>38016</v>
      </c>
      <c r="B7" s="4">
        <f>((C8/C7)-1)*100 - _xlfn.XLOOKUP(A7,$F:$F,$G:$G)*(DAY(EOMONTH(A8,0))/360)</f>
        <v>0.50982478399129483</v>
      </c>
      <c r="C7" s="6">
        <v>265.55</v>
      </c>
      <c r="F7" s="5">
        <v>37986</v>
      </c>
      <c r="G7">
        <v>2.101</v>
      </c>
    </row>
    <row r="8" spans="1:7" x14ac:dyDescent="0.3">
      <c r="A8" s="5">
        <v>38044</v>
      </c>
      <c r="B8" s="4">
        <f>((C8/C7)-1)*100 - _xlfn.XLOOKUP(A7,$F:$F,$G:$G)*(DAY(EOMONTH(A8,0))/360)</f>
        <v>0.50982478399129483</v>
      </c>
      <c r="C8" s="6">
        <v>267.34750000000003</v>
      </c>
      <c r="F8" s="5">
        <v>38016</v>
      </c>
      <c r="G8">
        <v>2.0739999999999998</v>
      </c>
    </row>
    <row r="9" spans="1:7" x14ac:dyDescent="0.3">
      <c r="A9" s="5">
        <v>38077</v>
      </c>
      <c r="B9" s="4">
        <f t="shared" ref="B9:B72" si="0">((C9/C8)-1)*100 - _xlfn.XLOOKUP(A8,$F:$F,$G:$G)*(DAY(EOMONTH(A9,0))/360)</f>
        <v>-3.6533101107744947</v>
      </c>
      <c r="C9" s="6">
        <v>258.05309999999997</v>
      </c>
      <c r="F9" s="5">
        <v>38044</v>
      </c>
      <c r="G9">
        <v>2.0529999999999999</v>
      </c>
    </row>
    <row r="10" spans="1:7" x14ac:dyDescent="0.3">
      <c r="A10" s="5">
        <v>38107</v>
      </c>
      <c r="B10" s="4">
        <f t="shared" si="0"/>
        <v>1.3384650050706606</v>
      </c>
      <c r="C10" s="6">
        <v>261.94229999999999</v>
      </c>
      <c r="F10" s="5">
        <v>38077</v>
      </c>
      <c r="G10">
        <v>2.024</v>
      </c>
    </row>
    <row r="11" spans="1:7" x14ac:dyDescent="0.3">
      <c r="A11" s="5">
        <v>38138</v>
      </c>
      <c r="B11" s="4">
        <f t="shared" si="0"/>
        <v>-0.90915224070337397</v>
      </c>
      <c r="C11" s="6">
        <v>260.02460000000002</v>
      </c>
      <c r="F11" s="5">
        <v>38107</v>
      </c>
      <c r="G11">
        <v>2.056</v>
      </c>
    </row>
    <row r="12" spans="1:7" x14ac:dyDescent="0.3">
      <c r="A12" s="5">
        <v>38168</v>
      </c>
      <c r="B12" s="4">
        <f t="shared" si="0"/>
        <v>2.3399995135716494</v>
      </c>
      <c r="C12" s="6">
        <v>266.55619999999999</v>
      </c>
      <c r="F12" s="5">
        <v>38138</v>
      </c>
      <c r="G12">
        <v>2.0630000000000002</v>
      </c>
    </row>
    <row r="13" spans="1:7" x14ac:dyDescent="0.3">
      <c r="A13" s="5">
        <v>38198</v>
      </c>
      <c r="B13" s="4">
        <f t="shared" si="0"/>
        <v>-3.4931410708240027</v>
      </c>
      <c r="C13" s="6">
        <v>257.72129999999999</v>
      </c>
      <c r="F13" s="5">
        <v>38168</v>
      </c>
      <c r="G13">
        <v>2.0750000000000002</v>
      </c>
    </row>
    <row r="14" spans="1:7" x14ac:dyDescent="0.3">
      <c r="A14" s="5">
        <v>38230</v>
      </c>
      <c r="B14" s="4">
        <f t="shared" si="0"/>
        <v>0.54674573762432876</v>
      </c>
      <c r="C14" s="6">
        <v>259.59109999999998</v>
      </c>
      <c r="F14" s="5">
        <v>38198</v>
      </c>
      <c r="G14">
        <v>2.0760000000000001</v>
      </c>
    </row>
    <row r="15" spans="1:7" x14ac:dyDescent="0.3">
      <c r="A15" s="5">
        <v>38260</v>
      </c>
      <c r="B15" s="4">
        <f t="shared" si="0"/>
        <v>2.9994123053525232</v>
      </c>
      <c r="C15" s="6">
        <v>267.82639999999998</v>
      </c>
      <c r="F15" s="5">
        <v>38230</v>
      </c>
      <c r="G15">
        <v>2.0760000000000001</v>
      </c>
    </row>
    <row r="16" spans="1:7" x14ac:dyDescent="0.3">
      <c r="A16" s="5">
        <v>38289</v>
      </c>
      <c r="B16" s="4">
        <f t="shared" si="0"/>
        <v>4.4668461208869434</v>
      </c>
      <c r="C16" s="6">
        <v>280.26949999999999</v>
      </c>
      <c r="F16" s="5">
        <v>38260</v>
      </c>
      <c r="G16">
        <v>2.08</v>
      </c>
    </row>
    <row r="17" spans="1:7" x14ac:dyDescent="0.3">
      <c r="A17" s="5">
        <v>38321</v>
      </c>
      <c r="B17" s="4">
        <f t="shared" si="0"/>
        <v>2.3819562379543067</v>
      </c>
      <c r="C17" s="6">
        <v>287.43400000000003</v>
      </c>
      <c r="F17" s="5">
        <v>38289</v>
      </c>
      <c r="G17">
        <v>2.0920000000000001</v>
      </c>
    </row>
    <row r="18" spans="1:7" x14ac:dyDescent="0.3">
      <c r="A18" s="5">
        <v>38352</v>
      </c>
      <c r="B18" s="4">
        <f t="shared" si="0"/>
        <v>3.2759198923733499</v>
      </c>
      <c r="C18" s="6">
        <v>297.38819999999998</v>
      </c>
      <c r="F18" s="5">
        <v>38321</v>
      </c>
      <c r="G18">
        <v>2.1739999999999999</v>
      </c>
    </row>
    <row r="19" spans="1:7" x14ac:dyDescent="0.3">
      <c r="A19" s="5">
        <v>38383</v>
      </c>
      <c r="B19" s="4">
        <f t="shared" si="0"/>
        <v>1.9466988418056466</v>
      </c>
      <c r="C19" s="6">
        <v>303.72239999999999</v>
      </c>
      <c r="F19" s="5">
        <v>38352</v>
      </c>
      <c r="G19">
        <v>2.1280000000000001</v>
      </c>
    </row>
    <row r="20" spans="1:7" x14ac:dyDescent="0.3">
      <c r="A20" s="5">
        <v>38411</v>
      </c>
      <c r="B20" s="4">
        <f t="shared" si="0"/>
        <v>2.7509549773960353</v>
      </c>
      <c r="C20" s="6">
        <v>312.5754</v>
      </c>
      <c r="F20" s="5">
        <v>38383</v>
      </c>
      <c r="G20">
        <v>2.1070000000000002</v>
      </c>
    </row>
    <row r="21" spans="1:7" x14ac:dyDescent="0.3">
      <c r="A21" s="5">
        <v>38442</v>
      </c>
      <c r="B21" s="4">
        <f t="shared" si="0"/>
        <v>-0.76945183901228387</v>
      </c>
      <c r="C21" s="6">
        <v>310.73660000000001</v>
      </c>
      <c r="F21" s="5">
        <v>38411</v>
      </c>
      <c r="G21">
        <v>2.1040000000000001</v>
      </c>
    </row>
    <row r="22" spans="1:7" x14ac:dyDescent="0.3">
      <c r="A22" s="5">
        <v>38471</v>
      </c>
      <c r="B22" s="4">
        <f t="shared" si="0"/>
        <v>-3.5733105742398461</v>
      </c>
      <c r="C22" s="6">
        <v>300.17809999999997</v>
      </c>
      <c r="F22" s="5">
        <v>38442</v>
      </c>
      <c r="G22">
        <v>2.105</v>
      </c>
    </row>
    <row r="23" spans="1:7" x14ac:dyDescent="0.3">
      <c r="A23" s="5">
        <v>38503</v>
      </c>
      <c r="B23" s="4">
        <f t="shared" si="0"/>
        <v>5.8220916146262756</v>
      </c>
      <c r="C23" s="6">
        <v>318.1986</v>
      </c>
      <c r="F23" s="5">
        <v>38471</v>
      </c>
      <c r="G23">
        <v>2.1040000000000001</v>
      </c>
    </row>
    <row r="24" spans="1:7" x14ac:dyDescent="0.3">
      <c r="A24" s="5">
        <v>38533</v>
      </c>
      <c r="B24" s="4">
        <f t="shared" si="0"/>
        <v>3.155930485709241</v>
      </c>
      <c r="C24" s="6">
        <v>328.7989</v>
      </c>
      <c r="F24" s="5">
        <v>38503</v>
      </c>
      <c r="G24">
        <v>2.105</v>
      </c>
    </row>
    <row r="25" spans="1:7" x14ac:dyDescent="0.3">
      <c r="A25" s="5">
        <v>38562</v>
      </c>
      <c r="B25" s="4">
        <f t="shared" si="0"/>
        <v>4.5420740335877694</v>
      </c>
      <c r="C25" s="6">
        <v>344.32889999999998</v>
      </c>
      <c r="F25" s="5">
        <v>38533</v>
      </c>
      <c r="G25">
        <v>2.1040000000000001</v>
      </c>
    </row>
    <row r="26" spans="1:7" x14ac:dyDescent="0.3">
      <c r="A26" s="5">
        <v>38595</v>
      </c>
      <c r="B26" s="4">
        <f t="shared" si="0"/>
        <v>-1.3783099509799976</v>
      </c>
      <c r="C26" s="6">
        <v>340.20920000000001</v>
      </c>
      <c r="F26" s="5">
        <v>38562</v>
      </c>
      <c r="G26">
        <v>2.1120000000000001</v>
      </c>
    </row>
    <row r="27" spans="1:7" x14ac:dyDescent="0.3">
      <c r="A27" s="5">
        <v>38625</v>
      </c>
      <c r="B27" s="4">
        <f t="shared" si="0"/>
        <v>5.9362979625477523</v>
      </c>
      <c r="C27" s="6">
        <v>361.00380000000001</v>
      </c>
      <c r="F27" s="5">
        <v>38595</v>
      </c>
      <c r="G27">
        <v>2.1120000000000001</v>
      </c>
    </row>
    <row r="28" spans="1:7" x14ac:dyDescent="0.3">
      <c r="A28" s="5">
        <v>38656</v>
      </c>
      <c r="B28" s="4">
        <f t="shared" si="0"/>
        <v>-1.2735750209369876</v>
      </c>
      <c r="C28" s="6">
        <v>357.06580000000002</v>
      </c>
      <c r="F28" s="5">
        <v>38625</v>
      </c>
      <c r="G28">
        <v>2.1219999999999999</v>
      </c>
    </row>
    <row r="29" spans="1:7" x14ac:dyDescent="0.3">
      <c r="A29" s="5">
        <v>38686</v>
      </c>
      <c r="B29" s="4">
        <f t="shared" si="0"/>
        <v>5.1103454823079266</v>
      </c>
      <c r="C29" s="6">
        <v>375.94540000000001</v>
      </c>
      <c r="F29" s="5">
        <v>38656</v>
      </c>
      <c r="G29">
        <v>2.125</v>
      </c>
    </row>
    <row r="30" spans="1:7" x14ac:dyDescent="0.3">
      <c r="A30" s="5">
        <v>38716</v>
      </c>
      <c r="B30" s="4">
        <f t="shared" si="0"/>
        <v>3.4035812678398467</v>
      </c>
      <c r="C30" s="6">
        <v>389.51440000000002</v>
      </c>
      <c r="F30" s="5">
        <v>38686</v>
      </c>
      <c r="G30">
        <v>2.3889999999999998</v>
      </c>
    </row>
    <row r="31" spans="1:7" x14ac:dyDescent="0.3">
      <c r="A31" s="5">
        <v>38748</v>
      </c>
      <c r="B31" s="4">
        <f t="shared" si="0"/>
        <v>5.4688011940394485</v>
      </c>
      <c r="C31" s="6">
        <v>411.62150000000003</v>
      </c>
      <c r="F31" s="5">
        <v>38716</v>
      </c>
      <c r="G31">
        <v>2.4009999999999998</v>
      </c>
    </row>
    <row r="32" spans="1:7" x14ac:dyDescent="0.3">
      <c r="A32" s="5">
        <v>38776</v>
      </c>
      <c r="B32" s="4">
        <f t="shared" si="0"/>
        <v>6.2888361801774009</v>
      </c>
      <c r="C32" s="6">
        <v>438.27190000000002</v>
      </c>
      <c r="F32" s="5">
        <v>38748</v>
      </c>
      <c r="G32">
        <v>2.387</v>
      </c>
    </row>
    <row r="33" spans="1:7" x14ac:dyDescent="0.3">
      <c r="A33" s="5">
        <v>38807</v>
      </c>
      <c r="B33" s="4">
        <f t="shared" si="0"/>
        <v>0.45033900681478006</v>
      </c>
      <c r="C33" s="6">
        <v>441.22269999999997</v>
      </c>
      <c r="F33" s="5">
        <v>38776</v>
      </c>
      <c r="G33">
        <v>2.589</v>
      </c>
    </row>
    <row r="34" spans="1:7" x14ac:dyDescent="0.3">
      <c r="A34" s="5">
        <v>38835</v>
      </c>
      <c r="B34" s="4">
        <f t="shared" si="0"/>
        <v>-0.24453948971422207</v>
      </c>
      <c r="C34" s="6">
        <v>441.11700000000002</v>
      </c>
      <c r="F34" s="5">
        <v>38807</v>
      </c>
      <c r="G34">
        <v>2.6469999999999998</v>
      </c>
    </row>
    <row r="35" spans="1:7" x14ac:dyDescent="0.3">
      <c r="A35" s="5">
        <v>38868</v>
      </c>
      <c r="B35" s="4">
        <f t="shared" si="0"/>
        <v>-4.8832808754820132</v>
      </c>
      <c r="C35" s="6">
        <v>420.58870000000002</v>
      </c>
      <c r="F35" s="5">
        <v>38835</v>
      </c>
      <c r="G35">
        <v>2.6659999999999999</v>
      </c>
    </row>
    <row r="36" spans="1:7" x14ac:dyDescent="0.3">
      <c r="A36" s="5">
        <v>38898</v>
      </c>
      <c r="B36" s="4">
        <f t="shared" si="0"/>
        <v>0.31516070006953106</v>
      </c>
      <c r="C36" s="6">
        <v>422.89280000000002</v>
      </c>
      <c r="F36" s="5">
        <v>38868</v>
      </c>
      <c r="G36">
        <v>2.7919999999999998</v>
      </c>
    </row>
    <row r="37" spans="1:7" x14ac:dyDescent="0.3">
      <c r="A37" s="5">
        <v>38929</v>
      </c>
      <c r="B37" s="4">
        <f t="shared" si="0"/>
        <v>1.7053577585830049</v>
      </c>
      <c r="C37" s="6">
        <v>431.15960000000001</v>
      </c>
      <c r="F37" s="5">
        <v>38898</v>
      </c>
      <c r="G37">
        <v>2.8969999999999998</v>
      </c>
    </row>
    <row r="38" spans="1:7" x14ac:dyDescent="0.3">
      <c r="A38" s="5">
        <v>38960</v>
      </c>
      <c r="B38" s="4">
        <f t="shared" si="0"/>
        <v>5.3701999778426819</v>
      </c>
      <c r="C38" s="6">
        <v>455.43869999999998</v>
      </c>
      <c r="F38" s="5">
        <v>38929</v>
      </c>
      <c r="G38">
        <v>3.03</v>
      </c>
    </row>
    <row r="39" spans="1:7" x14ac:dyDescent="0.3">
      <c r="A39" s="5">
        <v>38989</v>
      </c>
      <c r="B39" s="4">
        <f t="shared" si="0"/>
        <v>2.4262380905487397</v>
      </c>
      <c r="C39" s="6">
        <v>467.66300000000001</v>
      </c>
      <c r="F39" s="5">
        <v>38960</v>
      </c>
      <c r="G39">
        <v>3.0939999999999999</v>
      </c>
    </row>
    <row r="40" spans="1:7" x14ac:dyDescent="0.3">
      <c r="A40" s="5">
        <v>39021</v>
      </c>
      <c r="B40" s="4">
        <f t="shared" si="0"/>
        <v>2.9660959956682902</v>
      </c>
      <c r="C40" s="6">
        <v>482.85199999999998</v>
      </c>
      <c r="F40" s="5">
        <v>38989</v>
      </c>
      <c r="G40">
        <v>3.2719999999999998</v>
      </c>
    </row>
    <row r="41" spans="1:7" x14ac:dyDescent="0.3">
      <c r="A41" s="5">
        <v>39051</v>
      </c>
      <c r="B41" s="4">
        <f t="shared" si="0"/>
        <v>-1.5973300852711274</v>
      </c>
      <c r="C41" s="6">
        <v>476.50049999999999</v>
      </c>
      <c r="F41" s="5">
        <v>39021</v>
      </c>
      <c r="G41">
        <v>3.383</v>
      </c>
    </row>
    <row r="42" spans="1:7" x14ac:dyDescent="0.3">
      <c r="A42" s="5">
        <v>39080</v>
      </c>
      <c r="B42" s="4">
        <f t="shared" si="0"/>
        <v>3.3259811409956419</v>
      </c>
      <c r="C42" s="6">
        <v>493.81529999999998</v>
      </c>
      <c r="F42" s="5">
        <v>39051</v>
      </c>
      <c r="G42">
        <v>3.5739999999999998</v>
      </c>
    </row>
    <row r="43" spans="1:7" x14ac:dyDescent="0.3">
      <c r="A43" s="5">
        <v>39113</v>
      </c>
      <c r="B43" s="4">
        <f t="shared" si="0"/>
        <v>3.5854984617173926</v>
      </c>
      <c r="C43" s="6">
        <v>513.06590000000006</v>
      </c>
      <c r="F43" s="5">
        <v>39080</v>
      </c>
      <c r="G43">
        <v>3.633</v>
      </c>
    </row>
    <row r="44" spans="1:7" x14ac:dyDescent="0.3">
      <c r="A44" s="5">
        <v>39141</v>
      </c>
      <c r="B44" s="4">
        <f t="shared" si="0"/>
        <v>-3.6152416651198767</v>
      </c>
      <c r="C44" s="6">
        <v>495.95909999999998</v>
      </c>
      <c r="F44" s="5">
        <v>39113</v>
      </c>
      <c r="G44">
        <v>3.613</v>
      </c>
    </row>
    <row r="45" spans="1:7" x14ac:dyDescent="0.3">
      <c r="A45" s="5">
        <v>39171</v>
      </c>
      <c r="B45" s="4">
        <f t="shared" si="0"/>
        <v>1.587261007258473</v>
      </c>
      <c r="C45" s="6">
        <v>505.43279999999999</v>
      </c>
      <c r="F45" s="5">
        <v>39141</v>
      </c>
      <c r="G45">
        <v>3.75</v>
      </c>
    </row>
    <row r="46" spans="1:7" x14ac:dyDescent="0.3">
      <c r="A46" s="5">
        <v>39202</v>
      </c>
      <c r="B46" s="4">
        <f t="shared" si="0"/>
        <v>5.5890924340485926</v>
      </c>
      <c r="C46" s="6">
        <v>535.30939999999998</v>
      </c>
      <c r="F46" s="5">
        <v>39171</v>
      </c>
      <c r="G46">
        <v>3.8639999999999999</v>
      </c>
    </row>
    <row r="47" spans="1:7" x14ac:dyDescent="0.3">
      <c r="A47" s="5">
        <v>39233</v>
      </c>
      <c r="B47" s="4">
        <f t="shared" si="0"/>
        <v>1.8669819869312918</v>
      </c>
      <c r="C47" s="6">
        <v>547.08330000000001</v>
      </c>
      <c r="F47" s="5">
        <v>39202</v>
      </c>
      <c r="G47">
        <v>3.8610000000000002</v>
      </c>
    </row>
    <row r="48" spans="1:7" x14ac:dyDescent="0.3">
      <c r="A48" s="5">
        <v>39262</v>
      </c>
      <c r="B48" s="4">
        <f t="shared" si="0"/>
        <v>-3.908378867075633</v>
      </c>
      <c r="C48" s="6">
        <v>527.5385</v>
      </c>
      <c r="F48" s="5">
        <v>39233</v>
      </c>
      <c r="G48">
        <v>4.03</v>
      </c>
    </row>
    <row r="49" spans="1:7" x14ac:dyDescent="0.3">
      <c r="A49" s="5">
        <v>39294</v>
      </c>
      <c r="B49" s="4">
        <f t="shared" si="0"/>
        <v>-3.6854026807337892</v>
      </c>
      <c r="C49" s="6">
        <v>509.96589999999998</v>
      </c>
      <c r="F49" s="5">
        <v>39262</v>
      </c>
      <c r="G49">
        <v>4.1150000000000002</v>
      </c>
    </row>
    <row r="50" spans="1:7" x14ac:dyDescent="0.3">
      <c r="A50" s="5">
        <v>39325</v>
      </c>
      <c r="B50" s="4">
        <f t="shared" si="0"/>
        <v>-4.1747143270952041</v>
      </c>
      <c r="C50" s="6">
        <v>490.4785</v>
      </c>
      <c r="F50" s="5">
        <v>39294</v>
      </c>
      <c r="G50">
        <v>4.1040000000000001</v>
      </c>
    </row>
    <row r="51" spans="1:7" x14ac:dyDescent="0.3">
      <c r="A51" s="5">
        <v>39353</v>
      </c>
      <c r="B51" s="4">
        <f t="shared" si="0"/>
        <v>-1.879702445588002</v>
      </c>
      <c r="C51" s="6">
        <v>483.08150000000001</v>
      </c>
      <c r="F51" s="5">
        <v>39325</v>
      </c>
      <c r="G51">
        <v>4.4589999999999996</v>
      </c>
    </row>
    <row r="52" spans="1:7" x14ac:dyDescent="0.3">
      <c r="A52" s="5">
        <v>39386</v>
      </c>
      <c r="B52" s="4">
        <f t="shared" si="0"/>
        <v>2.4488989824669662</v>
      </c>
      <c r="C52" s="6">
        <v>496.7441</v>
      </c>
      <c r="F52" s="5">
        <v>39353</v>
      </c>
      <c r="G52">
        <v>4.4050000000000002</v>
      </c>
    </row>
    <row r="53" spans="1:7" x14ac:dyDescent="0.3">
      <c r="A53" s="5">
        <v>39416</v>
      </c>
      <c r="B53" s="4">
        <f t="shared" si="0"/>
        <v>-4.5595058796370234</v>
      </c>
      <c r="C53" s="6">
        <v>475.815</v>
      </c>
      <c r="F53" s="5">
        <v>39386</v>
      </c>
      <c r="G53">
        <v>4.1550000000000002</v>
      </c>
    </row>
    <row r="54" spans="1:7" x14ac:dyDescent="0.3">
      <c r="A54" s="5">
        <v>39447</v>
      </c>
      <c r="B54" s="4">
        <f t="shared" si="0"/>
        <v>-2.3242680560371887</v>
      </c>
      <c r="C54" s="6">
        <v>466.73149999999998</v>
      </c>
      <c r="F54" s="5">
        <v>39416</v>
      </c>
      <c r="G54">
        <v>4.8220000000000001</v>
      </c>
    </row>
    <row r="55" spans="1:7" x14ac:dyDescent="0.3">
      <c r="A55" s="5">
        <v>39478</v>
      </c>
      <c r="B55" s="4">
        <f t="shared" si="0"/>
        <v>-15.242292438848075</v>
      </c>
      <c r="C55" s="6">
        <v>397.3143</v>
      </c>
      <c r="F55" s="5">
        <v>39447</v>
      </c>
      <c r="G55">
        <v>4.2880000000000003</v>
      </c>
    </row>
    <row r="56" spans="1:7" x14ac:dyDescent="0.3">
      <c r="A56" s="5">
        <v>39507</v>
      </c>
      <c r="B56" s="4">
        <f t="shared" si="0"/>
        <v>-3.8525283705075113</v>
      </c>
      <c r="C56" s="6">
        <v>383.34870000000001</v>
      </c>
      <c r="F56" s="5">
        <v>39478</v>
      </c>
      <c r="G56">
        <v>4.1900000000000004</v>
      </c>
    </row>
    <row r="57" spans="1:7" x14ac:dyDescent="0.3">
      <c r="A57" s="5">
        <v>39538</v>
      </c>
      <c r="B57" s="4">
        <f t="shared" si="0"/>
        <v>-0.67887134220097722</v>
      </c>
      <c r="C57" s="6">
        <v>382.1327</v>
      </c>
      <c r="F57" s="5">
        <v>39507</v>
      </c>
      <c r="G57">
        <v>4.2</v>
      </c>
    </row>
    <row r="58" spans="1:7" x14ac:dyDescent="0.3">
      <c r="A58" s="5">
        <v>39568</v>
      </c>
      <c r="B58" s="4">
        <f t="shared" si="0"/>
        <v>8.6363248712205714</v>
      </c>
      <c r="C58" s="6">
        <v>416.52269999999999</v>
      </c>
      <c r="F58" s="5">
        <v>39538</v>
      </c>
      <c r="G58">
        <v>4.3579999999999997</v>
      </c>
    </row>
    <row r="59" spans="1:7" x14ac:dyDescent="0.3">
      <c r="A59" s="5">
        <v>39598</v>
      </c>
      <c r="B59" s="4">
        <f t="shared" si="0"/>
        <v>-3.6551120759444768</v>
      </c>
      <c r="C59" s="6">
        <v>402.87290000000002</v>
      </c>
      <c r="F59" s="5">
        <v>39568</v>
      </c>
      <c r="G59">
        <v>4.3899999999999997</v>
      </c>
    </row>
    <row r="60" spans="1:7" x14ac:dyDescent="0.3">
      <c r="A60" s="5">
        <v>39629</v>
      </c>
      <c r="B60" s="4">
        <f t="shared" si="0"/>
        <v>-17.224089083182321</v>
      </c>
      <c r="C60" s="6">
        <v>334.98039999999997</v>
      </c>
      <c r="F60" s="5">
        <v>39598</v>
      </c>
      <c r="G60">
        <v>4.4640000000000004</v>
      </c>
    </row>
    <row r="61" spans="1:7" x14ac:dyDescent="0.3">
      <c r="A61" s="5">
        <v>39660</v>
      </c>
      <c r="B61" s="4">
        <f t="shared" si="0"/>
        <v>1.0836330336541034</v>
      </c>
      <c r="C61" s="6">
        <v>339.89109999999999</v>
      </c>
      <c r="F61" s="5">
        <v>39629</v>
      </c>
      <c r="G61">
        <v>4.4400000000000004</v>
      </c>
    </row>
    <row r="62" spans="1:7" x14ac:dyDescent="0.3">
      <c r="A62" s="5">
        <v>39689</v>
      </c>
      <c r="B62" s="4">
        <f t="shared" si="0"/>
        <v>-1.1042747657828325</v>
      </c>
      <c r="C62" s="6">
        <v>337.44869999999997</v>
      </c>
      <c r="F62" s="5">
        <v>39660</v>
      </c>
      <c r="G62">
        <v>4.4790000000000001</v>
      </c>
    </row>
    <row r="63" spans="1:7" x14ac:dyDescent="0.3">
      <c r="A63" s="5">
        <v>39721</v>
      </c>
      <c r="B63" s="4">
        <f t="shared" si="0"/>
        <v>-12.143127504936293</v>
      </c>
      <c r="C63" s="6">
        <v>297.74040000000002</v>
      </c>
      <c r="F63" s="5">
        <v>39689</v>
      </c>
      <c r="G63">
        <v>4.5110000000000001</v>
      </c>
    </row>
    <row r="64" spans="1:7" x14ac:dyDescent="0.3">
      <c r="A64" s="5">
        <v>39752</v>
      </c>
      <c r="B64" s="4">
        <f t="shared" si="0"/>
        <v>-26.069978145950859</v>
      </c>
      <c r="C64" s="6">
        <v>221.4143</v>
      </c>
      <c r="F64" s="5">
        <v>39721</v>
      </c>
      <c r="G64">
        <v>5.05</v>
      </c>
    </row>
    <row r="65" spans="1:7" x14ac:dyDescent="0.3">
      <c r="A65" s="5">
        <v>39780</v>
      </c>
      <c r="B65" s="4">
        <f t="shared" si="0"/>
        <v>-16.185506463900477</v>
      </c>
      <c r="C65" s="6">
        <v>186.3954</v>
      </c>
      <c r="F65" s="5">
        <v>39752</v>
      </c>
      <c r="G65">
        <v>4.4340000000000002</v>
      </c>
    </row>
    <row r="66" spans="1:7" x14ac:dyDescent="0.3">
      <c r="A66" s="5">
        <v>39813</v>
      </c>
      <c r="B66" s="4">
        <f t="shared" si="0"/>
        <v>-4.867047445430523</v>
      </c>
      <c r="C66" s="6">
        <v>177.89709999999999</v>
      </c>
      <c r="F66" s="5">
        <v>39780</v>
      </c>
      <c r="G66">
        <v>3.5739999999999998</v>
      </c>
    </row>
    <row r="67" spans="1:7" x14ac:dyDescent="0.3">
      <c r="A67" s="5">
        <v>39843</v>
      </c>
      <c r="B67" s="4">
        <f t="shared" si="0"/>
        <v>-9.8526347017820211</v>
      </c>
      <c r="C67" s="6">
        <v>160.76830000000001</v>
      </c>
      <c r="F67" s="5">
        <v>39813</v>
      </c>
      <c r="G67">
        <v>2.6030000000000002</v>
      </c>
    </row>
    <row r="68" spans="1:7" x14ac:dyDescent="0.3">
      <c r="A68" s="5">
        <v>39871</v>
      </c>
      <c r="B68" s="4">
        <f t="shared" si="0"/>
        <v>-20.211819313502041</v>
      </c>
      <c r="C68" s="6">
        <v>128.4923</v>
      </c>
      <c r="F68" s="5">
        <v>39843</v>
      </c>
      <c r="G68">
        <v>1.7450000000000001</v>
      </c>
    </row>
    <row r="69" spans="1:7" x14ac:dyDescent="0.3">
      <c r="A69" s="5">
        <v>39903</v>
      </c>
      <c r="B69" s="4">
        <f t="shared" si="0"/>
        <v>14.797704916753769</v>
      </c>
      <c r="C69" s="6">
        <v>147.6755</v>
      </c>
      <c r="F69" s="5">
        <v>39871</v>
      </c>
      <c r="G69">
        <v>1.53</v>
      </c>
    </row>
    <row r="70" spans="1:7" x14ac:dyDescent="0.3">
      <c r="A70" s="5">
        <v>39933</v>
      </c>
      <c r="B70" s="4">
        <f t="shared" si="0"/>
        <v>33.108366973815336</v>
      </c>
      <c r="C70" s="6">
        <v>196.7064</v>
      </c>
      <c r="F70" s="5">
        <v>39903</v>
      </c>
      <c r="G70">
        <v>1.121</v>
      </c>
    </row>
    <row r="71" spans="1:7" x14ac:dyDescent="0.3">
      <c r="A71" s="5">
        <v>39962</v>
      </c>
      <c r="B71" s="4">
        <f t="shared" si="0"/>
        <v>9.860533034546247</v>
      </c>
      <c r="C71" s="6">
        <v>216.26259999999999</v>
      </c>
      <c r="F71" s="5">
        <v>39933</v>
      </c>
      <c r="G71">
        <v>0.94399999999999995</v>
      </c>
    </row>
    <row r="72" spans="1:7" x14ac:dyDescent="0.3">
      <c r="A72" s="5">
        <v>39994</v>
      </c>
      <c r="B72" s="4">
        <f t="shared" si="0"/>
        <v>-0.771194191305691</v>
      </c>
      <c r="C72" s="6">
        <v>214.76329999999999</v>
      </c>
      <c r="F72" s="5">
        <v>39962</v>
      </c>
      <c r="G72">
        <v>0.93500000000000005</v>
      </c>
    </row>
    <row r="73" spans="1:7" x14ac:dyDescent="0.3">
      <c r="A73" s="5">
        <v>40025</v>
      </c>
      <c r="B73" s="4">
        <f t="shared" ref="B73:B136" si="1">((C73/C72)-1)*100 - _xlfn.XLOOKUP(A72,$F:$F,$G:$G)*(DAY(EOMONTH(A73,0))/360)</f>
        <v>14.881645871068049</v>
      </c>
      <c r="C73" s="6">
        <v>246.86250000000001</v>
      </c>
      <c r="F73" s="5">
        <v>39994</v>
      </c>
      <c r="G73">
        <v>0.751</v>
      </c>
    </row>
    <row r="74" spans="1:7" x14ac:dyDescent="0.3">
      <c r="A74" s="5">
        <v>40056</v>
      </c>
      <c r="B74" s="4">
        <f t="shared" si="1"/>
        <v>12.97297465019324</v>
      </c>
      <c r="C74" s="6">
        <v>279.00099999999998</v>
      </c>
      <c r="F74" s="5">
        <v>40025</v>
      </c>
      <c r="G74">
        <v>0.53200000000000003</v>
      </c>
    </row>
    <row r="75" spans="1:7" x14ac:dyDescent="0.3">
      <c r="A75" s="5">
        <v>40086</v>
      </c>
      <c r="B75" s="4">
        <f t="shared" si="1"/>
        <v>3.5277300430822751</v>
      </c>
      <c r="C75" s="6">
        <v>288.95569999999998</v>
      </c>
      <c r="F75" s="5">
        <v>40056</v>
      </c>
      <c r="G75">
        <v>0.48299999999999998</v>
      </c>
    </row>
    <row r="76" spans="1:7" x14ac:dyDescent="0.3">
      <c r="A76" s="5">
        <v>40116</v>
      </c>
      <c r="B76" s="4">
        <f t="shared" si="1"/>
        <v>-5.8638000420767957</v>
      </c>
      <c r="C76" s="6">
        <v>272.12090000000001</v>
      </c>
      <c r="F76" s="5">
        <v>40086</v>
      </c>
      <c r="G76">
        <v>0.438</v>
      </c>
    </row>
    <row r="77" spans="1:7" x14ac:dyDescent="0.3">
      <c r="A77" s="5">
        <v>40147</v>
      </c>
      <c r="B77" s="4">
        <f t="shared" si="1"/>
        <v>-0.414189373118104</v>
      </c>
      <c r="C77" s="6">
        <v>271.08949999999999</v>
      </c>
      <c r="F77" s="5">
        <v>40116</v>
      </c>
      <c r="G77">
        <v>0.42199999999999999</v>
      </c>
    </row>
    <row r="78" spans="1:7" x14ac:dyDescent="0.3">
      <c r="A78" s="5">
        <v>40178</v>
      </c>
      <c r="B78" s="4">
        <f t="shared" si="1"/>
        <v>0.88716721923119279</v>
      </c>
      <c r="C78" s="6">
        <v>273.60469999999998</v>
      </c>
      <c r="F78" s="5">
        <v>40147</v>
      </c>
      <c r="G78">
        <v>0.47199999999999998</v>
      </c>
    </row>
    <row r="79" spans="1:7" x14ac:dyDescent="0.3">
      <c r="A79" s="5">
        <v>40207</v>
      </c>
      <c r="B79" s="4">
        <f t="shared" si="1"/>
        <v>-9.2681992061509391</v>
      </c>
      <c r="C79" s="6">
        <v>248.35319999999999</v>
      </c>
      <c r="F79" s="5">
        <v>40178</v>
      </c>
      <c r="G79">
        <v>0.45300000000000001</v>
      </c>
    </row>
    <row r="80" spans="1:7" x14ac:dyDescent="0.3">
      <c r="A80" s="5">
        <v>40235</v>
      </c>
      <c r="B80" s="4">
        <f t="shared" si="1"/>
        <v>-5.1934856058226773</v>
      </c>
      <c r="C80" s="6">
        <v>235.53729999999999</v>
      </c>
      <c r="F80" s="5">
        <v>40207</v>
      </c>
      <c r="G80">
        <v>0.42599999999999999</v>
      </c>
    </row>
    <row r="81" spans="1:7" x14ac:dyDescent="0.3">
      <c r="A81" s="5">
        <v>40268</v>
      </c>
      <c r="B81" s="4">
        <f t="shared" si="1"/>
        <v>9.696564113190469</v>
      </c>
      <c r="C81" s="6">
        <v>258.46069999999997</v>
      </c>
      <c r="F81" s="5">
        <v>40235</v>
      </c>
      <c r="G81">
        <v>0.41599999999999998</v>
      </c>
    </row>
    <row r="82" spans="1:7" x14ac:dyDescent="0.3">
      <c r="A82" s="5">
        <v>40298</v>
      </c>
      <c r="B82" s="4">
        <f t="shared" si="1"/>
        <v>-6.7270604060565669</v>
      </c>
      <c r="C82" s="6">
        <v>241.15940000000001</v>
      </c>
      <c r="F82" s="5">
        <v>40268</v>
      </c>
      <c r="G82">
        <v>0.39700000000000002</v>
      </c>
    </row>
    <row r="83" spans="1:7" x14ac:dyDescent="0.3">
      <c r="A83" s="5">
        <v>40329</v>
      </c>
      <c r="B83" s="4">
        <f t="shared" si="1"/>
        <v>-11.394316647437806</v>
      </c>
      <c r="C83" s="6">
        <v>213.76669999999999</v>
      </c>
      <c r="F83" s="5">
        <v>40298</v>
      </c>
      <c r="G83">
        <v>0.41299999999999998</v>
      </c>
    </row>
    <row r="84" spans="1:7" x14ac:dyDescent="0.3">
      <c r="A84" s="5">
        <v>40359</v>
      </c>
      <c r="B84" s="4">
        <f t="shared" si="1"/>
        <v>-9.9043300593580963E-2</v>
      </c>
      <c r="C84" s="6">
        <v>213.63140000000001</v>
      </c>
      <c r="F84" s="5">
        <v>40329</v>
      </c>
      <c r="G84">
        <v>0.42899999999999999</v>
      </c>
    </row>
    <row r="85" spans="1:7" x14ac:dyDescent="0.3">
      <c r="A85" s="5">
        <v>40389</v>
      </c>
      <c r="B85" s="4">
        <f t="shared" si="1"/>
        <v>17.607514260297044</v>
      </c>
      <c r="C85" s="6">
        <v>251.33580000000001</v>
      </c>
      <c r="F85" s="5">
        <v>40359</v>
      </c>
      <c r="G85">
        <v>0.48499999999999999</v>
      </c>
    </row>
    <row r="86" spans="1:7" x14ac:dyDescent="0.3">
      <c r="A86" s="5">
        <v>40421</v>
      </c>
      <c r="B86" s="4">
        <f t="shared" si="1"/>
        <v>-8.5222622850584759</v>
      </c>
      <c r="C86" s="6">
        <v>230.05590000000001</v>
      </c>
      <c r="F86" s="5">
        <v>40389</v>
      </c>
      <c r="G86">
        <v>0.64500000000000002</v>
      </c>
    </row>
    <row r="87" spans="1:7" x14ac:dyDescent="0.3">
      <c r="A87" s="5">
        <v>40451</v>
      </c>
      <c r="B87" s="4">
        <f t="shared" si="1"/>
        <v>1.4247208432820078</v>
      </c>
      <c r="C87" s="6">
        <v>233.4528</v>
      </c>
      <c r="F87" s="5">
        <v>40421</v>
      </c>
      <c r="G87">
        <v>0.622</v>
      </c>
    </row>
    <row r="88" spans="1:7" x14ac:dyDescent="0.3">
      <c r="A88" s="5">
        <v>40480</v>
      </c>
      <c r="B88" s="4">
        <f t="shared" si="1"/>
        <v>1.2087484065301386</v>
      </c>
      <c r="C88" s="6">
        <v>236.40029999999999</v>
      </c>
      <c r="F88" s="5">
        <v>40451</v>
      </c>
      <c r="G88">
        <v>0.625</v>
      </c>
    </row>
    <row r="89" spans="1:7" x14ac:dyDescent="0.3">
      <c r="A89" s="5">
        <v>40512</v>
      </c>
      <c r="B89" s="4">
        <f t="shared" si="1"/>
        <v>-17.416754213827137</v>
      </c>
      <c r="C89" s="6">
        <v>195.3939</v>
      </c>
      <c r="F89" s="5">
        <v>40480</v>
      </c>
      <c r="G89">
        <v>0.84699999999999998</v>
      </c>
    </row>
    <row r="90" spans="1:7" x14ac:dyDescent="0.3">
      <c r="A90" s="5">
        <v>40543</v>
      </c>
      <c r="B90" s="4">
        <f t="shared" si="1"/>
        <v>5.5123587556980898</v>
      </c>
      <c r="C90" s="6">
        <v>206.30099999999999</v>
      </c>
      <c r="F90" s="5">
        <v>40512</v>
      </c>
      <c r="G90">
        <v>0.81</v>
      </c>
    </row>
    <row r="91" spans="1:7" x14ac:dyDescent="0.3">
      <c r="A91" s="5">
        <v>40574</v>
      </c>
      <c r="B91" s="4">
        <f t="shared" si="1"/>
        <v>14.194104342118242</v>
      </c>
      <c r="C91" s="6">
        <v>235.7225</v>
      </c>
      <c r="F91" s="5">
        <v>40543</v>
      </c>
      <c r="G91">
        <v>0.78200000000000003</v>
      </c>
    </row>
    <row r="92" spans="1:7" x14ac:dyDescent="0.3">
      <c r="A92" s="5">
        <v>40602</v>
      </c>
      <c r="B92" s="4">
        <f t="shared" si="1"/>
        <v>3.1147688271637617</v>
      </c>
      <c r="C92" s="6">
        <v>243.22880000000001</v>
      </c>
      <c r="F92" s="5">
        <v>40574</v>
      </c>
      <c r="G92">
        <v>0.89500000000000002</v>
      </c>
    </row>
    <row r="93" spans="1:7" x14ac:dyDescent="0.3">
      <c r="A93" s="5">
        <v>40633</v>
      </c>
      <c r="B93" s="4">
        <f t="shared" si="1"/>
        <v>-8.9415359399325549</v>
      </c>
      <c r="C93" s="6">
        <v>221.66200000000001</v>
      </c>
      <c r="F93" s="5">
        <v>40602</v>
      </c>
      <c r="G93">
        <v>0.86699999999999999</v>
      </c>
    </row>
    <row r="94" spans="1:7" x14ac:dyDescent="0.3">
      <c r="A94" s="5">
        <v>40662</v>
      </c>
      <c r="B94" s="4">
        <f t="shared" si="1"/>
        <v>1.7208599820146508</v>
      </c>
      <c r="C94" s="6">
        <v>225.65530000000001</v>
      </c>
      <c r="F94" s="5">
        <v>40633</v>
      </c>
      <c r="G94">
        <v>0.96799999999999997</v>
      </c>
    </row>
    <row r="95" spans="1:7" x14ac:dyDescent="0.3">
      <c r="A95" s="5">
        <v>40694</v>
      </c>
      <c r="B95" s="4">
        <f t="shared" si="1"/>
        <v>-3.1052524677769449</v>
      </c>
      <c r="C95" s="6">
        <v>218.88849999999999</v>
      </c>
      <c r="F95" s="5">
        <v>40662</v>
      </c>
      <c r="G95">
        <v>1.2370000000000001</v>
      </c>
    </row>
    <row r="96" spans="1:7" x14ac:dyDescent="0.3">
      <c r="A96" s="5">
        <v>40724</v>
      </c>
      <c r="B96" s="4">
        <f t="shared" si="1"/>
        <v>-3.1359326316061931</v>
      </c>
      <c r="C96" s="6">
        <v>212.2483</v>
      </c>
      <c r="F96" s="5">
        <v>40694</v>
      </c>
      <c r="G96">
        <v>1.228</v>
      </c>
    </row>
    <row r="97" spans="1:7" x14ac:dyDescent="0.3">
      <c r="A97" s="5">
        <v>40753</v>
      </c>
      <c r="B97" s="4">
        <f t="shared" si="1"/>
        <v>-10.591684086286614</v>
      </c>
      <c r="C97" s="6">
        <v>190.00980000000001</v>
      </c>
      <c r="F97" s="5">
        <v>40724</v>
      </c>
      <c r="G97">
        <v>1.325</v>
      </c>
    </row>
    <row r="98" spans="1:7" x14ac:dyDescent="0.3">
      <c r="A98" s="5">
        <v>40786</v>
      </c>
      <c r="B98" s="4">
        <f t="shared" si="1"/>
        <v>-19.740174883163931</v>
      </c>
      <c r="C98" s="6">
        <v>152.73599999999999</v>
      </c>
      <c r="F98" s="5">
        <v>40753</v>
      </c>
      <c r="G98">
        <v>1.4330000000000001</v>
      </c>
    </row>
    <row r="99" spans="1:7" x14ac:dyDescent="0.3">
      <c r="A99" s="5">
        <v>40816</v>
      </c>
      <c r="B99" s="4">
        <f t="shared" si="1"/>
        <v>-8.1033648124868858</v>
      </c>
      <c r="C99" s="6">
        <v>140.53120000000001</v>
      </c>
      <c r="F99" s="5">
        <v>40786</v>
      </c>
      <c r="G99">
        <v>1.351</v>
      </c>
    </row>
    <row r="100" spans="1:7" x14ac:dyDescent="0.3">
      <c r="A100" s="5">
        <v>40847</v>
      </c>
      <c r="B100" s="4">
        <f t="shared" si="1"/>
        <v>3.1617935391808474</v>
      </c>
      <c r="C100" s="6">
        <v>145.1386</v>
      </c>
      <c r="F100" s="5">
        <v>40816</v>
      </c>
      <c r="G100">
        <v>1.3560000000000001</v>
      </c>
    </row>
    <row r="101" spans="1:7" x14ac:dyDescent="0.3">
      <c r="A101" s="5">
        <v>40877</v>
      </c>
      <c r="B101" s="4">
        <f t="shared" si="1"/>
        <v>-9.0264320140656302</v>
      </c>
      <c r="C101" s="6">
        <v>132.20310000000001</v>
      </c>
      <c r="F101" s="5">
        <v>40847</v>
      </c>
      <c r="G101">
        <v>1.367</v>
      </c>
    </row>
    <row r="102" spans="1:7" x14ac:dyDescent="0.3">
      <c r="A102" s="5">
        <v>40907</v>
      </c>
      <c r="B102" s="4">
        <f t="shared" si="1"/>
        <v>1.6790466444558891</v>
      </c>
      <c r="C102" s="6">
        <v>134.56059999999999</v>
      </c>
      <c r="F102" s="5">
        <v>40877</v>
      </c>
      <c r="G102">
        <v>1.21</v>
      </c>
    </row>
    <row r="103" spans="1:7" x14ac:dyDescent="0.3">
      <c r="A103" s="5">
        <v>40939</v>
      </c>
      <c r="B103" s="4">
        <f t="shared" si="1"/>
        <v>8.232757176436154</v>
      </c>
      <c r="C103" s="6">
        <v>145.75729999999999</v>
      </c>
      <c r="F103" s="5">
        <v>40907</v>
      </c>
      <c r="G103">
        <v>1.024</v>
      </c>
    </row>
    <row r="104" spans="1:7" x14ac:dyDescent="0.3">
      <c r="A104" s="5">
        <v>40968</v>
      </c>
      <c r="B104" s="4">
        <f t="shared" si="1"/>
        <v>5.7492027330497049</v>
      </c>
      <c r="C104" s="6">
        <v>154.2209</v>
      </c>
      <c r="F104" s="5">
        <v>40939</v>
      </c>
      <c r="G104">
        <v>0.71299999999999997</v>
      </c>
    </row>
    <row r="105" spans="1:7" x14ac:dyDescent="0.3">
      <c r="A105" s="5">
        <v>40998</v>
      </c>
      <c r="B105" s="4">
        <f t="shared" si="1"/>
        <v>-5.503728710202922</v>
      </c>
      <c r="C105" s="6">
        <v>145.80789999999999</v>
      </c>
      <c r="F105" s="5">
        <v>40968</v>
      </c>
      <c r="G105">
        <v>0.56399999999999995</v>
      </c>
    </row>
    <row r="106" spans="1:7" x14ac:dyDescent="0.3">
      <c r="A106" s="5">
        <v>41029</v>
      </c>
      <c r="B106" s="4">
        <f t="shared" si="1"/>
        <v>-14.211309029494737</v>
      </c>
      <c r="C106" s="6">
        <v>125.13760000000001</v>
      </c>
      <c r="F106" s="5">
        <v>40998</v>
      </c>
      <c r="G106">
        <v>0.41899999999999998</v>
      </c>
    </row>
    <row r="107" spans="1:7" x14ac:dyDescent="0.3">
      <c r="A107" s="5">
        <v>41060</v>
      </c>
      <c r="B107" s="4">
        <f t="shared" si="1"/>
        <v>-13.951284786595815</v>
      </c>
      <c r="C107" s="6">
        <v>107.72239999999999</v>
      </c>
      <c r="F107" s="5">
        <v>41029</v>
      </c>
      <c r="G107">
        <v>0.4</v>
      </c>
    </row>
    <row r="108" spans="1:7" x14ac:dyDescent="0.3">
      <c r="A108" s="5">
        <v>41089</v>
      </c>
      <c r="B108" s="4">
        <f t="shared" si="1"/>
        <v>15.849766895897865</v>
      </c>
      <c r="C108" s="6">
        <v>124.8308</v>
      </c>
      <c r="F108" s="5">
        <v>41060</v>
      </c>
      <c r="G108">
        <v>0.38600000000000001</v>
      </c>
    </row>
    <row r="109" spans="1:7" x14ac:dyDescent="0.3">
      <c r="A109" s="5">
        <v>41121</v>
      </c>
      <c r="B109" s="4">
        <f t="shared" si="1"/>
        <v>-4.5701020577097564</v>
      </c>
      <c r="C109" s="6">
        <v>119.166</v>
      </c>
      <c r="F109" s="5">
        <v>41089</v>
      </c>
      <c r="G109">
        <v>0.373</v>
      </c>
    </row>
    <row r="110" spans="1:7" x14ac:dyDescent="0.3">
      <c r="A110" s="5">
        <v>41152</v>
      </c>
      <c r="B110" s="4">
        <f t="shared" si="1"/>
        <v>15.201072739008335</v>
      </c>
      <c r="C110" s="6">
        <v>137.29580000000001</v>
      </c>
      <c r="F110" s="5">
        <v>41121</v>
      </c>
      <c r="G110">
        <v>0.14899999999999999</v>
      </c>
    </row>
    <row r="111" spans="1:7" x14ac:dyDescent="0.3">
      <c r="A111" s="5">
        <v>41180</v>
      </c>
      <c r="B111" s="4">
        <f t="shared" si="1"/>
        <v>3.5701427187381558</v>
      </c>
      <c r="C111" s="6">
        <v>142.21129999999999</v>
      </c>
      <c r="F111" s="5">
        <v>41152</v>
      </c>
      <c r="G111">
        <v>0.121</v>
      </c>
    </row>
    <row r="112" spans="1:7" x14ac:dyDescent="0.3">
      <c r="A112" s="5">
        <v>41213</v>
      </c>
      <c r="B112" s="4">
        <f t="shared" si="1"/>
        <v>5.1785738060098714</v>
      </c>
      <c r="C112" s="6">
        <v>149.5899</v>
      </c>
      <c r="F112" s="5">
        <v>41180</v>
      </c>
      <c r="G112">
        <v>0.115</v>
      </c>
    </row>
    <row r="113" spans="1:7" x14ac:dyDescent="0.3">
      <c r="A113" s="5">
        <v>41243</v>
      </c>
      <c r="B113" s="4">
        <f t="shared" si="1"/>
        <v>3.8653596215386155</v>
      </c>
      <c r="C113" s="6">
        <v>155.38579999999999</v>
      </c>
      <c r="F113" s="5">
        <v>41213</v>
      </c>
      <c r="G113">
        <v>0.11</v>
      </c>
    </row>
    <row r="114" spans="1:7" x14ac:dyDescent="0.3">
      <c r="A114" s="5">
        <v>41274</v>
      </c>
      <c r="B114" s="4">
        <f t="shared" si="1"/>
        <v>1.9889720285930705</v>
      </c>
      <c r="C114" s="6">
        <v>158.4915</v>
      </c>
      <c r="F114" s="5">
        <v>41243</v>
      </c>
      <c r="G114">
        <v>0.113</v>
      </c>
    </row>
    <row r="115" spans="1:7" x14ac:dyDescent="0.3">
      <c r="A115" s="5">
        <v>41305</v>
      </c>
      <c r="B115" s="4">
        <f t="shared" si="1"/>
        <v>11.121116155571952</v>
      </c>
      <c r="C115" s="6">
        <v>176.13239999999999</v>
      </c>
      <c r="F115" s="5">
        <v>41274</v>
      </c>
      <c r="G115">
        <v>0.109</v>
      </c>
    </row>
    <row r="116" spans="1:7" x14ac:dyDescent="0.3">
      <c r="A116" s="5">
        <v>41333</v>
      </c>
      <c r="B116" s="4">
        <f t="shared" si="1"/>
        <v>-7.6583161393739321</v>
      </c>
      <c r="C116" s="6">
        <v>162.6602</v>
      </c>
      <c r="F116" s="5">
        <v>41305</v>
      </c>
      <c r="G116">
        <v>0.121</v>
      </c>
    </row>
    <row r="117" spans="1:7" x14ac:dyDescent="0.3">
      <c r="A117" s="5">
        <v>41362</v>
      </c>
      <c r="B117" s="4">
        <f t="shared" si="1"/>
        <v>-10.542608507585488</v>
      </c>
      <c r="C117" s="6">
        <v>145.52809999999999</v>
      </c>
      <c r="F117" s="5">
        <v>41333</v>
      </c>
      <c r="G117">
        <v>0.11799999999999999</v>
      </c>
    </row>
    <row r="118" spans="1:7" x14ac:dyDescent="0.3">
      <c r="A118" s="5">
        <v>41394</v>
      </c>
      <c r="B118" s="4">
        <f t="shared" si="1"/>
        <v>10.081496982541513</v>
      </c>
      <c r="C118" s="6">
        <v>160.21369999999999</v>
      </c>
      <c r="F118" s="5">
        <v>41362</v>
      </c>
      <c r="G118">
        <v>0.11700000000000001</v>
      </c>
    </row>
    <row r="119" spans="1:7" x14ac:dyDescent="0.3">
      <c r="A119" s="5">
        <v>41425</v>
      </c>
      <c r="B119" s="4">
        <f t="shared" si="1"/>
        <v>5.5577621835849369</v>
      </c>
      <c r="C119" s="6">
        <v>169.13399999999999</v>
      </c>
      <c r="F119" s="5">
        <v>41394</v>
      </c>
      <c r="G119">
        <v>0.11600000000000001</v>
      </c>
    </row>
    <row r="120" spans="1:7" x14ac:dyDescent="0.3">
      <c r="A120" s="5">
        <v>41453</v>
      </c>
      <c r="B120" s="4">
        <f t="shared" si="1"/>
        <v>-13.009286592287754</v>
      </c>
      <c r="C120" s="6">
        <v>147.14680000000001</v>
      </c>
      <c r="F120" s="5">
        <v>41425</v>
      </c>
      <c r="G120">
        <v>0.113</v>
      </c>
    </row>
    <row r="121" spans="1:7" x14ac:dyDescent="0.3">
      <c r="A121" s="5">
        <v>41486</v>
      </c>
      <c r="B121" s="4">
        <f t="shared" si="1"/>
        <v>12.95523565679532</v>
      </c>
      <c r="C121" s="6">
        <v>166.22559999999999</v>
      </c>
      <c r="F121" s="5">
        <v>41453</v>
      </c>
      <c r="G121">
        <v>0.123</v>
      </c>
    </row>
    <row r="122" spans="1:7" x14ac:dyDescent="0.3">
      <c r="A122" s="5">
        <v>41516</v>
      </c>
      <c r="B122" s="4">
        <f t="shared" si="1"/>
        <v>2.5460872626385118</v>
      </c>
      <c r="C122" s="6">
        <v>170.47659999999999</v>
      </c>
      <c r="F122" s="5">
        <v>41486</v>
      </c>
      <c r="G122">
        <v>0.13100000000000001</v>
      </c>
    </row>
    <row r="123" spans="1:7" x14ac:dyDescent="0.3">
      <c r="A123" s="5">
        <v>41547</v>
      </c>
      <c r="B123" s="4">
        <f t="shared" si="1"/>
        <v>8.2984255701369065</v>
      </c>
      <c r="C123" s="6">
        <v>184.64179999999999</v>
      </c>
      <c r="F123" s="5">
        <v>41516</v>
      </c>
      <c r="G123">
        <v>0.129</v>
      </c>
    </row>
    <row r="124" spans="1:7" x14ac:dyDescent="0.3">
      <c r="A124" s="5">
        <v>41578</v>
      </c>
      <c r="B124" s="4">
        <f t="shared" si="1"/>
        <v>11.349298138606169</v>
      </c>
      <c r="C124" s="6">
        <v>205.61770000000001</v>
      </c>
      <c r="F124" s="5">
        <v>41547</v>
      </c>
      <c r="G124">
        <v>0.128</v>
      </c>
    </row>
    <row r="125" spans="1:7" x14ac:dyDescent="0.3">
      <c r="A125" s="5">
        <v>41607</v>
      </c>
      <c r="B125" s="4">
        <f t="shared" si="1"/>
        <v>0.47818098790455721</v>
      </c>
      <c r="C125" s="6">
        <v>206.6232</v>
      </c>
      <c r="F125" s="5">
        <v>41578</v>
      </c>
      <c r="G125">
        <v>0.13</v>
      </c>
    </row>
    <row r="126" spans="1:7" x14ac:dyDescent="0.3">
      <c r="A126" s="5">
        <v>41639</v>
      </c>
      <c r="B126" s="4">
        <f t="shared" si="1"/>
        <v>0.87742536243105718</v>
      </c>
      <c r="C126" s="6">
        <v>208.4657</v>
      </c>
      <c r="F126" s="5">
        <v>41607</v>
      </c>
      <c r="G126">
        <v>0.16600000000000001</v>
      </c>
    </row>
    <row r="127" spans="1:7" x14ac:dyDescent="0.3">
      <c r="A127" s="5">
        <v>41670</v>
      </c>
      <c r="B127" s="4">
        <f t="shared" si="1"/>
        <v>3.5204954003464479</v>
      </c>
      <c r="C127" s="6">
        <v>215.84350000000001</v>
      </c>
      <c r="F127" s="5">
        <v>41639</v>
      </c>
      <c r="G127">
        <v>0.216</v>
      </c>
    </row>
    <row r="128" spans="1:7" x14ac:dyDescent="0.3">
      <c r="A128" s="5">
        <v>41698</v>
      </c>
      <c r="B128" s="4">
        <f t="shared" si="1"/>
        <v>5.741422834651539</v>
      </c>
      <c r="C128" s="6">
        <v>228.27459999999999</v>
      </c>
      <c r="F128" s="5">
        <v>41670</v>
      </c>
      <c r="G128">
        <v>0.23</v>
      </c>
    </row>
    <row r="129" spans="1:7" x14ac:dyDescent="0.3">
      <c r="A129" s="5">
        <v>41729</v>
      </c>
      <c r="B129" s="4">
        <f t="shared" si="1"/>
        <v>0.89950777914455582</v>
      </c>
      <c r="C129" s="6">
        <v>230.3708</v>
      </c>
      <c r="F129" s="5">
        <v>41698</v>
      </c>
      <c r="G129">
        <v>0.218</v>
      </c>
    </row>
    <row r="130" spans="1:7" x14ac:dyDescent="0.3">
      <c r="A130" s="5">
        <v>41759</v>
      </c>
      <c r="B130" s="4">
        <f t="shared" si="1"/>
        <v>-0.43212865215556501</v>
      </c>
      <c r="C130" s="6">
        <v>229.42080000000001</v>
      </c>
      <c r="F130" s="5">
        <v>41729</v>
      </c>
      <c r="G130">
        <v>0.23699999999999999</v>
      </c>
    </row>
    <row r="131" spans="1:7" x14ac:dyDescent="0.3">
      <c r="A131" s="5">
        <v>41789</v>
      </c>
      <c r="B131" s="4">
        <f t="shared" si="1"/>
        <v>0.7552661638351772</v>
      </c>
      <c r="C131" s="6">
        <v>231.20509999999999</v>
      </c>
      <c r="F131" s="5">
        <v>41759</v>
      </c>
      <c r="G131">
        <v>0.26100000000000001</v>
      </c>
    </row>
    <row r="132" spans="1:7" x14ac:dyDescent="0.3">
      <c r="A132" s="5">
        <v>41820</v>
      </c>
      <c r="B132" s="4">
        <f t="shared" si="1"/>
        <v>-4.482366695234381</v>
      </c>
      <c r="C132" s="6">
        <v>220.89</v>
      </c>
      <c r="F132" s="5">
        <v>41789</v>
      </c>
      <c r="G132">
        <v>0.251</v>
      </c>
    </row>
    <row r="133" spans="1:7" x14ac:dyDescent="0.3">
      <c r="A133" s="5">
        <v>41851</v>
      </c>
      <c r="B133" s="4">
        <f t="shared" si="1"/>
        <v>-1.3722354441124425</v>
      </c>
      <c r="C133" s="6">
        <v>217.8777</v>
      </c>
      <c r="F133" s="5">
        <v>41820</v>
      </c>
      <c r="G133">
        <v>9.9000000000000005E-2</v>
      </c>
    </row>
    <row r="134" spans="1:7" x14ac:dyDescent="0.3">
      <c r="A134" s="5">
        <v>41880</v>
      </c>
      <c r="B134" s="4">
        <f t="shared" si="1"/>
        <v>1.5395396330066544</v>
      </c>
      <c r="C134" s="6">
        <v>221.25040000000001</v>
      </c>
      <c r="F134" s="5">
        <v>41851</v>
      </c>
      <c r="G134">
        <v>9.8000000000000004E-2</v>
      </c>
    </row>
    <row r="135" spans="1:7" x14ac:dyDescent="0.3">
      <c r="A135" s="5">
        <v>41912</v>
      </c>
      <c r="B135" s="4">
        <f t="shared" si="1"/>
        <v>2.3133277285223772</v>
      </c>
      <c r="C135" s="6">
        <v>226.381</v>
      </c>
      <c r="F135" s="5">
        <v>41880</v>
      </c>
      <c r="G135">
        <v>6.7000000000000004E-2</v>
      </c>
    </row>
    <row r="136" spans="1:7" x14ac:dyDescent="0.3">
      <c r="A136" s="5">
        <v>41943</v>
      </c>
      <c r="B136" s="4">
        <f t="shared" si="1"/>
        <v>-5.0760728923191918</v>
      </c>
      <c r="C136" s="6">
        <v>214.89109999999999</v>
      </c>
      <c r="F136" s="5">
        <v>41912</v>
      </c>
      <c r="G136">
        <v>7.0000000000000001E-3</v>
      </c>
    </row>
    <row r="137" spans="1:7" x14ac:dyDescent="0.3">
      <c r="A137" s="5">
        <v>41971</v>
      </c>
      <c r="B137" s="4">
        <f t="shared" ref="B137:B200" si="2">((C137/C136)-1)*100 - _xlfn.XLOOKUP(A136,$F:$F,$G:$G)*(DAY(EOMONTH(A137,0))/360)</f>
        <v>2.2984242906445793</v>
      </c>
      <c r="C137" s="6">
        <v>219.83199999999999</v>
      </c>
      <c r="F137" s="5">
        <v>41943</v>
      </c>
      <c r="G137">
        <v>0.01</v>
      </c>
    </row>
    <row r="138" spans="1:7" x14ac:dyDescent="0.3">
      <c r="A138" s="5">
        <v>42004</v>
      </c>
      <c r="B138" s="4">
        <f t="shared" si="2"/>
        <v>-6.6779568013553776</v>
      </c>
      <c r="C138" s="6">
        <v>205.15549999999999</v>
      </c>
      <c r="F138" s="5">
        <v>41971</v>
      </c>
      <c r="G138">
        <v>0.02</v>
      </c>
    </row>
    <row r="139" spans="1:7" x14ac:dyDescent="0.3">
      <c r="A139" s="5">
        <v>42034</v>
      </c>
      <c r="B139" s="4">
        <f t="shared" si="2"/>
        <v>-3.2727759724940295</v>
      </c>
      <c r="C139" s="6">
        <v>198.4444</v>
      </c>
      <c r="F139" s="5">
        <v>42004</v>
      </c>
      <c r="G139">
        <v>1.7999999999999999E-2</v>
      </c>
    </row>
    <row r="140" spans="1:7" x14ac:dyDescent="0.3">
      <c r="A140" s="5">
        <v>42062</v>
      </c>
      <c r="B140" s="4">
        <f t="shared" si="2"/>
        <v>14.694718346476684</v>
      </c>
      <c r="C140" s="6">
        <v>227.6054</v>
      </c>
      <c r="F140" s="5">
        <v>42034</v>
      </c>
      <c r="G140">
        <v>1E-3</v>
      </c>
    </row>
    <row r="141" spans="1:7" x14ac:dyDescent="0.3">
      <c r="A141" s="5">
        <v>42094</v>
      </c>
      <c r="B141" s="4">
        <f t="shared" si="2"/>
        <v>6.2603874810063607</v>
      </c>
      <c r="C141" s="6">
        <v>241.85339999999999</v>
      </c>
      <c r="F141" s="5">
        <v>42062</v>
      </c>
      <c r="G141">
        <v>-5.0000000000000001E-3</v>
      </c>
    </row>
    <row r="142" spans="1:7" x14ac:dyDescent="0.3">
      <c r="A142" s="5">
        <v>42124</v>
      </c>
      <c r="B142" s="4">
        <f t="shared" si="2"/>
        <v>-1.6747239577777211</v>
      </c>
      <c r="C142" s="6">
        <v>237.8</v>
      </c>
      <c r="F142" s="5">
        <v>42094</v>
      </c>
      <c r="G142">
        <v>-1.4999999999999999E-2</v>
      </c>
    </row>
    <row r="143" spans="1:7" x14ac:dyDescent="0.3">
      <c r="A143" s="5">
        <v>42153</v>
      </c>
      <c r="B143" s="4">
        <f t="shared" si="2"/>
        <v>0.90874301467151997</v>
      </c>
      <c r="C143" s="6">
        <v>239.9528</v>
      </c>
      <c r="F143" s="5">
        <v>42124</v>
      </c>
      <c r="G143">
        <v>-0.04</v>
      </c>
    </row>
    <row r="144" spans="1:7" x14ac:dyDescent="0.3">
      <c r="A144" s="5">
        <v>42185</v>
      </c>
      <c r="B144" s="4">
        <f t="shared" si="2"/>
        <v>-2.5266645443048232</v>
      </c>
      <c r="C144" s="6">
        <v>233.87819999999999</v>
      </c>
      <c r="F144" s="5">
        <v>42153</v>
      </c>
      <c r="G144">
        <v>-5.8999999999999997E-2</v>
      </c>
    </row>
    <row r="145" spans="1:7" x14ac:dyDescent="0.3">
      <c r="A145" s="5">
        <v>42216</v>
      </c>
      <c r="B145" s="4">
        <f t="shared" si="2"/>
        <v>5.2800942060725156</v>
      </c>
      <c r="C145" s="6">
        <v>246.21430000000001</v>
      </c>
      <c r="F145" s="5">
        <v>42185</v>
      </c>
      <c r="G145">
        <v>-6.4000000000000001E-2</v>
      </c>
    </row>
    <row r="146" spans="1:7" x14ac:dyDescent="0.3">
      <c r="A146" s="5">
        <v>42247</v>
      </c>
      <c r="B146" s="4">
        <f t="shared" si="2"/>
        <v>-9.124083637624496</v>
      </c>
      <c r="C146" s="6">
        <v>223.7336</v>
      </c>
      <c r="F146" s="5">
        <v>42216</v>
      </c>
      <c r="G146">
        <v>-7.4999999999999997E-2</v>
      </c>
    </row>
    <row r="147" spans="1:7" x14ac:dyDescent="0.3">
      <c r="A147" s="5">
        <v>42277</v>
      </c>
      <c r="B147" s="4">
        <f t="shared" si="2"/>
        <v>-8.0253160109463586</v>
      </c>
      <c r="C147" s="6">
        <v>205.76</v>
      </c>
      <c r="F147" s="5">
        <v>42247</v>
      </c>
      <c r="G147">
        <v>-9.8000000000000004E-2</v>
      </c>
    </row>
    <row r="148" spans="1:7" x14ac:dyDescent="0.3">
      <c r="A148" s="5">
        <v>42307</v>
      </c>
      <c r="B148" s="4">
        <f t="shared" si="2"/>
        <v>5.0794234015897795</v>
      </c>
      <c r="C148" s="6">
        <v>216.19139999999999</v>
      </c>
      <c r="F148" s="5">
        <v>42277</v>
      </c>
      <c r="G148">
        <v>-0.113</v>
      </c>
    </row>
    <row r="149" spans="1:7" x14ac:dyDescent="0.3">
      <c r="A149" s="5">
        <v>42338</v>
      </c>
      <c r="B149" s="4">
        <f t="shared" si="2"/>
        <v>0.29332294462222241</v>
      </c>
      <c r="C149" s="6">
        <v>216.80410000000001</v>
      </c>
      <c r="F149" s="5">
        <v>42307</v>
      </c>
      <c r="G149">
        <v>-0.11899999999999999</v>
      </c>
    </row>
    <row r="150" spans="1:7" x14ac:dyDescent="0.3">
      <c r="A150" s="5">
        <v>42369</v>
      </c>
      <c r="B150" s="4">
        <f t="shared" si="2"/>
        <v>-7.308737482579641</v>
      </c>
      <c r="C150" s="6">
        <v>200.92840000000001</v>
      </c>
      <c r="F150" s="5">
        <v>42338</v>
      </c>
      <c r="G150">
        <v>-0.161</v>
      </c>
    </row>
    <row r="151" spans="1:7" x14ac:dyDescent="0.3">
      <c r="A151" s="5">
        <v>42398</v>
      </c>
      <c r="B151" s="4">
        <f t="shared" si="2"/>
        <v>-16.701337668570282</v>
      </c>
      <c r="C151" s="6">
        <v>167.33519999999999</v>
      </c>
      <c r="F151" s="5">
        <v>42369</v>
      </c>
      <c r="G151">
        <v>-0.20499999999999999</v>
      </c>
    </row>
    <row r="152" spans="1:7" x14ac:dyDescent="0.3">
      <c r="A152" s="5">
        <v>42429</v>
      </c>
      <c r="B152" s="4">
        <f t="shared" si="2"/>
        <v>-4.470984768177872</v>
      </c>
      <c r="C152" s="6">
        <v>159.8228</v>
      </c>
      <c r="F152" s="5">
        <v>42398</v>
      </c>
      <c r="G152">
        <v>-0.22900000000000001</v>
      </c>
    </row>
    <row r="153" spans="1:7" x14ac:dyDescent="0.3">
      <c r="A153" s="5">
        <v>42460</v>
      </c>
      <c r="B153" s="4">
        <f t="shared" si="2"/>
        <v>7.4439113227620479E-2</v>
      </c>
      <c r="C153" s="6">
        <v>159.90530000000001</v>
      </c>
      <c r="F153" s="5">
        <v>42429</v>
      </c>
      <c r="G153">
        <v>-0.26500000000000001</v>
      </c>
    </row>
    <row r="154" spans="1:7" x14ac:dyDescent="0.3">
      <c r="A154" s="5">
        <v>42489</v>
      </c>
      <c r="B154" s="4">
        <f t="shared" si="2"/>
        <v>6.8044692547192875</v>
      </c>
      <c r="C154" s="6">
        <v>170.7415</v>
      </c>
      <c r="F154" s="5">
        <v>42460</v>
      </c>
      <c r="G154">
        <v>-0.33400000000000002</v>
      </c>
    </row>
    <row r="155" spans="1:7" x14ac:dyDescent="0.3">
      <c r="A155" s="5">
        <v>42521</v>
      </c>
      <c r="B155" s="4">
        <f t="shared" si="2"/>
        <v>0.43667030367868476</v>
      </c>
      <c r="C155" s="6">
        <v>171.4365</v>
      </c>
      <c r="F155" s="5">
        <v>42489</v>
      </c>
      <c r="G155">
        <v>-0.34399999999999997</v>
      </c>
    </row>
    <row r="156" spans="1:7" x14ac:dyDescent="0.3">
      <c r="A156" s="5">
        <v>42551</v>
      </c>
      <c r="B156" s="4">
        <f t="shared" si="2"/>
        <v>-21.00867700358441</v>
      </c>
      <c r="C156" s="6">
        <v>135.37010000000001</v>
      </c>
      <c r="F156" s="5">
        <v>42521</v>
      </c>
      <c r="G156">
        <v>-0.34899999999999998</v>
      </c>
    </row>
    <row r="157" spans="1:7" x14ac:dyDescent="0.3">
      <c r="A157" s="5">
        <v>42580</v>
      </c>
      <c r="B157" s="4">
        <f t="shared" si="2"/>
        <v>9.0784678490958353</v>
      </c>
      <c r="C157" s="6">
        <v>147.6172</v>
      </c>
      <c r="F157" s="5">
        <v>42551</v>
      </c>
      <c r="G157">
        <v>-0.36399999999999999</v>
      </c>
    </row>
    <row r="158" spans="1:7" x14ac:dyDescent="0.3">
      <c r="A158" s="5">
        <v>42613</v>
      </c>
      <c r="B158" s="4">
        <f t="shared" si="2"/>
        <v>6.7279149007854198</v>
      </c>
      <c r="C158" s="6">
        <v>157.5016</v>
      </c>
      <c r="F158" s="5">
        <v>42580</v>
      </c>
      <c r="G158">
        <v>-0.371</v>
      </c>
    </row>
    <row r="159" spans="1:7" x14ac:dyDescent="0.3">
      <c r="A159" s="5">
        <v>42643</v>
      </c>
      <c r="B159" s="4">
        <f t="shared" si="2"/>
        <v>-3.733469694276129</v>
      </c>
      <c r="C159" s="6">
        <v>151.57249999999999</v>
      </c>
      <c r="F159" s="5">
        <v>42613</v>
      </c>
      <c r="G159">
        <v>-0.372</v>
      </c>
    </row>
    <row r="160" spans="1:7" x14ac:dyDescent="0.3">
      <c r="A160" s="5">
        <v>42674</v>
      </c>
      <c r="B160" s="4">
        <f t="shared" si="2"/>
        <v>13.210657080540859</v>
      </c>
      <c r="C160" s="6">
        <v>171.5478</v>
      </c>
      <c r="F160" s="5">
        <v>42643</v>
      </c>
      <c r="G160">
        <v>-0.371</v>
      </c>
    </row>
    <row r="161" spans="1:7" x14ac:dyDescent="0.3">
      <c r="A161" s="5">
        <v>42704</v>
      </c>
      <c r="B161" s="4">
        <f t="shared" si="2"/>
        <v>0.66977240046215092</v>
      </c>
      <c r="C161" s="6">
        <v>172.64359999999999</v>
      </c>
      <c r="F161" s="5">
        <v>42674</v>
      </c>
      <c r="G161">
        <v>-0.372</v>
      </c>
    </row>
    <row r="162" spans="1:7" x14ac:dyDescent="0.3">
      <c r="A162" s="5">
        <v>42734</v>
      </c>
      <c r="B162" s="4">
        <f t="shared" si="2"/>
        <v>12.207810483485433</v>
      </c>
      <c r="C162" s="6">
        <v>193.6643</v>
      </c>
      <c r="F162" s="5">
        <v>42704</v>
      </c>
      <c r="G162">
        <v>-0.372</v>
      </c>
    </row>
    <row r="163" spans="1:7" x14ac:dyDescent="0.3">
      <c r="A163" s="5">
        <v>42766</v>
      </c>
      <c r="B163" s="4">
        <f t="shared" si="2"/>
        <v>0.49011101418507619</v>
      </c>
      <c r="C163" s="6">
        <v>194.5521</v>
      </c>
      <c r="F163" s="5">
        <v>42734</v>
      </c>
      <c r="G163">
        <v>-0.36799999999999999</v>
      </c>
    </row>
    <row r="164" spans="1:7" x14ac:dyDescent="0.3">
      <c r="A164" s="5">
        <v>42794</v>
      </c>
      <c r="B164" s="4">
        <f t="shared" si="2"/>
        <v>-3.3561239341029978</v>
      </c>
      <c r="C164" s="6">
        <v>187.96639999999999</v>
      </c>
      <c r="F164" s="5">
        <v>42766</v>
      </c>
      <c r="G164">
        <v>-0.372</v>
      </c>
    </row>
    <row r="165" spans="1:7" x14ac:dyDescent="0.3">
      <c r="A165" s="5">
        <v>42825</v>
      </c>
      <c r="B165" s="4">
        <f t="shared" si="2"/>
        <v>12.042391642075994</v>
      </c>
      <c r="C165" s="6">
        <v>210.542</v>
      </c>
      <c r="F165" s="5">
        <v>42794</v>
      </c>
      <c r="G165">
        <v>-0.371</v>
      </c>
    </row>
    <row r="166" spans="1:7" x14ac:dyDescent="0.3">
      <c r="A166" s="5">
        <v>42853</v>
      </c>
      <c r="B166" s="4">
        <f t="shared" si="2"/>
        <v>4.3743022635230293</v>
      </c>
      <c r="C166" s="6">
        <v>219.68629999999999</v>
      </c>
      <c r="F166" s="5">
        <v>42825</v>
      </c>
      <c r="G166">
        <v>-0.373</v>
      </c>
    </row>
    <row r="167" spans="1:7" x14ac:dyDescent="0.3">
      <c r="A167" s="5">
        <v>42886</v>
      </c>
      <c r="B167" s="4">
        <f t="shared" si="2"/>
        <v>-7.9999893760127658E-2</v>
      </c>
      <c r="C167" s="6">
        <v>219.43979999999999</v>
      </c>
      <c r="F167" s="5">
        <v>42853</v>
      </c>
      <c r="G167">
        <v>-0.374</v>
      </c>
    </row>
    <row r="168" spans="1:7" x14ac:dyDescent="0.3">
      <c r="A168" s="5">
        <v>42916</v>
      </c>
      <c r="B168" s="4">
        <f t="shared" si="2"/>
        <v>1.2424328089070524</v>
      </c>
      <c r="C168" s="6">
        <v>222.09780000000001</v>
      </c>
      <c r="F168" s="5">
        <v>42886</v>
      </c>
      <c r="G168">
        <v>-0.374</v>
      </c>
    </row>
    <row r="169" spans="1:7" x14ac:dyDescent="0.3">
      <c r="A169" s="5">
        <v>42947</v>
      </c>
      <c r="B169" s="4">
        <f t="shared" si="2"/>
        <v>3.7146412884248798</v>
      </c>
      <c r="C169" s="6">
        <v>230.2766</v>
      </c>
      <c r="F169" s="5">
        <v>42916</v>
      </c>
      <c r="G169">
        <v>-0.373</v>
      </c>
    </row>
    <row r="170" spans="1:7" x14ac:dyDescent="0.3">
      <c r="A170" s="5">
        <v>42978</v>
      </c>
      <c r="B170" s="4">
        <f t="shared" si="2"/>
        <v>-2.9666198461376947</v>
      </c>
      <c r="C170" s="6">
        <v>223.37180000000001</v>
      </c>
      <c r="F170" s="5">
        <v>42947</v>
      </c>
      <c r="G170">
        <v>-0.37</v>
      </c>
    </row>
    <row r="171" spans="1:7" x14ac:dyDescent="0.3">
      <c r="A171" s="5">
        <v>43007</v>
      </c>
      <c r="B171" s="4">
        <f t="shared" si="2"/>
        <v>5.3344385464801984</v>
      </c>
      <c r="C171" s="6">
        <v>235.21799999999999</v>
      </c>
      <c r="F171" s="5">
        <v>42978</v>
      </c>
      <c r="G171">
        <v>-0.373</v>
      </c>
    </row>
    <row r="172" spans="1:7" x14ac:dyDescent="0.3">
      <c r="A172" s="5">
        <v>43039</v>
      </c>
      <c r="B172" s="4">
        <f t="shared" si="2"/>
        <v>-1.6899437262454386</v>
      </c>
      <c r="C172" s="6">
        <v>231.16759999999999</v>
      </c>
      <c r="F172" s="5">
        <v>43007</v>
      </c>
      <c r="G172">
        <v>-0.372</v>
      </c>
    </row>
    <row r="173" spans="1:7" x14ac:dyDescent="0.3">
      <c r="A173" s="5">
        <v>43069</v>
      </c>
      <c r="B173" s="4">
        <f t="shared" si="2"/>
        <v>-2.4258754444826978</v>
      </c>
      <c r="C173" s="6">
        <v>225.4881</v>
      </c>
      <c r="F173" s="5">
        <v>43039</v>
      </c>
      <c r="G173">
        <v>-0.372</v>
      </c>
    </row>
    <row r="174" spans="1:7" x14ac:dyDescent="0.3">
      <c r="A174" s="5">
        <v>43098</v>
      </c>
      <c r="B174" s="4">
        <f t="shared" si="2"/>
        <v>-1.2344167233695864</v>
      </c>
      <c r="C174" s="6">
        <v>222.6326</v>
      </c>
      <c r="F174" s="5">
        <v>43069</v>
      </c>
      <c r="G174">
        <v>-0.371</v>
      </c>
    </row>
    <row r="175" spans="1:7" x14ac:dyDescent="0.3">
      <c r="A175" s="5">
        <v>43131</v>
      </c>
      <c r="B175" s="4">
        <f t="shared" si="2"/>
        <v>8.1486492981011924</v>
      </c>
      <c r="C175" s="6">
        <v>240.70359999999999</v>
      </c>
      <c r="F175" s="5">
        <v>43098</v>
      </c>
      <c r="G175">
        <v>-0.36799999999999999</v>
      </c>
    </row>
    <row r="176" spans="1:7" x14ac:dyDescent="0.3">
      <c r="A176" s="5">
        <v>43159</v>
      </c>
      <c r="B176" s="4">
        <f t="shared" si="2"/>
        <v>-4.394748589883994</v>
      </c>
      <c r="C176" s="6">
        <v>230.05619999999999</v>
      </c>
      <c r="F176" s="5">
        <v>43131</v>
      </c>
      <c r="G176">
        <v>-0.36899999999999999</v>
      </c>
    </row>
    <row r="177" spans="1:7" x14ac:dyDescent="0.3">
      <c r="A177" s="5">
        <v>43189</v>
      </c>
      <c r="B177" s="4">
        <f t="shared" si="2"/>
        <v>-6.5673959399920472</v>
      </c>
      <c r="C177" s="6">
        <v>214.8742</v>
      </c>
      <c r="F177" s="5">
        <v>43159</v>
      </c>
      <c r="G177">
        <v>-0.37</v>
      </c>
    </row>
    <row r="178" spans="1:7" x14ac:dyDescent="0.3">
      <c r="A178" s="5">
        <v>43220</v>
      </c>
      <c r="B178" s="4">
        <f t="shared" si="2"/>
        <v>4.5181371248851541</v>
      </c>
      <c r="C178" s="6">
        <v>224.51589999999999</v>
      </c>
      <c r="F178" s="5">
        <v>43189</v>
      </c>
      <c r="G178">
        <v>-0.372</v>
      </c>
    </row>
    <row r="179" spans="1:7" x14ac:dyDescent="0.3">
      <c r="A179" s="5">
        <v>43251</v>
      </c>
      <c r="B179" s="4">
        <f t="shared" si="2"/>
        <v>-13.262033293188932</v>
      </c>
      <c r="C179" s="6">
        <v>194.6688</v>
      </c>
      <c r="F179" s="5">
        <v>43220</v>
      </c>
      <c r="G179">
        <v>-0.371</v>
      </c>
    </row>
    <row r="180" spans="1:7" x14ac:dyDescent="0.3">
      <c r="A180" s="5">
        <v>43280</v>
      </c>
      <c r="B180" s="4">
        <f t="shared" si="2"/>
        <v>0.16667316796529058</v>
      </c>
      <c r="C180" s="6">
        <v>194.93340000000001</v>
      </c>
      <c r="F180" s="5">
        <v>43251</v>
      </c>
      <c r="G180">
        <v>-0.36899999999999999</v>
      </c>
    </row>
    <row r="181" spans="1:7" x14ac:dyDescent="0.3">
      <c r="A181" s="5">
        <v>43312</v>
      </c>
      <c r="B181" s="4">
        <f t="shared" si="2"/>
        <v>5.9449062844882734</v>
      </c>
      <c r="C181" s="6">
        <v>206.4599</v>
      </c>
      <c r="F181" s="5">
        <v>43280</v>
      </c>
      <c r="G181">
        <v>-0.37</v>
      </c>
    </row>
    <row r="182" spans="1:7" x14ac:dyDescent="0.3">
      <c r="A182" s="5">
        <v>43343</v>
      </c>
      <c r="B182" s="4">
        <f t="shared" si="2"/>
        <v>-10.503733348110213</v>
      </c>
      <c r="C182" s="6">
        <v>184.70830000000001</v>
      </c>
      <c r="F182" s="5">
        <v>43312</v>
      </c>
      <c r="G182">
        <v>-0.36899999999999999</v>
      </c>
    </row>
    <row r="183" spans="1:7" x14ac:dyDescent="0.3">
      <c r="A183" s="5">
        <v>43371</v>
      </c>
      <c r="B183" s="4">
        <f t="shared" si="2"/>
        <v>2.334165710068246</v>
      </c>
      <c r="C183" s="6">
        <v>188.96289999999999</v>
      </c>
      <c r="F183" s="5">
        <v>43343</v>
      </c>
      <c r="G183">
        <v>-0.36899999999999999</v>
      </c>
    </row>
    <row r="184" spans="1:7" x14ac:dyDescent="0.3">
      <c r="A184" s="5">
        <v>43404</v>
      </c>
      <c r="B184" s="4">
        <f t="shared" si="2"/>
        <v>-8.775654693286068</v>
      </c>
      <c r="C184" s="6">
        <v>172.31979999999999</v>
      </c>
      <c r="F184" s="5">
        <v>43371</v>
      </c>
      <c r="G184">
        <v>-0.371</v>
      </c>
    </row>
    <row r="185" spans="1:7" x14ac:dyDescent="0.3">
      <c r="A185" s="5">
        <v>43434</v>
      </c>
      <c r="B185" s="4">
        <f t="shared" si="2"/>
        <v>0.18435974188689536</v>
      </c>
      <c r="C185" s="6">
        <v>172.58449999999999</v>
      </c>
      <c r="F185" s="5">
        <v>43404</v>
      </c>
      <c r="G185">
        <v>-0.36899999999999999</v>
      </c>
    </row>
    <row r="186" spans="1:7" x14ac:dyDescent="0.3">
      <c r="A186" s="5">
        <v>43465</v>
      </c>
      <c r="B186" s="4">
        <f t="shared" si="2"/>
        <v>-10.059425898360244</v>
      </c>
      <c r="C186" s="6">
        <v>155.1688</v>
      </c>
      <c r="F186" s="5">
        <v>43434</v>
      </c>
      <c r="G186">
        <v>-0.36799999999999999</v>
      </c>
    </row>
    <row r="187" spans="1:7" x14ac:dyDescent="0.3">
      <c r="A187" s="5">
        <v>43496</v>
      </c>
      <c r="B187" s="4">
        <f t="shared" si="2"/>
        <v>5.0305236495566783</v>
      </c>
      <c r="C187" s="6">
        <v>162.92609999999999</v>
      </c>
      <c r="F187" s="5">
        <v>43465</v>
      </c>
      <c r="G187">
        <v>-0.36299999999999999</v>
      </c>
    </row>
    <row r="188" spans="1:7" x14ac:dyDescent="0.3">
      <c r="A188" s="5">
        <v>43524</v>
      </c>
      <c r="B188" s="4">
        <f t="shared" si="2"/>
        <v>7.7302120841289437</v>
      </c>
      <c r="C188" s="6">
        <v>175.47399999999999</v>
      </c>
      <c r="F188" s="5">
        <v>43496</v>
      </c>
      <c r="G188">
        <v>-0.36799999999999999</v>
      </c>
    </row>
    <row r="189" spans="1:7" x14ac:dyDescent="0.3">
      <c r="A189" s="5">
        <v>43553</v>
      </c>
      <c r="B189" s="4">
        <f t="shared" si="2"/>
        <v>-4.9333201722825661</v>
      </c>
      <c r="C189" s="6">
        <v>166.76169999999999</v>
      </c>
      <c r="F189" s="5">
        <v>43524</v>
      </c>
      <c r="G189">
        <v>-0.36799999999999999</v>
      </c>
    </row>
    <row r="190" spans="1:7" x14ac:dyDescent="0.3">
      <c r="A190" s="5">
        <v>43585</v>
      </c>
      <c r="B190" s="4">
        <f t="shared" si="2"/>
        <v>9.4471939819415027</v>
      </c>
      <c r="C190" s="6">
        <v>182.465</v>
      </c>
      <c r="F190" s="5">
        <v>43553</v>
      </c>
      <c r="G190">
        <v>-0.36699999999999999</v>
      </c>
    </row>
    <row r="191" spans="1:7" x14ac:dyDescent="0.3">
      <c r="A191" s="5">
        <v>43616</v>
      </c>
      <c r="B191" s="4">
        <f t="shared" si="2"/>
        <v>-11.55023483491507</v>
      </c>
      <c r="C191" s="6">
        <v>161.3322</v>
      </c>
      <c r="F191" s="5">
        <v>43585</v>
      </c>
      <c r="G191">
        <v>-0.36699999999999999</v>
      </c>
    </row>
    <row r="192" spans="1:7" x14ac:dyDescent="0.3">
      <c r="A192" s="5">
        <v>43644</v>
      </c>
      <c r="B192" s="4">
        <f t="shared" si="2"/>
        <v>2.1431677265914595</v>
      </c>
      <c r="C192" s="6">
        <v>164.739</v>
      </c>
      <c r="F192" s="5">
        <v>43616</v>
      </c>
      <c r="G192">
        <v>-0.378</v>
      </c>
    </row>
    <row r="193" spans="1:7" x14ac:dyDescent="0.3">
      <c r="A193" s="5">
        <v>43677</v>
      </c>
      <c r="B193" s="4">
        <f t="shared" si="2"/>
        <v>-2.1562950301183528</v>
      </c>
      <c r="C193" s="6">
        <v>161.1317</v>
      </c>
      <c r="F193" s="5">
        <v>43644</v>
      </c>
      <c r="G193">
        <v>-0.38800000000000001</v>
      </c>
    </row>
    <row r="194" spans="1:7" x14ac:dyDescent="0.3">
      <c r="A194" s="5">
        <v>43707</v>
      </c>
      <c r="B194" s="4">
        <f t="shared" si="2"/>
        <v>-6.0802493236829767</v>
      </c>
      <c r="C194" s="6">
        <v>151.2801</v>
      </c>
      <c r="F194" s="5">
        <v>43677</v>
      </c>
      <c r="G194">
        <v>-0.39200000000000002</v>
      </c>
    </row>
    <row r="195" spans="1:7" x14ac:dyDescent="0.3">
      <c r="A195" s="5">
        <v>43738</v>
      </c>
      <c r="B195" s="4">
        <f t="shared" si="2"/>
        <v>8.7755299621364635</v>
      </c>
      <c r="C195" s="6">
        <v>164.50190000000001</v>
      </c>
      <c r="F195" s="5">
        <v>43707</v>
      </c>
      <c r="G195">
        <v>-0.42699999999999999</v>
      </c>
    </row>
    <row r="196" spans="1:7" x14ac:dyDescent="0.3">
      <c r="A196" s="5">
        <v>43769</v>
      </c>
      <c r="B196" s="4">
        <f t="shared" si="2"/>
        <v>3.1195603620062893</v>
      </c>
      <c r="C196" s="6">
        <v>169.56890000000001</v>
      </c>
      <c r="F196" s="5">
        <v>43738</v>
      </c>
      <c r="G196">
        <v>-0.45700000000000002</v>
      </c>
    </row>
    <row r="197" spans="1:7" x14ac:dyDescent="0.3">
      <c r="A197" s="5">
        <v>43798</v>
      </c>
      <c r="B197" s="4">
        <f t="shared" si="2"/>
        <v>3.8858253730980898</v>
      </c>
      <c r="C197" s="6">
        <v>176.09630000000001</v>
      </c>
      <c r="F197" s="5">
        <v>43769</v>
      </c>
      <c r="G197">
        <v>-0.437</v>
      </c>
    </row>
    <row r="198" spans="1:7" x14ac:dyDescent="0.3">
      <c r="A198" s="5">
        <v>43830</v>
      </c>
      <c r="B198" s="4">
        <f t="shared" si="2"/>
        <v>3.814030173264725</v>
      </c>
      <c r="C198" s="6">
        <v>182.74639999999999</v>
      </c>
      <c r="F198" s="5">
        <v>43798</v>
      </c>
      <c r="G198">
        <v>-0.437</v>
      </c>
    </row>
    <row r="199" spans="1:7" x14ac:dyDescent="0.3">
      <c r="A199" s="5">
        <v>43861</v>
      </c>
      <c r="B199" s="4">
        <f t="shared" si="2"/>
        <v>-5.4632945707639973</v>
      </c>
      <c r="C199" s="6">
        <v>172.6935</v>
      </c>
      <c r="F199" s="5">
        <v>43830</v>
      </c>
      <c r="G199">
        <v>-0.438</v>
      </c>
    </row>
    <row r="200" spans="1:7" x14ac:dyDescent="0.3">
      <c r="A200" s="5">
        <v>43889</v>
      </c>
      <c r="B200" s="4">
        <f t="shared" si="2"/>
        <v>-7.8307765778194733</v>
      </c>
      <c r="C200" s="6">
        <v>159.1071</v>
      </c>
      <c r="F200" s="5">
        <v>43861</v>
      </c>
      <c r="G200">
        <v>-0.45400000000000001</v>
      </c>
    </row>
    <row r="201" spans="1:7" x14ac:dyDescent="0.3">
      <c r="A201" s="5">
        <v>43921</v>
      </c>
      <c r="B201" s="4">
        <f t="shared" ref="B201:B264" si="3">((C201/C200)-1)*100 - _xlfn.XLOOKUP(A200,$F:$F,$G:$G)*(DAY(EOMONTH(A201,0))/360)</f>
        <v>-35.404981714120026</v>
      </c>
      <c r="C201" s="6">
        <v>102.7084</v>
      </c>
      <c r="F201" s="5">
        <v>43889</v>
      </c>
      <c r="G201">
        <v>-0.48799999999999999</v>
      </c>
    </row>
    <row r="202" spans="1:7" x14ac:dyDescent="0.3">
      <c r="A202" s="5">
        <v>43951</v>
      </c>
      <c r="B202" s="4">
        <f t="shared" si="3"/>
        <v>2.0810417755509758</v>
      </c>
      <c r="C202" s="6">
        <v>104.8096</v>
      </c>
      <c r="F202" s="5">
        <v>43921</v>
      </c>
      <c r="G202">
        <v>-0.42299999999999999</v>
      </c>
    </row>
    <row r="203" spans="1:7" x14ac:dyDescent="0.3">
      <c r="A203" s="5">
        <v>43980</v>
      </c>
      <c r="B203" s="4">
        <f t="shared" si="3"/>
        <v>4.3393126651672347</v>
      </c>
      <c r="C203" s="6">
        <v>109.31610000000001</v>
      </c>
      <c r="F203" s="5">
        <v>43951</v>
      </c>
      <c r="G203">
        <v>-0.46</v>
      </c>
    </row>
    <row r="204" spans="1:7" x14ac:dyDescent="0.3">
      <c r="A204" s="5">
        <v>44012</v>
      </c>
      <c r="B204" s="4">
        <f t="shared" si="3"/>
        <v>9.3113536190003092</v>
      </c>
      <c r="C204" s="6">
        <v>119.45099999999999</v>
      </c>
      <c r="F204" s="5">
        <v>43980</v>
      </c>
      <c r="G204">
        <v>-0.48199999999999998</v>
      </c>
    </row>
    <row r="205" spans="1:7" x14ac:dyDescent="0.3">
      <c r="A205" s="5">
        <v>44043</v>
      </c>
      <c r="B205" s="4">
        <f t="shared" si="3"/>
        <v>-6.5623068057194969</v>
      </c>
      <c r="C205" s="6">
        <v>111.5598</v>
      </c>
      <c r="F205" s="5">
        <v>44012</v>
      </c>
      <c r="G205">
        <v>-0.51</v>
      </c>
    </row>
    <row r="206" spans="1:7" x14ac:dyDescent="0.3">
      <c r="A206" s="5">
        <v>44074</v>
      </c>
      <c r="B206" s="4">
        <f t="shared" si="3"/>
        <v>5.4810902722127643</v>
      </c>
      <c r="C206" s="6">
        <v>117.6255</v>
      </c>
      <c r="F206" s="5">
        <v>44043</v>
      </c>
      <c r="G206">
        <v>-0.51</v>
      </c>
    </row>
    <row r="207" spans="1:7" x14ac:dyDescent="0.3">
      <c r="A207" s="5">
        <v>44104</v>
      </c>
      <c r="B207" s="4">
        <f t="shared" si="3"/>
        <v>-11.854345280147589</v>
      </c>
      <c r="C207" s="6">
        <v>103.6306</v>
      </c>
      <c r="F207" s="5">
        <v>44074</v>
      </c>
      <c r="G207">
        <v>-0.52200000000000002</v>
      </c>
    </row>
    <row r="208" spans="1:7" x14ac:dyDescent="0.3">
      <c r="A208" s="5">
        <v>44134</v>
      </c>
      <c r="B208" s="4">
        <f t="shared" si="3"/>
        <v>-1.9544356426308604</v>
      </c>
      <c r="C208" s="6">
        <v>101.55800000000001</v>
      </c>
      <c r="F208" s="5">
        <v>44104</v>
      </c>
      <c r="G208">
        <v>-0.52900000000000003</v>
      </c>
    </row>
    <row r="209" spans="1:7" x14ac:dyDescent="0.3">
      <c r="A209" s="5">
        <v>44165</v>
      </c>
      <c r="B209" s="4">
        <f t="shared" si="3"/>
        <v>38.353136289936124</v>
      </c>
      <c r="C209" s="6">
        <v>140.4623</v>
      </c>
      <c r="F209" s="5">
        <v>44134</v>
      </c>
      <c r="G209">
        <v>-0.54800000000000004</v>
      </c>
    </row>
    <row r="210" spans="1:7" x14ac:dyDescent="0.3">
      <c r="A210" s="5">
        <v>44196</v>
      </c>
      <c r="B210" s="4">
        <f t="shared" si="3"/>
        <v>-8.7891583991258598E-2</v>
      </c>
      <c r="C210" s="6">
        <v>140.2722</v>
      </c>
      <c r="F210" s="5">
        <v>44165</v>
      </c>
      <c r="G210">
        <v>-0.55100000000000005</v>
      </c>
    </row>
    <row r="211" spans="1:7" x14ac:dyDescent="0.3">
      <c r="A211" s="5">
        <v>44225</v>
      </c>
      <c r="B211" s="4">
        <f t="shared" si="3"/>
        <v>-4.5070102042314977</v>
      </c>
      <c r="C211" s="6">
        <v>133.88319999999999</v>
      </c>
      <c r="F211" s="5">
        <v>44196</v>
      </c>
      <c r="G211">
        <v>-0.55400000000000005</v>
      </c>
    </row>
    <row r="212" spans="1:7" x14ac:dyDescent="0.3">
      <c r="A212" s="5">
        <v>44253</v>
      </c>
      <c r="B212" s="4">
        <f t="shared" si="3"/>
        <v>19.345712544001881</v>
      </c>
      <c r="C212" s="6">
        <v>159.7244</v>
      </c>
      <c r="F212" s="5">
        <v>44225</v>
      </c>
      <c r="G212">
        <v>-0.57099999999999995</v>
      </c>
    </row>
    <row r="213" spans="1:7" x14ac:dyDescent="0.3">
      <c r="A213" s="5">
        <v>44286</v>
      </c>
      <c r="B213" s="4">
        <f t="shared" si="3"/>
        <v>5.0512223737818864</v>
      </c>
      <c r="C213" s="6">
        <v>167.71719999999999</v>
      </c>
      <c r="F213" s="5">
        <v>44253</v>
      </c>
      <c r="G213">
        <v>-0.54700000000000004</v>
      </c>
    </row>
    <row r="214" spans="1:7" x14ac:dyDescent="0.3">
      <c r="A214" s="5">
        <v>44316</v>
      </c>
      <c r="B214" s="4">
        <f t="shared" si="3"/>
        <v>4.7345227378786063</v>
      </c>
      <c r="C214" s="6">
        <v>175.58009999999999</v>
      </c>
      <c r="F214" s="5">
        <v>44286</v>
      </c>
      <c r="G214">
        <v>-0.55600000000000005</v>
      </c>
    </row>
    <row r="215" spans="1:7" x14ac:dyDescent="0.3">
      <c r="A215" s="5">
        <v>44347</v>
      </c>
      <c r="B215" s="4">
        <f t="shared" si="3"/>
        <v>7.6934480901309561</v>
      </c>
      <c r="C215" s="6">
        <v>189.0042</v>
      </c>
      <c r="F215" s="5">
        <v>44316</v>
      </c>
      <c r="G215">
        <v>-0.55600000000000005</v>
      </c>
    </row>
    <row r="216" spans="1:7" x14ac:dyDescent="0.3">
      <c r="A216" s="5">
        <v>44377</v>
      </c>
      <c r="B216" s="4">
        <f t="shared" si="3"/>
        <v>-4.3789638164125364</v>
      </c>
      <c r="C216" s="6">
        <v>180.63910000000001</v>
      </c>
      <c r="F216" s="5">
        <v>44347</v>
      </c>
      <c r="G216">
        <v>-0.56299999999999994</v>
      </c>
    </row>
    <row r="217" spans="1:7" x14ac:dyDescent="0.3">
      <c r="A217" s="5">
        <v>44407</v>
      </c>
      <c r="B217" s="4">
        <f t="shared" si="3"/>
        <v>-0.7944525070999543</v>
      </c>
      <c r="C217" s="6">
        <v>179.1155</v>
      </c>
      <c r="F217" s="5">
        <v>44377</v>
      </c>
      <c r="G217">
        <v>-0.56899999999999995</v>
      </c>
    </row>
    <row r="218" spans="1:7" x14ac:dyDescent="0.3">
      <c r="A218" s="5">
        <v>44439</v>
      </c>
      <c r="B218" s="4">
        <f t="shared" si="3"/>
        <v>4.2365158353439742</v>
      </c>
      <c r="C218" s="6">
        <v>186.61799999999999</v>
      </c>
      <c r="F218" s="5">
        <v>44407</v>
      </c>
      <c r="G218">
        <v>-0.55600000000000005</v>
      </c>
    </row>
    <row r="219" spans="1:7" x14ac:dyDescent="0.3">
      <c r="A219" s="5">
        <v>44469</v>
      </c>
      <c r="B219" s="4">
        <f t="shared" si="3"/>
        <v>4.1393409585356169</v>
      </c>
      <c r="C219" s="6">
        <v>194.25659999999999</v>
      </c>
      <c r="F219" s="5">
        <v>44439</v>
      </c>
      <c r="G219">
        <v>-0.55400000000000005</v>
      </c>
    </row>
    <row r="220" spans="1:7" x14ac:dyDescent="0.3">
      <c r="A220" s="5">
        <v>44498</v>
      </c>
      <c r="B220" s="4">
        <f t="shared" si="3"/>
        <v>4.249264467144668</v>
      </c>
      <c r="C220" s="6">
        <v>202.4169</v>
      </c>
      <c r="F220" s="5">
        <v>44469</v>
      </c>
      <c r="G220">
        <v>-0.56299999999999994</v>
      </c>
    </row>
    <row r="221" spans="1:7" x14ac:dyDescent="0.3">
      <c r="A221" s="5">
        <v>44530</v>
      </c>
      <c r="B221" s="4">
        <f t="shared" si="3"/>
        <v>-8.0572051159018816</v>
      </c>
      <c r="C221" s="6">
        <v>186.0138</v>
      </c>
      <c r="F221" s="5">
        <v>44498</v>
      </c>
      <c r="G221">
        <v>-0.55700000000000005</v>
      </c>
    </row>
    <row r="222" spans="1:7" x14ac:dyDescent="0.3">
      <c r="A222" s="5">
        <v>44561</v>
      </c>
      <c r="B222" s="4">
        <f t="shared" si="3"/>
        <v>7.135493051321995</v>
      </c>
      <c r="C222" s="6">
        <v>199.19550000000001</v>
      </c>
      <c r="F222" s="5">
        <v>44530</v>
      </c>
      <c r="G222">
        <v>-0.56999999999999995</v>
      </c>
    </row>
    <row r="223" spans="1:7" x14ac:dyDescent="0.3">
      <c r="A223" s="5">
        <v>44592</v>
      </c>
      <c r="B223" s="4">
        <f t="shared" si="3"/>
        <v>6.0338720875764338</v>
      </c>
      <c r="C223" s="6">
        <v>211.1147</v>
      </c>
      <c r="F223" s="5">
        <v>44561</v>
      </c>
      <c r="G223">
        <v>-0.58299999999999996</v>
      </c>
    </row>
    <row r="224" spans="1:7" x14ac:dyDescent="0.3">
      <c r="A224" s="5">
        <v>44620</v>
      </c>
      <c r="B224" s="4">
        <f t="shared" si="3"/>
        <v>-11.651532753190565</v>
      </c>
      <c r="C224" s="6">
        <v>186.42349999999999</v>
      </c>
      <c r="F224" s="5">
        <v>44592</v>
      </c>
      <c r="G224">
        <v>-0.56699999999999995</v>
      </c>
    </row>
    <row r="225" spans="1:7" x14ac:dyDescent="0.3">
      <c r="A225" s="5">
        <v>44651</v>
      </c>
      <c r="B225" s="4">
        <f t="shared" si="3"/>
        <v>-2.7485522091799406</v>
      </c>
      <c r="C225" s="6">
        <v>181.21109999999999</v>
      </c>
      <c r="F225" s="5">
        <v>44620</v>
      </c>
      <c r="G225">
        <v>-0.55100000000000005</v>
      </c>
    </row>
    <row r="226" spans="1:7" x14ac:dyDescent="0.3">
      <c r="A226" s="5">
        <v>44680</v>
      </c>
      <c r="B226" s="4">
        <f t="shared" si="3"/>
        <v>-3.356948376230819</v>
      </c>
      <c r="C226" s="6">
        <v>175.04759999999999</v>
      </c>
      <c r="F226" s="5">
        <v>44651</v>
      </c>
      <c r="G226">
        <v>-0.53200000000000003</v>
      </c>
    </row>
    <row r="227" spans="1:7" x14ac:dyDescent="0.3">
      <c r="A227" s="5">
        <v>44712</v>
      </c>
      <c r="B227" s="4">
        <f t="shared" si="3"/>
        <v>9.6950176198550295</v>
      </c>
      <c r="C227" s="6">
        <v>191.9374</v>
      </c>
      <c r="F227" s="5">
        <v>44680</v>
      </c>
      <c r="G227">
        <v>-0.53800000000000003</v>
      </c>
    </row>
    <row r="228" spans="1:7" x14ac:dyDescent="0.3">
      <c r="A228" s="5">
        <v>44742</v>
      </c>
      <c r="B228" s="4">
        <f t="shared" si="3"/>
        <v>-12.695841708286135</v>
      </c>
      <c r="C228" s="6">
        <v>167.482</v>
      </c>
      <c r="F228" s="5">
        <v>44712</v>
      </c>
      <c r="G228">
        <v>-0.54600000000000004</v>
      </c>
    </row>
    <row r="229" spans="1:7" x14ac:dyDescent="0.3">
      <c r="A229" s="5">
        <v>44771</v>
      </c>
      <c r="B229" s="4">
        <f t="shared" si="3"/>
        <v>1.8786538520227797E-2</v>
      </c>
      <c r="C229" s="6">
        <v>167.4402</v>
      </c>
      <c r="F229" s="5">
        <v>44742</v>
      </c>
      <c r="G229">
        <v>-0.50800000000000001</v>
      </c>
    </row>
    <row r="230" spans="1:7" x14ac:dyDescent="0.3">
      <c r="A230" s="5">
        <v>44804</v>
      </c>
      <c r="B230" s="4">
        <f t="shared" si="3"/>
        <v>-0.93362459685109378</v>
      </c>
      <c r="C230" s="6">
        <v>165.86670000000001</v>
      </c>
      <c r="F230" s="5">
        <v>44771</v>
      </c>
      <c r="G230">
        <v>-7.0999999999999994E-2</v>
      </c>
    </row>
    <row r="231" spans="1:7" x14ac:dyDescent="0.3">
      <c r="A231" s="5">
        <v>44834</v>
      </c>
      <c r="B231" s="4">
        <f t="shared" si="3"/>
        <v>-0.75391330357450148</v>
      </c>
      <c r="C231" s="6">
        <v>164.648</v>
      </c>
      <c r="F231" s="5">
        <v>44804</v>
      </c>
      <c r="G231">
        <v>0.23</v>
      </c>
    </row>
    <row r="232" spans="1:7" x14ac:dyDescent="0.3">
      <c r="A232" s="5">
        <v>44865</v>
      </c>
      <c r="B232" s="4">
        <f t="shared" si="3"/>
        <v>11.876264047611338</v>
      </c>
      <c r="C232" s="6">
        <v>184.29830000000001</v>
      </c>
      <c r="F232" s="5">
        <v>44834</v>
      </c>
      <c r="G232">
        <v>0.67900000000000005</v>
      </c>
    </row>
    <row r="233" spans="1:7" x14ac:dyDescent="0.3">
      <c r="A233" s="5">
        <v>44895</v>
      </c>
      <c r="B233" s="4">
        <f t="shared" si="3"/>
        <v>8.7895883241552681</v>
      </c>
      <c r="C233" s="6">
        <v>200.68979999999999</v>
      </c>
      <c r="F233" s="5">
        <v>44865</v>
      </c>
      <c r="G233">
        <v>1.2529999999999999</v>
      </c>
    </row>
    <row r="234" spans="1:7" x14ac:dyDescent="0.3">
      <c r="A234" s="5">
        <v>44925</v>
      </c>
      <c r="B234" s="4">
        <f t="shared" si="3"/>
        <v>0.89890063192052094</v>
      </c>
      <c r="C234" s="6">
        <v>202.7551</v>
      </c>
      <c r="F234" s="5">
        <v>44895</v>
      </c>
      <c r="G234">
        <v>1.512</v>
      </c>
    </row>
    <row r="235" spans="1:7" x14ac:dyDescent="0.3">
      <c r="A235" s="5">
        <v>44957</v>
      </c>
      <c r="B235" s="4">
        <f t="shared" si="3"/>
        <v>15.842986757308047</v>
      </c>
      <c r="C235" s="6">
        <v>235.20650000000001</v>
      </c>
      <c r="F235" s="5">
        <v>44925</v>
      </c>
      <c r="G235">
        <v>1.8839999999999999</v>
      </c>
    </row>
    <row r="236" spans="1:7" x14ac:dyDescent="0.3">
      <c r="A236" s="5">
        <v>44985</v>
      </c>
      <c r="B236" s="4">
        <f t="shared" si="3"/>
        <v>6.3185511996432311</v>
      </c>
      <c r="C236" s="6">
        <v>250.46639999999999</v>
      </c>
      <c r="F236" s="5">
        <v>44957</v>
      </c>
      <c r="G236">
        <v>2.177</v>
      </c>
    </row>
    <row r="237" spans="1:7" x14ac:dyDescent="0.3">
      <c r="A237" s="5">
        <v>45016</v>
      </c>
      <c r="B237" s="4">
        <f t="shared" si="3"/>
        <v>-13.43859038705391</v>
      </c>
      <c r="C237" s="6">
        <v>217.3417</v>
      </c>
      <c r="F237" s="5">
        <v>44985</v>
      </c>
      <c r="G237">
        <v>2.4780000000000002</v>
      </c>
    </row>
    <row r="238" spans="1:7" x14ac:dyDescent="0.3">
      <c r="A238" s="5">
        <v>45044</v>
      </c>
      <c r="B238" s="4">
        <f t="shared" si="3"/>
        <v>3.0716336474240027</v>
      </c>
      <c r="C238" s="6">
        <v>224.54560000000001</v>
      </c>
      <c r="F238" s="5">
        <v>45016</v>
      </c>
      <c r="G238">
        <v>2.915</v>
      </c>
    </row>
    <row r="239" spans="1:7" x14ac:dyDescent="0.3">
      <c r="A239" s="5">
        <v>45077</v>
      </c>
      <c r="B239" s="4">
        <f t="shared" si="3"/>
        <v>-2.8940361273216255</v>
      </c>
      <c r="C239" s="6">
        <v>218.63730000000001</v>
      </c>
      <c r="F239" s="5">
        <v>45044</v>
      </c>
      <c r="G239">
        <v>3.052</v>
      </c>
    </row>
    <row r="240" spans="1:7" x14ac:dyDescent="0.3">
      <c r="A240" s="5">
        <v>45107</v>
      </c>
      <c r="B240" s="4">
        <f t="shared" si="3"/>
        <v>8.8930219247813529</v>
      </c>
      <c r="C240" s="6">
        <v>238.66579999999999</v>
      </c>
      <c r="F240" s="5">
        <v>45077</v>
      </c>
      <c r="G240">
        <v>3.2109999999999999</v>
      </c>
    </row>
    <row r="241" spans="1:7" x14ac:dyDescent="0.3">
      <c r="A241" s="5">
        <v>45138</v>
      </c>
      <c r="B241" s="4">
        <f t="shared" si="3"/>
        <v>5.8181964454968709</v>
      </c>
      <c r="C241" s="6">
        <v>253.25040000000001</v>
      </c>
      <c r="F241" s="5">
        <v>45107</v>
      </c>
      <c r="G241">
        <v>3.399</v>
      </c>
    </row>
    <row r="242" spans="1:7" x14ac:dyDescent="0.3">
      <c r="A242" s="5">
        <v>45169</v>
      </c>
      <c r="B242" s="4">
        <f t="shared" si="3"/>
        <v>-2.0564147388776832</v>
      </c>
      <c r="C242" s="6">
        <v>248.8228</v>
      </c>
      <c r="F242" s="5">
        <v>45138</v>
      </c>
      <c r="G242">
        <v>3.5779999999999998</v>
      </c>
    </row>
    <row r="243" spans="1:7" x14ac:dyDescent="0.3">
      <c r="A243" s="5">
        <v>45198</v>
      </c>
      <c r="B243" s="4">
        <f t="shared" si="3"/>
        <v>-4.4184229231937822E-2</v>
      </c>
      <c r="C243" s="6">
        <v>249.46700000000001</v>
      </c>
      <c r="F243" s="5">
        <v>45169</v>
      </c>
      <c r="G243">
        <v>3.637</v>
      </c>
    </row>
    <row r="244" spans="1:7" x14ac:dyDescent="0.3">
      <c r="A244" s="5">
        <v>45230</v>
      </c>
      <c r="B244" s="4">
        <f t="shared" si="3"/>
        <v>-3.5146965109502397</v>
      </c>
      <c r="C244" s="6">
        <v>241.52539999999999</v>
      </c>
      <c r="F244" s="5">
        <v>45198</v>
      </c>
      <c r="G244">
        <v>3.847</v>
      </c>
    </row>
    <row r="245" spans="1:7" x14ac:dyDescent="0.3">
      <c r="A245" s="5">
        <v>45260</v>
      </c>
      <c r="B245" s="4">
        <f t="shared" si="3"/>
        <v>8.0347545053232565</v>
      </c>
      <c r="C245" s="6">
        <v>261.7115</v>
      </c>
      <c r="F245" s="5">
        <v>45230</v>
      </c>
      <c r="G245">
        <v>3.8759999999999999</v>
      </c>
    </row>
    <row r="246" spans="1:7" x14ac:dyDescent="0.3">
      <c r="A246" s="5">
        <v>45289</v>
      </c>
      <c r="B246" s="4">
        <f t="shared" si="3"/>
        <v>1.5678704037121587</v>
      </c>
      <c r="C246" s="6">
        <v>266.68650000000002</v>
      </c>
      <c r="F246" s="5">
        <v>45260</v>
      </c>
      <c r="G246">
        <v>3.8679999999999999</v>
      </c>
    </row>
    <row r="247" spans="1:7" x14ac:dyDescent="0.3">
      <c r="A247" s="5">
        <v>45322</v>
      </c>
      <c r="B247" s="4">
        <f t="shared" si="3"/>
        <v>2.2629223475722591</v>
      </c>
      <c r="C247" s="6">
        <v>273.6044</v>
      </c>
      <c r="F247" s="5">
        <v>45289</v>
      </c>
      <c r="G247">
        <v>3.8450000000000002</v>
      </c>
    </row>
    <row r="248" spans="1:7" x14ac:dyDescent="0.3">
      <c r="A248" s="5">
        <v>45351</v>
      </c>
      <c r="B248" s="4">
        <f t="shared" si="3"/>
        <v>0.34655709418009317</v>
      </c>
      <c r="C248" s="6">
        <v>275.40710000000001</v>
      </c>
      <c r="F248" s="5">
        <v>45322</v>
      </c>
      <c r="G248">
        <v>3.8769999999999998</v>
      </c>
    </row>
    <row r="249" spans="1:7" x14ac:dyDescent="0.3">
      <c r="A249" s="5">
        <v>45380</v>
      </c>
      <c r="B249" s="4">
        <f t="shared" si="3"/>
        <v>14.641376936113657</v>
      </c>
      <c r="C249" s="6">
        <v>316.64710000000002</v>
      </c>
      <c r="F249" s="5">
        <v>45351</v>
      </c>
      <c r="G249">
        <v>3.8650000000000002</v>
      </c>
    </row>
    <row r="250" spans="1:7" x14ac:dyDescent="0.3">
      <c r="A250" s="5">
        <v>45412</v>
      </c>
      <c r="B250" s="4">
        <f t="shared" si="3"/>
        <v>3.213631576366855</v>
      </c>
      <c r="C250" s="6">
        <v>327.84019999999998</v>
      </c>
      <c r="F250" s="5">
        <v>45380</v>
      </c>
      <c r="G250">
        <v>3.855</v>
      </c>
    </row>
    <row r="251" spans="1:7" x14ac:dyDescent="0.3">
      <c r="A251" s="5">
        <v>45443</v>
      </c>
      <c r="B251" s="4">
        <f t="shared" si="3"/>
        <v>5.6055741830877901</v>
      </c>
      <c r="C251" s="6">
        <v>347.3109</v>
      </c>
      <c r="F251" s="5">
        <v>45412</v>
      </c>
      <c r="G251">
        <v>3.8730000000000002</v>
      </c>
    </row>
    <row r="252" spans="1:7" x14ac:dyDescent="0.3">
      <c r="A252" s="5">
        <v>45471</v>
      </c>
      <c r="B252" s="4">
        <f t="shared" si="3"/>
        <v>-7.0582856779761309</v>
      </c>
      <c r="C252" s="6">
        <v>323.8725</v>
      </c>
      <c r="F252" s="5">
        <v>45443</v>
      </c>
      <c r="G252">
        <v>3.7170000000000001</v>
      </c>
    </row>
    <row r="253" spans="1:7" x14ac:dyDescent="0.3">
      <c r="A253" s="5">
        <v>45504</v>
      </c>
      <c r="B253" s="4">
        <f t="shared" si="3"/>
        <v>5.461677284528121</v>
      </c>
      <c r="C253" s="6">
        <v>342.57429999999999</v>
      </c>
      <c r="F253" s="5">
        <v>45471</v>
      </c>
      <c r="G253">
        <v>3.6320000000000001</v>
      </c>
    </row>
    <row r="254" spans="1:7" x14ac:dyDescent="0.3">
      <c r="A254" s="5">
        <v>45534</v>
      </c>
      <c r="B254" s="4">
        <f t="shared" si="3"/>
        <v>-1.0281069438318364</v>
      </c>
      <c r="C254" s="6">
        <v>340.12310000000002</v>
      </c>
      <c r="F254" s="5">
        <v>45504</v>
      </c>
      <c r="G254">
        <v>3.63</v>
      </c>
    </row>
    <row r="255" spans="1:7" x14ac:dyDescent="0.3">
      <c r="A255" s="5">
        <v>45565</v>
      </c>
      <c r="B255" s="4">
        <f t="shared" si="3"/>
        <v>1.0820636690313798</v>
      </c>
      <c r="C255" s="6">
        <v>344.82069999999999</v>
      </c>
      <c r="F255" s="5">
        <v>45534</v>
      </c>
      <c r="G255">
        <v>3.589</v>
      </c>
    </row>
    <row r="256" spans="1:7" x14ac:dyDescent="0.3">
      <c r="A256" s="5">
        <v>45596</v>
      </c>
      <c r="B256" s="4">
        <f t="shared" si="3"/>
        <v>0.33153383112425855</v>
      </c>
      <c r="C256" s="6">
        <v>346.95949999999999</v>
      </c>
      <c r="F256" s="5">
        <v>45565</v>
      </c>
      <c r="G256">
        <v>3.3530000000000002</v>
      </c>
    </row>
    <row r="257" spans="1:7" x14ac:dyDescent="0.3">
      <c r="A257" s="5">
        <v>45625</v>
      </c>
      <c r="B257" s="4">
        <f t="shared" si="3"/>
        <v>-3.5520087196776555</v>
      </c>
      <c r="C257" s="6">
        <v>335.5419</v>
      </c>
      <c r="F257" s="5">
        <v>45596</v>
      </c>
      <c r="G257">
        <v>3.1349999999999998</v>
      </c>
    </row>
    <row r="258" spans="1:7" x14ac:dyDescent="0.3">
      <c r="A258" s="5">
        <v>45657</v>
      </c>
      <c r="B258" s="4">
        <f t="shared" si="3"/>
        <v>4.6626748163393676</v>
      </c>
      <c r="C258" s="6">
        <v>352.05509999999998</v>
      </c>
      <c r="F258" s="5">
        <v>45625</v>
      </c>
      <c r="G258">
        <v>3.004</v>
      </c>
    </row>
    <row r="259" spans="1:7" x14ac:dyDescent="0.3">
      <c r="A259" s="5">
        <v>45688</v>
      </c>
      <c r="B259" s="4">
        <f t="shared" si="3"/>
        <v>10.69185303707906</v>
      </c>
      <c r="C259" s="6">
        <v>390.55880000000002</v>
      </c>
      <c r="F259" s="5">
        <v>45657</v>
      </c>
      <c r="G259">
        <v>2.8450000000000002</v>
      </c>
    </row>
    <row r="260" spans="1:7" x14ac:dyDescent="0.3">
      <c r="A260" s="5">
        <v>45716</v>
      </c>
      <c r="B260" s="4">
        <f t="shared" si="3"/>
        <v>13.60488542012679</v>
      </c>
      <c r="C260" s="6">
        <v>444.50189999999998</v>
      </c>
      <c r="F260" s="5">
        <v>45688</v>
      </c>
      <c r="G260">
        <v>2.66</v>
      </c>
    </row>
    <row r="261" spans="1:7" x14ac:dyDescent="0.3">
      <c r="A261" s="5">
        <v>45747</v>
      </c>
      <c r="B261" s="4">
        <f t="shared" si="3"/>
        <v>1.4778448667879722</v>
      </c>
      <c r="C261" s="6">
        <v>452.01369999999997</v>
      </c>
      <c r="F261" s="5">
        <v>45716</v>
      </c>
      <c r="G261">
        <v>2.4630000000000001</v>
      </c>
    </row>
    <row r="262" spans="1:7" x14ac:dyDescent="0.3">
      <c r="A262" s="5">
        <v>45777</v>
      </c>
      <c r="B262" s="4">
        <f t="shared" si="3"/>
        <v>0.49569140924268174</v>
      </c>
      <c r="C262" s="6">
        <v>455.14249999999998</v>
      </c>
      <c r="F262" s="5">
        <v>45747</v>
      </c>
      <c r="G262">
        <v>2.3580000000000001</v>
      </c>
    </row>
    <row r="263" spans="1:7" x14ac:dyDescent="0.3">
      <c r="A263" s="5">
        <v>45807</v>
      </c>
      <c r="B263" s="4">
        <f t="shared" si="3"/>
        <v>10.874281199554121</v>
      </c>
      <c r="C263" s="6">
        <v>505.48450000000003</v>
      </c>
      <c r="F263" s="5">
        <v>45777</v>
      </c>
      <c r="G263">
        <v>2.165</v>
      </c>
    </row>
    <row r="264" spans="1:7" x14ac:dyDescent="0.3">
      <c r="A264" s="5">
        <v>45838</v>
      </c>
      <c r="B264" s="4">
        <f t="shared" si="3"/>
        <v>-0.31096684830759058</v>
      </c>
      <c r="C264" s="6">
        <v>504.7534</v>
      </c>
      <c r="F264" s="5">
        <v>45807</v>
      </c>
      <c r="G264">
        <v>1.996</v>
      </c>
    </row>
    <row r="265" spans="1:7" x14ac:dyDescent="0.3">
      <c r="A265" s="5">
        <v>45869</v>
      </c>
      <c r="B265" s="4">
        <f t="shared" ref="B265:B271" si="4">((C265/C264)-1)*100 - _xlfn.XLOOKUP(A264,$F:$F,$G:$G)*(DAY(EOMONTH(A265,0))/360)</f>
        <v>9.16229376483866</v>
      </c>
      <c r="C265" s="6">
        <v>551.84100000000001</v>
      </c>
      <c r="F265" s="5">
        <v>45838</v>
      </c>
      <c r="G265">
        <v>1.9339999999999999</v>
      </c>
    </row>
    <row r="266" spans="1:7" x14ac:dyDescent="0.3">
      <c r="A266" s="5">
        <v>45898</v>
      </c>
      <c r="B266" s="4">
        <f t="shared" si="4"/>
        <v>2.183904341679344</v>
      </c>
      <c r="C266" s="6">
        <v>564.78890000000001</v>
      </c>
      <c r="F266" s="5">
        <v>45869</v>
      </c>
      <c r="G266">
        <v>1.8859999999999999</v>
      </c>
    </row>
    <row r="267" spans="1:7" x14ac:dyDescent="0.3">
      <c r="A267" s="5">
        <v>45930</v>
      </c>
      <c r="B267" s="4">
        <f t="shared" si="4"/>
        <v>4.1824384052902941</v>
      </c>
      <c r="C267" s="6">
        <v>589.28579999999999</v>
      </c>
      <c r="F267" s="5">
        <v>45898</v>
      </c>
      <c r="G267">
        <v>1.859</v>
      </c>
    </row>
    <row r="268" spans="1:7" x14ac:dyDescent="0.3">
      <c r="A268" s="5">
        <v>45961</v>
      </c>
      <c r="B268" s="4">
        <f t="shared" si="4"/>
        <v>5.6296482801735576E-2</v>
      </c>
      <c r="C268" s="6">
        <v>590.59640000000002</v>
      </c>
      <c r="F268" s="5">
        <v>45930</v>
      </c>
      <c r="G268">
        <v>1.929</v>
      </c>
    </row>
    <row r="269" spans="1:7" x14ac:dyDescent="0.3">
      <c r="A269" s="5">
        <v>45989</v>
      </c>
      <c r="B269" s="4">
        <f t="shared" si="4"/>
        <v>4.9746869860703455</v>
      </c>
      <c r="C269" s="6">
        <v>620.92020000000002</v>
      </c>
      <c r="F269" s="5">
        <v>45961</v>
      </c>
      <c r="G269">
        <v>1.917</v>
      </c>
    </row>
    <row r="270" spans="1:7" x14ac:dyDescent="0.3">
      <c r="A270" s="5">
        <v>46022</v>
      </c>
      <c r="B270" s="4">
        <f t="shared" si="4"/>
        <v>8.0706039556505687</v>
      </c>
      <c r="C270" s="6">
        <v>672.07270000000005</v>
      </c>
      <c r="F270" s="5">
        <v>45989</v>
      </c>
      <c r="G270">
        <v>1.946</v>
      </c>
    </row>
    <row r="271" spans="1:7" x14ac:dyDescent="0.3">
      <c r="A271" s="5">
        <v>46052</v>
      </c>
      <c r="B271" s="4">
        <f t="shared" si="4"/>
        <v>4.4745968622958632</v>
      </c>
      <c r="C271" s="6">
        <v>703.26739999999995</v>
      </c>
      <c r="F271" s="5">
        <v>46022</v>
      </c>
      <c r="G271">
        <v>1.9390000000000001</v>
      </c>
    </row>
    <row r="272" spans="1:7" x14ac:dyDescent="0.3">
      <c r="F272" s="5">
        <v>46052</v>
      </c>
      <c r="G272">
        <v>1.968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2541D-E4E6-4424-ACA7-D99B2AC1201C}">
  <dimension ref="A1:K278"/>
  <sheetViews>
    <sheetView workbookViewId="0">
      <selection activeCell="C14" sqref="C14"/>
    </sheetView>
  </sheetViews>
  <sheetFormatPr defaultRowHeight="14.4" x14ac:dyDescent="0.3"/>
  <cols>
    <col min="1" max="1" width="10.33203125" bestFit="1" customWidth="1"/>
    <col min="3" max="3" width="10.33203125" bestFit="1" customWidth="1"/>
    <col min="4" max="4" width="20.33203125" bestFit="1" customWidth="1"/>
    <col min="10" max="10" width="10.33203125" bestFit="1" customWidth="1"/>
    <col min="11" max="11" width="13.44140625" bestFit="1" customWidth="1"/>
  </cols>
  <sheetData>
    <row r="1" spans="1:11" x14ac:dyDescent="0.3">
      <c r="A1" t="s">
        <v>72</v>
      </c>
      <c r="B1" t="str" cm="1">
        <f t="array" ref="B1">_xll.BDP(A1,"ds366")</f>
        <v>Bloomberg Euro-Aggregate: Industrial -- Baa Total Return Index Unhedged EUR</v>
      </c>
    </row>
    <row r="2" spans="1:11" x14ac:dyDescent="0.3">
      <c r="A2" t="s">
        <v>73</v>
      </c>
      <c r="B2" t="str" cm="1">
        <f t="array" ref="B2">_xll.BDP(A2,"ds366")</f>
        <v>Bloomberg Euro-Aggregate: Industrial -- A Total Return Index Unhedged EUR</v>
      </c>
    </row>
    <row r="3" spans="1:11" x14ac:dyDescent="0.3">
      <c r="A3" t="s">
        <v>74</v>
      </c>
      <c r="B3" t="str" cm="1">
        <f t="array" ref="B3">_xll.BDP(A3,"ds366")</f>
        <v>Bloomberg Euro-Aggregate: Finance -- Baa Total Return Index Unhedged EUR</v>
      </c>
    </row>
    <row r="4" spans="1:11" x14ac:dyDescent="0.3">
      <c r="A4" t="s">
        <v>75</v>
      </c>
      <c r="B4" t="str" cm="1">
        <f t="array" ref="B4">_xll.BDP(A4,"ds366")</f>
        <v>Bloomberg Euro-Aggregate: Finance -- A Total Return Index Unhedged EUR</v>
      </c>
    </row>
    <row r="7" spans="1:11" x14ac:dyDescent="0.3">
      <c r="A7" t="s">
        <v>63</v>
      </c>
      <c r="D7" s="5">
        <v>37987</v>
      </c>
      <c r="J7" t="s">
        <v>63</v>
      </c>
      <c r="K7" s="5">
        <v>37956</v>
      </c>
    </row>
    <row r="8" spans="1:11" x14ac:dyDescent="0.3">
      <c r="A8" t="s">
        <v>64</v>
      </c>
      <c r="J8" t="s">
        <v>64</v>
      </c>
    </row>
    <row r="10" spans="1:11" x14ac:dyDescent="0.3">
      <c r="B10" t="s">
        <v>77</v>
      </c>
      <c r="C10" t="s">
        <v>78</v>
      </c>
      <c r="D10" t="s">
        <v>72</v>
      </c>
      <c r="E10" t="s">
        <v>73</v>
      </c>
      <c r="F10" t="s">
        <v>74</v>
      </c>
      <c r="G10" t="s">
        <v>75</v>
      </c>
      <c r="K10" t="s">
        <v>68</v>
      </c>
    </row>
    <row r="11" spans="1:11" x14ac:dyDescent="0.3">
      <c r="D11" t="s">
        <v>76</v>
      </c>
      <c r="E11" t="s">
        <v>76</v>
      </c>
      <c r="F11" t="s">
        <v>76</v>
      </c>
      <c r="G11" t="s">
        <v>76</v>
      </c>
      <c r="K11" t="s">
        <v>69</v>
      </c>
    </row>
    <row r="12" spans="1:11" x14ac:dyDescent="0.3">
      <c r="A12" t="s">
        <v>34</v>
      </c>
      <c r="D12" t="s">
        <v>70</v>
      </c>
      <c r="E12" t="s">
        <v>70</v>
      </c>
      <c r="F12" t="s">
        <v>70</v>
      </c>
      <c r="G12" t="s">
        <v>70</v>
      </c>
      <c r="J12" t="s">
        <v>34</v>
      </c>
      <c r="K12" t="s">
        <v>70</v>
      </c>
    </row>
    <row r="13" spans="1:11" x14ac:dyDescent="0.3">
      <c r="A13" s="15">
        <v>38016</v>
      </c>
      <c r="B13" s="15"/>
      <c r="C13" s="15"/>
      <c r="D13">
        <v>135.94229999999999</v>
      </c>
      <c r="E13">
        <v>136.13480000000001</v>
      </c>
      <c r="F13">
        <v>146.51400000000001</v>
      </c>
      <c r="G13">
        <v>141.74889999999999</v>
      </c>
      <c r="J13" s="5">
        <v>37986</v>
      </c>
      <c r="K13">
        <v>2.101</v>
      </c>
    </row>
    <row r="14" spans="1:11" x14ac:dyDescent="0.3">
      <c r="A14" s="15">
        <v>38044</v>
      </c>
      <c r="B14">
        <f>0.5*((D14/D13)-1)*100+0.5*((E14/E13)-1)*100 - _xlfn.XLOOKUP(A13,$J:$J,$K:$K)*(DAY(EOMONTH(A14,0))/360)</f>
        <v>1.1093486376329984</v>
      </c>
      <c r="C14" s="4">
        <f>0.5*((F14/F13)-1)*100+0.5*((G14/G13)-1)*100 - _xlfn.XLOOKUP(A13,$J:$J,$K:$K)*(DAY(EOMONTH(A14,0))/360)</f>
        <v>1.3167563012014691</v>
      </c>
      <c r="D14">
        <v>137.71199999999999</v>
      </c>
      <c r="E14">
        <v>137.83789999999999</v>
      </c>
      <c r="F14">
        <v>148.77019999999999</v>
      </c>
      <c r="G14">
        <v>143.77269999999999</v>
      </c>
      <c r="J14" s="5">
        <v>38016</v>
      </c>
      <c r="K14">
        <v>2.0739999999999998</v>
      </c>
    </row>
    <row r="15" spans="1:11" x14ac:dyDescent="0.3">
      <c r="A15" s="15">
        <v>38077</v>
      </c>
      <c r="B15">
        <f>0.5*((D15/D14)-1)*100+0.5*((E15/E14)-1)*100 - _xlfn.XLOOKUP(A14,$J:$J,$K:$K)*(DAY(EOMONTH(A15,0))/360)</f>
        <v>0.78340129415018134</v>
      </c>
      <c r="C15" s="4">
        <f t="shared" ref="C15:C78" si="0">0.5*((F15/F14)-1)*100+0.5*((G15/G14)-1)*100 - _xlfn.XLOOKUP(A14,$J:$J,$K:$K)*(DAY(EOMONTH(A15,0))/360)</f>
        <v>0.9290216620922267</v>
      </c>
      <c r="D15">
        <v>139.02930000000001</v>
      </c>
      <c r="E15">
        <v>139.16640000000001</v>
      </c>
      <c r="F15">
        <v>150.5504</v>
      </c>
      <c r="G15">
        <v>145.232</v>
      </c>
      <c r="J15" s="5">
        <v>38044</v>
      </c>
      <c r="K15">
        <v>2.0529999999999999</v>
      </c>
    </row>
    <row r="16" spans="1:11" x14ac:dyDescent="0.3">
      <c r="A16" s="15">
        <v>38107</v>
      </c>
      <c r="B16">
        <f t="shared" ref="B16:B79" si="1">0.5*((D16/D15)-1)*100+0.5*((E16/E15)-1)*100 - _xlfn.XLOOKUP(A15,$J:$J,$K:$K)*(DAY(EOMONTH(A16,0))/360)</f>
        <v>-0.79915586418438067</v>
      </c>
      <c r="C16" s="4">
        <f t="shared" si="0"/>
        <v>-1.0524197038626724</v>
      </c>
      <c r="D16">
        <v>138.36179999999999</v>
      </c>
      <c r="E16">
        <v>138.0797</v>
      </c>
      <c r="F16">
        <v>149.30160000000001</v>
      </c>
      <c r="G16">
        <v>143.86969999999999</v>
      </c>
      <c r="J16" s="5">
        <v>38077</v>
      </c>
      <c r="K16">
        <v>2.024</v>
      </c>
    </row>
    <row r="17" spans="1:11" x14ac:dyDescent="0.3">
      <c r="A17" s="15">
        <v>38138</v>
      </c>
      <c r="B17">
        <f t="shared" si="1"/>
        <v>-0.44326131842223704</v>
      </c>
      <c r="C17" s="4">
        <f t="shared" si="0"/>
        <v>-0.43584635512097047</v>
      </c>
      <c r="D17">
        <v>137.91200000000001</v>
      </c>
      <c r="E17">
        <v>137.79339999999999</v>
      </c>
      <c r="F17">
        <v>148.8364</v>
      </c>
      <c r="G17">
        <v>143.57329999999999</v>
      </c>
      <c r="J17" s="5">
        <v>38107</v>
      </c>
      <c r="K17">
        <v>2.056</v>
      </c>
    </row>
    <row r="18" spans="1:11" x14ac:dyDescent="0.3">
      <c r="A18" s="15">
        <v>38168</v>
      </c>
      <c r="B18">
        <f t="shared" si="1"/>
        <v>0.12411780198344152</v>
      </c>
      <c r="C18" s="4">
        <f t="shared" si="0"/>
        <v>0.11532463510744378</v>
      </c>
      <c r="D18">
        <v>138.4563</v>
      </c>
      <c r="E18">
        <v>138.06540000000001</v>
      </c>
      <c r="F18">
        <v>149.3227</v>
      </c>
      <c r="G18">
        <v>143.929</v>
      </c>
      <c r="J18" s="5">
        <v>38138</v>
      </c>
      <c r="K18">
        <v>2.0630000000000002</v>
      </c>
    </row>
    <row r="19" spans="1:11" x14ac:dyDescent="0.3">
      <c r="A19" s="15">
        <v>38198</v>
      </c>
      <c r="B19">
        <f t="shared" si="1"/>
        <v>0.71637300795579439</v>
      </c>
      <c r="C19" s="4">
        <f t="shared" si="0"/>
        <v>0.81823186412185378</v>
      </c>
      <c r="D19">
        <v>139.654</v>
      </c>
      <c r="E19">
        <v>139.3426</v>
      </c>
      <c r="F19">
        <v>150.8871</v>
      </c>
      <c r="G19">
        <v>145.29079999999999</v>
      </c>
      <c r="J19" s="5">
        <v>38168</v>
      </c>
      <c r="K19">
        <v>2.0750000000000002</v>
      </c>
    </row>
    <row r="20" spans="1:11" x14ac:dyDescent="0.3">
      <c r="A20" s="15">
        <v>38230</v>
      </c>
      <c r="B20">
        <f t="shared" si="1"/>
        <v>1.194851697647755</v>
      </c>
      <c r="C20" s="4">
        <f t="shared" si="0"/>
        <v>1.5525566606591399</v>
      </c>
      <c r="D20">
        <v>141.50569999999999</v>
      </c>
      <c r="E20">
        <v>141.32310000000001</v>
      </c>
      <c r="F20">
        <v>153.7988</v>
      </c>
      <c r="G20">
        <v>147.518</v>
      </c>
      <c r="J20" s="5">
        <v>38198</v>
      </c>
      <c r="K20">
        <v>2.0760000000000001</v>
      </c>
    </row>
    <row r="21" spans="1:11" x14ac:dyDescent="0.3">
      <c r="A21" s="15">
        <v>38260</v>
      </c>
      <c r="B21">
        <f t="shared" si="1"/>
        <v>0.28567859562450654</v>
      </c>
      <c r="C21" s="4">
        <f t="shared" si="0"/>
        <v>0.51739944924201842</v>
      </c>
      <c r="D21">
        <v>142.17400000000001</v>
      </c>
      <c r="E21">
        <v>141.9521</v>
      </c>
      <c r="F21">
        <v>155.1131</v>
      </c>
      <c r="G21">
        <v>148.29429999999999</v>
      </c>
      <c r="J21" s="5">
        <v>38230</v>
      </c>
      <c r="K21">
        <v>2.0760000000000001</v>
      </c>
    </row>
    <row r="22" spans="1:11" x14ac:dyDescent="0.3">
      <c r="A22" s="15">
        <v>38289</v>
      </c>
      <c r="B22">
        <f t="shared" si="1"/>
        <v>0.60095535724072546</v>
      </c>
      <c r="C22" s="4">
        <f t="shared" si="0"/>
        <v>0.68493814865470892</v>
      </c>
      <c r="D22">
        <v>143.10849999999999</v>
      </c>
      <c r="E22">
        <v>143.2337</v>
      </c>
      <c r="F22">
        <v>156.399</v>
      </c>
      <c r="G22">
        <v>149.6276</v>
      </c>
      <c r="J22" s="5">
        <v>38260</v>
      </c>
      <c r="K22">
        <v>2.08</v>
      </c>
    </row>
    <row r="23" spans="1:11" x14ac:dyDescent="0.3">
      <c r="A23" s="15">
        <v>38321</v>
      </c>
      <c r="B23">
        <f t="shared" si="1"/>
        <v>0.79438501033051023</v>
      </c>
      <c r="C23" s="4">
        <f t="shared" si="0"/>
        <v>0.97114294070187313</v>
      </c>
      <c r="D23">
        <v>144.43700000000001</v>
      </c>
      <c r="E23">
        <v>144.67910000000001</v>
      </c>
      <c r="F23">
        <v>158.33690000000001</v>
      </c>
      <c r="G23">
        <v>151.20150000000001</v>
      </c>
      <c r="J23" s="5">
        <v>38289</v>
      </c>
      <c r="K23">
        <v>2.0920000000000001</v>
      </c>
    </row>
    <row r="24" spans="1:11" x14ac:dyDescent="0.3">
      <c r="A24" s="15">
        <v>38352</v>
      </c>
      <c r="B24">
        <f t="shared" si="1"/>
        <v>0.29052541488984474</v>
      </c>
      <c r="C24" s="4">
        <f t="shared" si="0"/>
        <v>0.45039135065012859</v>
      </c>
      <c r="D24">
        <v>145.006</v>
      </c>
      <c r="E24">
        <v>145.4915</v>
      </c>
      <c r="F24">
        <v>159.2775</v>
      </c>
      <c r="G24">
        <v>152.23140000000001</v>
      </c>
      <c r="J24" s="5">
        <v>38321</v>
      </c>
      <c r="K24">
        <v>2.1739999999999999</v>
      </c>
    </row>
    <row r="25" spans="1:11" x14ac:dyDescent="0.3">
      <c r="A25" s="15">
        <v>38383</v>
      </c>
      <c r="B25">
        <f t="shared" si="1"/>
        <v>0.79958351973506681</v>
      </c>
      <c r="C25" s="4">
        <f t="shared" si="0"/>
        <v>1.0751129695638486</v>
      </c>
      <c r="D25">
        <v>146.2193</v>
      </c>
      <c r="E25">
        <v>147.13399999999999</v>
      </c>
      <c r="F25">
        <v>161.43559999999999</v>
      </c>
      <c r="G25">
        <v>154</v>
      </c>
      <c r="J25" s="5">
        <v>38352</v>
      </c>
      <c r="K25">
        <v>2.1280000000000001</v>
      </c>
    </row>
    <row r="26" spans="1:11" x14ac:dyDescent="0.3">
      <c r="A26" s="15">
        <v>38411</v>
      </c>
      <c r="B26">
        <f t="shared" si="1"/>
        <v>-0.21189316379480849</v>
      </c>
      <c r="C26" s="4">
        <f t="shared" si="0"/>
        <v>-0.35255243194327157</v>
      </c>
      <c r="D26">
        <v>146.30019999999999</v>
      </c>
      <c r="E26">
        <v>146.91130000000001</v>
      </c>
      <c r="F26">
        <v>161.26230000000001</v>
      </c>
      <c r="G26">
        <v>153.58420000000001</v>
      </c>
      <c r="J26" s="5">
        <v>38383</v>
      </c>
      <c r="K26">
        <v>2.1070000000000002</v>
      </c>
    </row>
    <row r="27" spans="1:11" x14ac:dyDescent="0.3">
      <c r="A27" s="15">
        <v>38442</v>
      </c>
      <c r="B27">
        <f t="shared" si="1"/>
        <v>-0.32248827912413669</v>
      </c>
      <c r="C27" s="4">
        <f t="shared" si="0"/>
        <v>0.14532465201095535</v>
      </c>
      <c r="D27">
        <v>145.48570000000001</v>
      </c>
      <c r="E27">
        <v>147.31399999999999</v>
      </c>
      <c r="F27">
        <v>161.6842</v>
      </c>
      <c r="G27">
        <v>154.18530000000001</v>
      </c>
      <c r="J27" s="5">
        <v>38411</v>
      </c>
      <c r="K27">
        <v>2.1040000000000001</v>
      </c>
    </row>
    <row r="28" spans="1:11" x14ac:dyDescent="0.3">
      <c r="A28" s="15">
        <v>38471</v>
      </c>
      <c r="B28">
        <f t="shared" si="1"/>
        <v>0.51488708626415425</v>
      </c>
      <c r="C28" s="4">
        <f t="shared" si="0"/>
        <v>0.92079903861765355</v>
      </c>
      <c r="D28">
        <v>145.9813</v>
      </c>
      <c r="E28">
        <v>148.846</v>
      </c>
      <c r="F28">
        <v>163.2731</v>
      </c>
      <c r="G28">
        <v>156.0505</v>
      </c>
      <c r="J28" s="5">
        <v>38442</v>
      </c>
      <c r="K28">
        <v>2.105</v>
      </c>
    </row>
    <row r="29" spans="1:11" x14ac:dyDescent="0.3">
      <c r="A29" s="15">
        <v>38503</v>
      </c>
      <c r="B29">
        <f t="shared" si="1"/>
        <v>0.66549367976975426</v>
      </c>
      <c r="C29" s="4">
        <f t="shared" si="0"/>
        <v>0.64599612072551948</v>
      </c>
      <c r="D29">
        <v>147.13159999999999</v>
      </c>
      <c r="E29">
        <v>150.1936</v>
      </c>
      <c r="F29">
        <v>164.5341</v>
      </c>
      <c r="G29">
        <v>157.42689999999999</v>
      </c>
      <c r="J29" s="5">
        <v>38471</v>
      </c>
      <c r="K29">
        <v>2.1040000000000001</v>
      </c>
    </row>
    <row r="30" spans="1:11" x14ac:dyDescent="0.3">
      <c r="A30" s="15">
        <v>38533</v>
      </c>
      <c r="B30">
        <f t="shared" si="1"/>
        <v>0.85957722001503434</v>
      </c>
      <c r="C30" s="4">
        <f t="shared" si="0"/>
        <v>0.88314443770875506</v>
      </c>
      <c r="D30">
        <v>148.66390000000001</v>
      </c>
      <c r="E30">
        <v>151.73840000000001</v>
      </c>
      <c r="F30">
        <v>166.22130000000001</v>
      </c>
      <c r="G30">
        <v>159.1455</v>
      </c>
      <c r="J30" s="5">
        <v>38503</v>
      </c>
      <c r="K30">
        <v>2.105</v>
      </c>
    </row>
    <row r="31" spans="1:11" x14ac:dyDescent="0.3">
      <c r="A31" s="15">
        <v>38562</v>
      </c>
      <c r="B31">
        <f t="shared" si="1"/>
        <v>-0.23313970560890673</v>
      </c>
      <c r="C31" s="4">
        <f t="shared" si="0"/>
        <v>-0.37081163977180409</v>
      </c>
      <c r="D31">
        <v>148.81899999999999</v>
      </c>
      <c r="E31">
        <v>151.42240000000001</v>
      </c>
      <c r="F31">
        <v>165.96260000000001</v>
      </c>
      <c r="G31">
        <v>158.78960000000001</v>
      </c>
      <c r="J31" s="5">
        <v>38533</v>
      </c>
      <c r="K31">
        <v>2.1040000000000001</v>
      </c>
    </row>
    <row r="32" spans="1:11" x14ac:dyDescent="0.3">
      <c r="A32" s="15">
        <v>38595</v>
      </c>
      <c r="B32">
        <f t="shared" si="1"/>
        <v>0.53289199627996853</v>
      </c>
      <c r="C32" s="4">
        <f t="shared" si="0"/>
        <v>0.85588986082001073</v>
      </c>
      <c r="D32">
        <v>149.78559999999999</v>
      </c>
      <c r="E32">
        <v>152.6035</v>
      </c>
      <c r="F32">
        <v>167.79740000000001</v>
      </c>
      <c r="G32">
        <v>160.32980000000001</v>
      </c>
      <c r="J32" s="5">
        <v>38562</v>
      </c>
      <c r="K32">
        <v>2.1120000000000001</v>
      </c>
    </row>
    <row r="33" spans="1:11" x14ac:dyDescent="0.3">
      <c r="A33" s="15">
        <v>38625</v>
      </c>
      <c r="B33">
        <f t="shared" si="1"/>
        <v>-0.22490984079585213</v>
      </c>
      <c r="C33" s="4">
        <f t="shared" si="0"/>
        <v>-0.19767931842838588</v>
      </c>
      <c r="D33">
        <v>149.76560000000001</v>
      </c>
      <c r="E33">
        <v>152.47460000000001</v>
      </c>
      <c r="F33">
        <v>167.8562</v>
      </c>
      <c r="G33">
        <v>160.20410000000001</v>
      </c>
      <c r="J33" s="5">
        <v>38595</v>
      </c>
      <c r="K33">
        <v>2.1120000000000001</v>
      </c>
    </row>
    <row r="34" spans="1:11" x14ac:dyDescent="0.3">
      <c r="A34" s="15">
        <v>38656</v>
      </c>
      <c r="B34">
        <f t="shared" si="1"/>
        <v>-1.1658092471360713</v>
      </c>
      <c r="C34" s="4">
        <f t="shared" si="0"/>
        <v>-1.1921207494676875</v>
      </c>
      <c r="D34">
        <v>148.2398</v>
      </c>
      <c r="E34">
        <v>151.0301</v>
      </c>
      <c r="F34">
        <v>166.18199999999999</v>
      </c>
      <c r="G34">
        <v>158.56780000000001</v>
      </c>
      <c r="J34" s="5">
        <v>38625</v>
      </c>
      <c r="K34">
        <v>2.1219999999999999</v>
      </c>
    </row>
    <row r="35" spans="1:11" x14ac:dyDescent="0.3">
      <c r="A35" s="15">
        <v>38686</v>
      </c>
      <c r="B35">
        <f t="shared" si="1"/>
        <v>-0.29758571478024637</v>
      </c>
      <c r="C35" s="4">
        <f t="shared" si="0"/>
        <v>-3.692920507012426E-2</v>
      </c>
      <c r="D35">
        <v>148.0119</v>
      </c>
      <c r="E35">
        <v>150.89830000000001</v>
      </c>
      <c r="F35">
        <v>166.67789999999999</v>
      </c>
      <c r="G35">
        <v>158.53909999999999</v>
      </c>
      <c r="J35" s="5">
        <v>38656</v>
      </c>
      <c r="K35">
        <v>2.125</v>
      </c>
    </row>
    <row r="36" spans="1:11" x14ac:dyDescent="0.3">
      <c r="A36" s="15">
        <v>38716</v>
      </c>
      <c r="B36">
        <f t="shared" si="1"/>
        <v>-1.6437510856662868E-2</v>
      </c>
      <c r="C36" s="4">
        <f t="shared" si="0"/>
        <v>0.33822602493481446</v>
      </c>
      <c r="D36">
        <v>148.09119999999999</v>
      </c>
      <c r="E36">
        <v>151.3887</v>
      </c>
      <c r="F36">
        <v>167.607</v>
      </c>
      <c r="G36">
        <v>159.3801</v>
      </c>
      <c r="J36" s="5">
        <v>38686</v>
      </c>
      <c r="K36">
        <v>2.3889999999999998</v>
      </c>
    </row>
    <row r="37" spans="1:11" x14ac:dyDescent="0.3">
      <c r="A37" s="15">
        <v>38748</v>
      </c>
      <c r="B37">
        <f t="shared" si="1"/>
        <v>-0.59688404740806722</v>
      </c>
      <c r="C37" s="4">
        <f t="shared" si="0"/>
        <v>-0.34802227728281454</v>
      </c>
      <c r="D37">
        <v>147.6318</v>
      </c>
      <c r="E37">
        <v>150.6771</v>
      </c>
      <c r="F37">
        <v>167.71520000000001</v>
      </c>
      <c r="G37">
        <v>158.82689999999999</v>
      </c>
      <c r="J37" s="5">
        <v>38716</v>
      </c>
      <c r="K37">
        <v>2.4009999999999998</v>
      </c>
    </row>
    <row r="38" spans="1:11" x14ac:dyDescent="0.3">
      <c r="A38" s="15">
        <v>38776</v>
      </c>
      <c r="B38">
        <f t="shared" si="1"/>
        <v>-0.24732625800960858</v>
      </c>
      <c r="C38" s="4">
        <f t="shared" si="0"/>
        <v>1.7144158060219988E-2</v>
      </c>
      <c r="D38">
        <v>147.53739999999999</v>
      </c>
      <c r="E38">
        <v>150.58760000000001</v>
      </c>
      <c r="F38">
        <v>168.102</v>
      </c>
      <c r="G38">
        <v>159.10480000000001</v>
      </c>
      <c r="J38" s="5">
        <v>38748</v>
      </c>
      <c r="K38">
        <v>2.387</v>
      </c>
    </row>
    <row r="39" spans="1:11" x14ac:dyDescent="0.3">
      <c r="A39" s="15">
        <v>38807</v>
      </c>
      <c r="B39">
        <f t="shared" si="1"/>
        <v>-1.0452739828590811</v>
      </c>
      <c r="C39" s="4">
        <f t="shared" si="0"/>
        <v>-1.5334690961739854</v>
      </c>
      <c r="D39">
        <v>146.49449999999999</v>
      </c>
      <c r="E39">
        <v>149.1754</v>
      </c>
      <c r="F39">
        <v>165.7595</v>
      </c>
      <c r="G39">
        <v>157.15170000000001</v>
      </c>
      <c r="J39" s="5">
        <v>38776</v>
      </c>
      <c r="K39">
        <v>2.589</v>
      </c>
    </row>
    <row r="40" spans="1:11" x14ac:dyDescent="0.3">
      <c r="A40" s="15">
        <v>38835</v>
      </c>
      <c r="B40">
        <f t="shared" si="1"/>
        <v>-0.4061753849543363</v>
      </c>
      <c r="C40" s="4">
        <f t="shared" si="0"/>
        <v>-0.54538819299445973</v>
      </c>
      <c r="D40">
        <v>146.31880000000001</v>
      </c>
      <c r="E40">
        <v>148.8006</v>
      </c>
      <c r="F40">
        <v>165.34110000000001</v>
      </c>
      <c r="G40">
        <v>156.5275</v>
      </c>
      <c r="J40" s="5">
        <v>38807</v>
      </c>
      <c r="K40">
        <v>2.6469999999999998</v>
      </c>
    </row>
    <row r="41" spans="1:11" x14ac:dyDescent="0.3">
      <c r="A41" s="15">
        <v>38868</v>
      </c>
      <c r="B41">
        <f t="shared" si="1"/>
        <v>4.4147356586828529E-2</v>
      </c>
      <c r="C41" s="4">
        <f t="shared" si="0"/>
        <v>9.8471826741438256E-2</v>
      </c>
      <c r="D41">
        <v>146.68979999999999</v>
      </c>
      <c r="E41">
        <v>149.2379</v>
      </c>
      <c r="F41">
        <v>165.85589999999999</v>
      </c>
      <c r="G41">
        <v>157.06710000000001</v>
      </c>
      <c r="J41" s="5">
        <v>38835</v>
      </c>
      <c r="K41">
        <v>2.6659999999999999</v>
      </c>
    </row>
    <row r="42" spans="1:11" x14ac:dyDescent="0.3">
      <c r="A42" s="15">
        <v>38898</v>
      </c>
      <c r="B42">
        <f t="shared" si="1"/>
        <v>-0.75573106753763719</v>
      </c>
      <c r="C42" s="4">
        <f t="shared" si="0"/>
        <v>-0.97026546080504428</v>
      </c>
      <c r="D42">
        <v>145.8366</v>
      </c>
      <c r="E42">
        <v>148.54470000000001</v>
      </c>
      <c r="F42">
        <v>164.30940000000001</v>
      </c>
      <c r="G42">
        <v>156.21459999999999</v>
      </c>
      <c r="J42" s="5">
        <v>38868</v>
      </c>
      <c r="K42">
        <v>2.7919999999999998</v>
      </c>
    </row>
    <row r="43" spans="1:11" x14ac:dyDescent="0.3">
      <c r="A43" s="15">
        <v>38929</v>
      </c>
      <c r="B43">
        <f t="shared" si="1"/>
        <v>0.79641935199739167</v>
      </c>
      <c r="C43" s="4">
        <f t="shared" si="0"/>
        <v>0.89192278076856257</v>
      </c>
      <c r="D43">
        <v>147.3449</v>
      </c>
      <c r="E43">
        <v>150.1156</v>
      </c>
      <c r="F43">
        <v>166.35900000000001</v>
      </c>
      <c r="G43">
        <v>157.83199999999999</v>
      </c>
      <c r="J43" s="5">
        <v>38898</v>
      </c>
      <c r="K43">
        <v>2.8969999999999998</v>
      </c>
    </row>
    <row r="44" spans="1:11" x14ac:dyDescent="0.3">
      <c r="A44" s="15">
        <v>38960</v>
      </c>
      <c r="B44">
        <f t="shared" si="1"/>
        <v>0.70414470404445106</v>
      </c>
      <c r="C44" s="4">
        <f t="shared" si="0"/>
        <v>0.76396571186785289</v>
      </c>
      <c r="D44">
        <v>148.85069999999999</v>
      </c>
      <c r="E44">
        <v>151.47890000000001</v>
      </c>
      <c r="F44">
        <v>168.17760000000001</v>
      </c>
      <c r="G44">
        <v>159.34180000000001</v>
      </c>
      <c r="J44" s="5">
        <v>38929</v>
      </c>
      <c r="K44">
        <v>3.03</v>
      </c>
    </row>
    <row r="45" spans="1:11" x14ac:dyDescent="0.3">
      <c r="A45" s="15">
        <v>38989</v>
      </c>
      <c r="B45">
        <f t="shared" si="1"/>
        <v>1.3084642400031321E-2</v>
      </c>
      <c r="C45" s="4">
        <f t="shared" si="0"/>
        <v>0.22625335557483633</v>
      </c>
      <c r="D45">
        <v>149.22829999999999</v>
      </c>
      <c r="E45">
        <v>151.91540000000001</v>
      </c>
      <c r="F45">
        <v>169.13489999999999</v>
      </c>
      <c r="G45">
        <v>159.97749999999999</v>
      </c>
      <c r="J45" s="5">
        <v>38960</v>
      </c>
      <c r="K45">
        <v>3.0939999999999999</v>
      </c>
    </row>
    <row r="46" spans="1:11" x14ac:dyDescent="0.3">
      <c r="A46" s="15">
        <v>39021</v>
      </c>
      <c r="B46">
        <f t="shared" si="1"/>
        <v>9.1346676788025105E-2</v>
      </c>
      <c r="C46" s="4">
        <f t="shared" si="0"/>
        <v>0.20664598392102396</v>
      </c>
      <c r="D46">
        <v>149.9058</v>
      </c>
      <c r="E46">
        <v>152.35929999999999</v>
      </c>
      <c r="F46">
        <v>170.23079999999999</v>
      </c>
      <c r="G46">
        <v>160.50360000000001</v>
      </c>
      <c r="J46" s="5">
        <v>38989</v>
      </c>
      <c r="K46">
        <v>3.2719999999999998</v>
      </c>
    </row>
    <row r="47" spans="1:11" x14ac:dyDescent="0.3">
      <c r="A47" s="15">
        <v>39051</v>
      </c>
      <c r="B47">
        <f t="shared" si="1"/>
        <v>0.36771100724727729</v>
      </c>
      <c r="C47" s="4">
        <f t="shared" si="0"/>
        <v>0.39417920629322539</v>
      </c>
      <c r="D47">
        <v>150.94669999999999</v>
      </c>
      <c r="E47">
        <v>153.2809</v>
      </c>
      <c r="F47">
        <v>171.56229999999999</v>
      </c>
      <c r="G47">
        <v>161.41849999999999</v>
      </c>
      <c r="J47" s="5">
        <v>39021</v>
      </c>
      <c r="K47">
        <v>3.383</v>
      </c>
    </row>
    <row r="48" spans="1:11" x14ac:dyDescent="0.3">
      <c r="A48" s="15">
        <v>39080</v>
      </c>
      <c r="B48">
        <f t="shared" si="1"/>
        <v>-1.058659740552671</v>
      </c>
      <c r="C48" s="4">
        <f t="shared" si="0"/>
        <v>-1.1288530475256586</v>
      </c>
      <c r="D48">
        <v>149.83000000000001</v>
      </c>
      <c r="E48">
        <v>152.1129</v>
      </c>
      <c r="F48">
        <v>170.12450000000001</v>
      </c>
      <c r="G48">
        <v>160.12049999999999</v>
      </c>
      <c r="J48" s="5">
        <v>39051</v>
      </c>
      <c r="K48">
        <v>3.5739999999999998</v>
      </c>
    </row>
    <row r="49" spans="1:11" x14ac:dyDescent="0.3">
      <c r="A49" s="15">
        <v>39113</v>
      </c>
      <c r="B49">
        <f t="shared" si="1"/>
        <v>-0.21137849243643481</v>
      </c>
      <c r="C49" s="4">
        <f t="shared" si="0"/>
        <v>-0.31318096696008935</v>
      </c>
      <c r="D49">
        <v>150.0779</v>
      </c>
      <c r="E49">
        <v>152.16990000000001</v>
      </c>
      <c r="F49">
        <v>170.20930000000001</v>
      </c>
      <c r="G49">
        <v>160.03960000000001</v>
      </c>
      <c r="J49" s="5">
        <v>39080</v>
      </c>
      <c r="K49">
        <v>3.633</v>
      </c>
    </row>
    <row r="50" spans="1:11" x14ac:dyDescent="0.3">
      <c r="A50" s="15">
        <v>39141</v>
      </c>
      <c r="B50">
        <f t="shared" si="1"/>
        <v>0.76531310514976325</v>
      </c>
      <c r="C50" s="4">
        <f t="shared" si="0"/>
        <v>0.78132338749330033</v>
      </c>
      <c r="D50">
        <v>151.7911</v>
      </c>
      <c r="E50">
        <v>153.6172</v>
      </c>
      <c r="F50">
        <v>172.19409999999999</v>
      </c>
      <c r="G50">
        <v>161.5737</v>
      </c>
      <c r="J50" s="5">
        <v>39113</v>
      </c>
      <c r="K50">
        <v>3.613</v>
      </c>
    </row>
    <row r="51" spans="1:11" x14ac:dyDescent="0.3">
      <c r="A51" s="15">
        <v>39171</v>
      </c>
      <c r="B51">
        <f t="shared" si="1"/>
        <v>-0.48424461368681787</v>
      </c>
      <c r="C51" s="4">
        <f t="shared" si="0"/>
        <v>-0.60063675935801375</v>
      </c>
      <c r="D51">
        <v>151.56209999999999</v>
      </c>
      <c r="E51">
        <v>153.35329999999999</v>
      </c>
      <c r="F51">
        <v>171.6987</v>
      </c>
      <c r="G51">
        <v>161.14109999999999</v>
      </c>
      <c r="J51" s="5">
        <v>39141</v>
      </c>
      <c r="K51">
        <v>3.75</v>
      </c>
    </row>
    <row r="52" spans="1:11" x14ac:dyDescent="0.3">
      <c r="A52" s="15">
        <v>39202</v>
      </c>
      <c r="B52">
        <f t="shared" si="1"/>
        <v>-0.27424666011529586</v>
      </c>
      <c r="C52" s="4">
        <f t="shared" si="0"/>
        <v>-0.38389052873696861</v>
      </c>
      <c r="D52">
        <v>151.67740000000001</v>
      </c>
      <c r="E52">
        <v>153.38310000000001</v>
      </c>
      <c r="F52">
        <v>171.74850000000001</v>
      </c>
      <c r="G52">
        <v>160.89490000000001</v>
      </c>
      <c r="J52" s="5">
        <v>39171</v>
      </c>
      <c r="K52">
        <v>3.8639999999999999</v>
      </c>
    </row>
    <row r="53" spans="1:11" x14ac:dyDescent="0.3">
      <c r="A53" s="15">
        <v>39233</v>
      </c>
      <c r="B53">
        <f t="shared" si="1"/>
        <v>-1.0058132118066234</v>
      </c>
      <c r="C53" s="4">
        <f t="shared" si="0"/>
        <v>-1.0062350855683702</v>
      </c>
      <c r="D53">
        <v>150.75489999999999</v>
      </c>
      <c r="E53">
        <v>152.25040000000001</v>
      </c>
      <c r="F53">
        <v>170.71029999999999</v>
      </c>
      <c r="G53">
        <v>159.6994</v>
      </c>
      <c r="J53" s="5">
        <v>39202</v>
      </c>
      <c r="K53">
        <v>3.8610000000000002</v>
      </c>
    </row>
    <row r="54" spans="1:11" x14ac:dyDescent="0.3">
      <c r="A54" s="15">
        <v>39262</v>
      </c>
      <c r="B54">
        <f t="shared" si="1"/>
        <v>-0.68838737057677435</v>
      </c>
      <c r="C54" s="4">
        <f t="shared" si="0"/>
        <v>-0.70269462795790971</v>
      </c>
      <c r="D54">
        <v>150.2277</v>
      </c>
      <c r="E54">
        <v>151.70930000000001</v>
      </c>
      <c r="F54">
        <v>170.1576</v>
      </c>
      <c r="G54">
        <v>159.04470000000001</v>
      </c>
      <c r="J54" s="5">
        <v>39233</v>
      </c>
      <c r="K54">
        <v>4.03</v>
      </c>
    </row>
    <row r="55" spans="1:11" x14ac:dyDescent="0.3">
      <c r="A55" s="15">
        <v>39294</v>
      </c>
      <c r="B55">
        <f t="shared" si="1"/>
        <v>0.10900311748092795</v>
      </c>
      <c r="C55" s="4">
        <f t="shared" si="0"/>
        <v>-0.44224918369978783</v>
      </c>
      <c r="D55">
        <v>150.6628</v>
      </c>
      <c r="E55">
        <v>152.67580000000001</v>
      </c>
      <c r="F55">
        <v>169.8775</v>
      </c>
      <c r="G55">
        <v>159.02690000000001</v>
      </c>
      <c r="J55" s="5">
        <v>39262</v>
      </c>
      <c r="K55">
        <v>4.1150000000000002</v>
      </c>
    </row>
    <row r="56" spans="1:11" x14ac:dyDescent="0.3">
      <c r="A56" s="15">
        <v>39325</v>
      </c>
      <c r="B56">
        <f t="shared" si="1"/>
        <v>0.26190365754869366</v>
      </c>
      <c r="C56" s="4">
        <f t="shared" si="0"/>
        <v>-0.79126566745163118</v>
      </c>
      <c r="D56">
        <v>151.56389999999999</v>
      </c>
      <c r="E56">
        <v>153.64150000000001</v>
      </c>
      <c r="F56">
        <v>168.78389999999999</v>
      </c>
      <c r="G56">
        <v>158.65799999999999</v>
      </c>
      <c r="J56" s="5">
        <v>39294</v>
      </c>
      <c r="K56">
        <v>4.1040000000000001</v>
      </c>
    </row>
    <row r="57" spans="1:11" x14ac:dyDescent="0.3">
      <c r="A57" s="15">
        <v>39353</v>
      </c>
      <c r="B57">
        <f t="shared" si="1"/>
        <v>-0.40421121769801094</v>
      </c>
      <c r="C57" s="4">
        <f t="shared" si="0"/>
        <v>-0.5377999348555621</v>
      </c>
      <c r="D57">
        <v>151.45009999999999</v>
      </c>
      <c r="E57">
        <v>153.6566</v>
      </c>
      <c r="F57">
        <v>168.20769999999999</v>
      </c>
      <c r="G57">
        <v>158.6722</v>
      </c>
      <c r="J57" s="5">
        <v>39325</v>
      </c>
      <c r="K57">
        <v>4.4589999999999996</v>
      </c>
    </row>
    <row r="58" spans="1:11" x14ac:dyDescent="0.3">
      <c r="A58" s="15">
        <v>39386</v>
      </c>
      <c r="B58">
        <f t="shared" si="1"/>
        <v>0.47433247719442045</v>
      </c>
      <c r="C58" s="4">
        <f t="shared" si="0"/>
        <v>0.40566527315547912</v>
      </c>
      <c r="D58">
        <v>152.8287</v>
      </c>
      <c r="E58">
        <v>154.88130000000001</v>
      </c>
      <c r="F58">
        <v>169.6788</v>
      </c>
      <c r="G58">
        <v>159.7756</v>
      </c>
      <c r="J58" s="5">
        <v>39353</v>
      </c>
      <c r="K58">
        <v>4.4050000000000002</v>
      </c>
    </row>
    <row r="59" spans="1:11" x14ac:dyDescent="0.3">
      <c r="A59" s="15">
        <v>39416</v>
      </c>
      <c r="B59">
        <f t="shared" si="1"/>
        <v>-0.49529479630128975</v>
      </c>
      <c r="C59" s="4">
        <f t="shared" si="0"/>
        <v>-1.6187613549841182</v>
      </c>
      <c r="D59">
        <v>152.1746</v>
      </c>
      <c r="E59">
        <v>155.08250000000001</v>
      </c>
      <c r="F59">
        <v>167.6763</v>
      </c>
      <c r="G59">
        <v>157.5949</v>
      </c>
      <c r="J59" s="5">
        <v>39386</v>
      </c>
      <c r="K59">
        <v>4.1550000000000002</v>
      </c>
    </row>
    <row r="60" spans="1:11" x14ac:dyDescent="0.3">
      <c r="A60" s="15">
        <v>39447</v>
      </c>
      <c r="B60">
        <f t="shared" si="1"/>
        <v>-1.1533326065314218</v>
      </c>
      <c r="C60" s="4">
        <f t="shared" si="0"/>
        <v>-0.95794780335825647</v>
      </c>
      <c r="D60">
        <v>151.01060000000001</v>
      </c>
      <c r="E60">
        <v>153.9794</v>
      </c>
      <c r="F60">
        <v>165.93819999999999</v>
      </c>
      <c r="G60">
        <v>157.5179</v>
      </c>
      <c r="J60" s="5">
        <v>39416</v>
      </c>
      <c r="K60">
        <v>4.8220000000000001</v>
      </c>
    </row>
    <row r="61" spans="1:11" x14ac:dyDescent="0.3">
      <c r="A61" s="15">
        <v>39478</v>
      </c>
      <c r="B61">
        <f t="shared" si="1"/>
        <v>1.0282826940168963</v>
      </c>
      <c r="C61" s="4">
        <f t="shared" si="0"/>
        <v>-7.2258105991529709E-2</v>
      </c>
      <c r="D61">
        <v>152.52680000000001</v>
      </c>
      <c r="E61">
        <v>156.7372</v>
      </c>
      <c r="F61">
        <v>165.7724</v>
      </c>
      <c r="G61">
        <v>158.61089999999999</v>
      </c>
      <c r="J61" s="5">
        <v>39447</v>
      </c>
      <c r="K61">
        <v>4.2880000000000003</v>
      </c>
    </row>
    <row r="62" spans="1:11" x14ac:dyDescent="0.3">
      <c r="A62" s="15">
        <v>39507</v>
      </c>
      <c r="B62">
        <f t="shared" si="1"/>
        <v>-0.30312736694432613</v>
      </c>
      <c r="C62" s="4">
        <f t="shared" si="0"/>
        <v>-1.4032640178829308</v>
      </c>
      <c r="D62">
        <v>152.0282</v>
      </c>
      <c r="E62">
        <v>157.35740000000001</v>
      </c>
      <c r="F62">
        <v>163.17169999999999</v>
      </c>
      <c r="G62">
        <v>157.71850000000001</v>
      </c>
      <c r="J62" s="5">
        <v>39478</v>
      </c>
      <c r="K62">
        <v>4.1900000000000004</v>
      </c>
    </row>
    <row r="63" spans="1:11" x14ac:dyDescent="0.3">
      <c r="A63" s="15">
        <v>39538</v>
      </c>
      <c r="B63">
        <f t="shared" si="1"/>
        <v>-1.3819289260443024</v>
      </c>
      <c r="C63" s="4">
        <f t="shared" si="0"/>
        <v>-3.4529387174591486</v>
      </c>
      <c r="D63">
        <v>150.0137</v>
      </c>
      <c r="E63">
        <v>156.23159999999999</v>
      </c>
      <c r="F63">
        <v>157.5857</v>
      </c>
      <c r="G63">
        <v>153.36680000000001</v>
      </c>
      <c r="J63" s="5">
        <v>39507</v>
      </c>
      <c r="K63">
        <v>4.2</v>
      </c>
    </row>
    <row r="64" spans="1:11" x14ac:dyDescent="0.3">
      <c r="A64" s="15">
        <v>39568</v>
      </c>
      <c r="B64">
        <f t="shared" si="1"/>
        <v>0.24029443305981002</v>
      </c>
      <c r="C64" s="4">
        <f t="shared" si="0"/>
        <v>1.9217623364574699</v>
      </c>
      <c r="D64">
        <v>151.61070000000001</v>
      </c>
      <c r="E64">
        <v>156.45400000000001</v>
      </c>
      <c r="F64">
        <v>161.9393</v>
      </c>
      <c r="G64">
        <v>156.13839999999999</v>
      </c>
      <c r="J64" s="5">
        <v>39538</v>
      </c>
      <c r="K64">
        <v>4.3579999999999997</v>
      </c>
    </row>
    <row r="65" spans="1:11" x14ac:dyDescent="0.3">
      <c r="A65" s="15">
        <v>39598</v>
      </c>
      <c r="B65">
        <f t="shared" si="1"/>
        <v>-0.89088846269110766</v>
      </c>
      <c r="C65" s="4">
        <f t="shared" si="0"/>
        <v>-0.59349685993452173</v>
      </c>
      <c r="D65">
        <v>151.1198</v>
      </c>
      <c r="E65">
        <v>155.35579999999999</v>
      </c>
      <c r="F65">
        <v>162.39879999999999</v>
      </c>
      <c r="G65">
        <v>155.02250000000001</v>
      </c>
      <c r="J65" s="5">
        <v>39568</v>
      </c>
      <c r="K65">
        <v>4.3899999999999997</v>
      </c>
    </row>
    <row r="66" spans="1:11" x14ac:dyDescent="0.3">
      <c r="A66" s="15">
        <v>39629</v>
      </c>
      <c r="B66">
        <f t="shared" si="1"/>
        <v>-1.453840398865974</v>
      </c>
      <c r="C66" s="4">
        <f t="shared" si="0"/>
        <v>-1.9384649230471007</v>
      </c>
      <c r="D66">
        <v>149.27170000000001</v>
      </c>
      <c r="E66">
        <v>153.89429999999999</v>
      </c>
      <c r="F66">
        <v>160.2158</v>
      </c>
      <c r="G66">
        <v>152.24959999999999</v>
      </c>
      <c r="J66" s="5">
        <v>39598</v>
      </c>
      <c r="K66">
        <v>4.4640000000000004</v>
      </c>
    </row>
    <row r="67" spans="1:11" x14ac:dyDescent="0.3">
      <c r="A67" s="15">
        <v>39660</v>
      </c>
      <c r="B67">
        <f t="shared" si="1"/>
        <v>1.0359299428206969</v>
      </c>
      <c r="C67" s="4">
        <f t="shared" si="0"/>
        <v>-0.43164191795312828</v>
      </c>
      <c r="D67">
        <v>151.11080000000001</v>
      </c>
      <c r="E67">
        <v>156.36349999999999</v>
      </c>
      <c r="F67">
        <v>159.3921</v>
      </c>
      <c r="G67">
        <v>152.88220000000001</v>
      </c>
      <c r="J67" s="5">
        <v>39629</v>
      </c>
      <c r="K67">
        <v>4.4400000000000004</v>
      </c>
    </row>
    <row r="68" spans="1:11" x14ac:dyDescent="0.3">
      <c r="A68" s="15">
        <v>39689</v>
      </c>
      <c r="B68">
        <f t="shared" si="1"/>
        <v>0.76380823726673752</v>
      </c>
      <c r="C68" s="4">
        <f t="shared" si="0"/>
        <v>3.406463468810117E-2</v>
      </c>
      <c r="D68">
        <v>152.88570000000001</v>
      </c>
      <c r="E68">
        <v>158.1217</v>
      </c>
      <c r="F68">
        <v>159.94630000000001</v>
      </c>
      <c r="G68">
        <v>153.63409999999999</v>
      </c>
      <c r="J68" s="5">
        <v>39660</v>
      </c>
      <c r="K68">
        <v>4.4790000000000001</v>
      </c>
    </row>
    <row r="69" spans="1:11" x14ac:dyDescent="0.3">
      <c r="A69" s="15">
        <v>39721</v>
      </c>
      <c r="B69">
        <f t="shared" si="1"/>
        <v>-1.9124241218691571</v>
      </c>
      <c r="C69" s="4">
        <f t="shared" si="0"/>
        <v>-10.409245782136514</v>
      </c>
      <c r="D69">
        <v>150.11170000000001</v>
      </c>
      <c r="E69">
        <v>156.13159999999999</v>
      </c>
      <c r="F69">
        <v>142.67330000000001</v>
      </c>
      <c r="G69">
        <v>139.39619999999999</v>
      </c>
      <c r="J69" s="5">
        <v>39689</v>
      </c>
      <c r="K69">
        <v>4.5110000000000001</v>
      </c>
    </row>
    <row r="70" spans="1:11" x14ac:dyDescent="0.3">
      <c r="A70" s="15">
        <v>39752</v>
      </c>
      <c r="B70">
        <f t="shared" si="1"/>
        <v>-4.4741805636673835</v>
      </c>
      <c r="C70" s="4">
        <f t="shared" si="0"/>
        <v>-6.1441465345249959</v>
      </c>
      <c r="D70">
        <v>141.90010000000001</v>
      </c>
      <c r="E70">
        <v>152.0592</v>
      </c>
      <c r="F70">
        <v>131.1559</v>
      </c>
      <c r="G70">
        <v>134.732</v>
      </c>
      <c r="J70" s="5">
        <v>39721</v>
      </c>
      <c r="K70">
        <v>5.05</v>
      </c>
    </row>
    <row r="71" spans="1:11" x14ac:dyDescent="0.3">
      <c r="A71" s="15">
        <v>39780</v>
      </c>
      <c r="B71">
        <f t="shared" si="1"/>
        <v>1.3393764451921757</v>
      </c>
      <c r="C71" s="4">
        <f t="shared" si="0"/>
        <v>-1.978177017038812</v>
      </c>
      <c r="D71">
        <v>143.7244</v>
      </c>
      <c r="E71">
        <v>155.3013</v>
      </c>
      <c r="F71">
        <v>126.4062</v>
      </c>
      <c r="G71">
        <v>135.2764</v>
      </c>
      <c r="J71" s="5">
        <v>39752</v>
      </c>
      <c r="K71">
        <v>4.4340000000000002</v>
      </c>
    </row>
    <row r="72" spans="1:11" x14ac:dyDescent="0.3">
      <c r="A72" s="15">
        <v>39813</v>
      </c>
      <c r="B72">
        <f t="shared" si="1"/>
        <v>1.360472087637048</v>
      </c>
      <c r="C72" s="4">
        <f t="shared" si="0"/>
        <v>-2.9008009549172944</v>
      </c>
      <c r="D72">
        <v>145.8793</v>
      </c>
      <c r="E72">
        <v>158.15440000000001</v>
      </c>
      <c r="F72">
        <v>121.482</v>
      </c>
      <c r="G72">
        <v>133.53059999999999</v>
      </c>
      <c r="J72" s="5">
        <v>39780</v>
      </c>
      <c r="K72">
        <v>3.5739999999999998</v>
      </c>
    </row>
    <row r="73" spans="1:11" x14ac:dyDescent="0.3">
      <c r="A73" s="15">
        <v>39843</v>
      </c>
      <c r="B73">
        <f t="shared" si="1"/>
        <v>1.5059410919989786</v>
      </c>
      <c r="C73" s="4">
        <f t="shared" si="0"/>
        <v>-3.3613093891071713</v>
      </c>
      <c r="D73">
        <v>148.48099999999999</v>
      </c>
      <c r="E73">
        <v>160.80619999999999</v>
      </c>
      <c r="F73">
        <v>115.7042</v>
      </c>
      <c r="G73">
        <v>131.5033</v>
      </c>
      <c r="J73" s="5">
        <v>39813</v>
      </c>
      <c r="K73">
        <v>2.6030000000000002</v>
      </c>
    </row>
    <row r="74" spans="1:11" x14ac:dyDescent="0.3">
      <c r="A74" s="15">
        <v>39871</v>
      </c>
      <c r="B74">
        <f t="shared" si="1"/>
        <v>1.8595915635762137</v>
      </c>
      <c r="C74" s="4">
        <f t="shared" si="0"/>
        <v>-7.4333107548722959</v>
      </c>
      <c r="D74">
        <v>151.94059999999999</v>
      </c>
      <c r="E74">
        <v>163.47659999999999</v>
      </c>
      <c r="F74">
        <v>103.711</v>
      </c>
      <c r="G74">
        <v>125.941</v>
      </c>
      <c r="J74" s="5">
        <v>39843</v>
      </c>
      <c r="K74">
        <v>1.7450000000000001</v>
      </c>
    </row>
    <row r="75" spans="1:11" x14ac:dyDescent="0.3">
      <c r="A75" s="15">
        <v>39903</v>
      </c>
      <c r="B75">
        <f t="shared" si="1"/>
        <v>0.24864588963487691</v>
      </c>
      <c r="C75" s="4">
        <f t="shared" si="0"/>
        <v>-1.3901830749999207</v>
      </c>
      <c r="D75">
        <v>152.3939</v>
      </c>
      <c r="E75">
        <v>164.23259999999999</v>
      </c>
      <c r="F75">
        <v>102.9605</v>
      </c>
      <c r="G75">
        <v>123.68259999999999</v>
      </c>
      <c r="J75" s="5">
        <v>39871</v>
      </c>
      <c r="K75">
        <v>1.53</v>
      </c>
    </row>
    <row r="76" spans="1:11" x14ac:dyDescent="0.3">
      <c r="A76" s="15">
        <v>39933</v>
      </c>
      <c r="B76">
        <f t="shared" si="1"/>
        <v>2.2479319449055137</v>
      </c>
      <c r="C76" s="4">
        <f t="shared" si="0"/>
        <v>9.3488842435836794</v>
      </c>
      <c r="D76">
        <v>156.79650000000001</v>
      </c>
      <c r="E76">
        <v>167.17850000000001</v>
      </c>
      <c r="F76">
        <v>116.8099</v>
      </c>
      <c r="G76">
        <v>130.40280000000001</v>
      </c>
      <c r="J76" s="5">
        <v>39903</v>
      </c>
      <c r="K76">
        <v>1.121</v>
      </c>
    </row>
    <row r="77" spans="1:11" x14ac:dyDescent="0.3">
      <c r="A77" s="15">
        <v>39962</v>
      </c>
      <c r="B77">
        <f t="shared" si="1"/>
        <v>1.4506443874343828</v>
      </c>
      <c r="C77" s="4">
        <f t="shared" si="0"/>
        <v>8.410469093116788</v>
      </c>
      <c r="D77">
        <v>160.1497</v>
      </c>
      <c r="E77">
        <v>168.72540000000001</v>
      </c>
      <c r="F77">
        <v>131.465</v>
      </c>
      <c r="G77">
        <v>136.1893</v>
      </c>
      <c r="J77" s="5">
        <v>39933</v>
      </c>
      <c r="K77">
        <v>0.94399999999999995</v>
      </c>
    </row>
    <row r="78" spans="1:11" x14ac:dyDescent="0.3">
      <c r="A78" s="15">
        <v>39994</v>
      </c>
      <c r="B78">
        <f t="shared" si="1"/>
        <v>2.1475731787731762</v>
      </c>
      <c r="C78" s="4">
        <f t="shared" si="0"/>
        <v>4.8544737320849514</v>
      </c>
      <c r="D78">
        <v>164.06829999999999</v>
      </c>
      <c r="E78">
        <v>172.1069</v>
      </c>
      <c r="F78">
        <v>141.2234</v>
      </c>
      <c r="G78">
        <v>139.51499999999999</v>
      </c>
      <c r="J78" s="5">
        <v>39962</v>
      </c>
      <c r="K78">
        <v>0.93500000000000005</v>
      </c>
    </row>
    <row r="79" spans="1:11" x14ac:dyDescent="0.3">
      <c r="A79" s="15">
        <v>40025</v>
      </c>
      <c r="B79">
        <f t="shared" si="1"/>
        <v>2.6203105066068026</v>
      </c>
      <c r="C79" s="4">
        <f t="shared" ref="C79:C142" si="2">0.5*((F79/F78)-1)*100+0.5*((G79/G78)-1)*100 - _xlfn.XLOOKUP(A78,$J:$J,$K:$K)*(DAY(EOMONTH(A79,0))/360)</f>
        <v>9.1860725844612787</v>
      </c>
      <c r="D79">
        <v>169.71109999999999</v>
      </c>
      <c r="E79">
        <v>175.4297</v>
      </c>
      <c r="F79">
        <v>159.91</v>
      </c>
      <c r="G79">
        <v>146.86680000000001</v>
      </c>
      <c r="J79" s="5">
        <v>39994</v>
      </c>
      <c r="K79">
        <v>0.751</v>
      </c>
    </row>
    <row r="80" spans="1:11" x14ac:dyDescent="0.3">
      <c r="A80" s="15">
        <v>40056</v>
      </c>
      <c r="B80">
        <f t="shared" ref="B80:B143" si="3">0.5*((D80/D79)-1)*100+0.5*((E80/E79)-1)*100 - _xlfn.XLOOKUP(A79,$J:$J,$K:$K)*(DAY(EOMONTH(A80,0))/360)</f>
        <v>0.9691128005806452</v>
      </c>
      <c r="C80" s="4">
        <f t="shared" si="2"/>
        <v>2.2479145800300353</v>
      </c>
      <c r="D80">
        <v>171.6388</v>
      </c>
      <c r="E80">
        <v>176.99799999999999</v>
      </c>
      <c r="F80">
        <v>165.017</v>
      </c>
      <c r="G80">
        <v>148.91380000000001</v>
      </c>
      <c r="J80" s="5">
        <v>40025</v>
      </c>
      <c r="K80">
        <v>0.53200000000000003</v>
      </c>
    </row>
    <row r="81" spans="1:11" x14ac:dyDescent="0.3">
      <c r="A81" s="15">
        <v>40086</v>
      </c>
      <c r="B81">
        <f t="shared" si="3"/>
        <v>0.77887536110972933</v>
      </c>
      <c r="C81" s="4">
        <f t="shared" si="2"/>
        <v>4.4252983778463069</v>
      </c>
      <c r="D81">
        <v>173.21680000000001</v>
      </c>
      <c r="E81">
        <v>178.2704</v>
      </c>
      <c r="F81">
        <v>175.7775</v>
      </c>
      <c r="G81">
        <v>152.50299999999999</v>
      </c>
      <c r="J81" s="5">
        <v>40056</v>
      </c>
      <c r="K81">
        <v>0.48299999999999998</v>
      </c>
    </row>
    <row r="82" spans="1:11" x14ac:dyDescent="0.3">
      <c r="A82" s="15">
        <v>40116</v>
      </c>
      <c r="B82">
        <f t="shared" si="3"/>
        <v>0.69722475129981709</v>
      </c>
      <c r="C82" s="4">
        <f t="shared" si="2"/>
        <v>2.0594960238024966</v>
      </c>
      <c r="D82">
        <v>174.88829999999999</v>
      </c>
      <c r="E82">
        <v>179.1705</v>
      </c>
      <c r="F82">
        <v>181.09719999999999</v>
      </c>
      <c r="G82">
        <v>154.2843</v>
      </c>
      <c r="J82" s="5">
        <v>40086</v>
      </c>
      <c r="K82">
        <v>0.438</v>
      </c>
    </row>
    <row r="83" spans="1:11" x14ac:dyDescent="0.3">
      <c r="A83" s="15">
        <v>40147</v>
      </c>
      <c r="B83">
        <f t="shared" si="3"/>
        <v>1.3990014991730111</v>
      </c>
      <c r="C83" s="4">
        <f t="shared" si="2"/>
        <v>-0.64017291205371862</v>
      </c>
      <c r="D83">
        <v>177.6619</v>
      </c>
      <c r="E83">
        <v>181.4682</v>
      </c>
      <c r="F83">
        <v>178.17779999999999</v>
      </c>
      <c r="G83">
        <v>154.90459999999999</v>
      </c>
      <c r="J83" s="5">
        <v>40116</v>
      </c>
      <c r="K83">
        <v>0.42199999999999999</v>
      </c>
    </row>
    <row r="84" spans="1:11" x14ac:dyDescent="0.3">
      <c r="A84" s="15">
        <v>40178</v>
      </c>
      <c r="B84">
        <f t="shared" si="3"/>
        <v>-0.16994937781940739</v>
      </c>
      <c r="C84" s="4">
        <f t="shared" si="2"/>
        <v>0.4028462677153109</v>
      </c>
      <c r="D84">
        <v>177.58279999999999</v>
      </c>
      <c r="E84">
        <v>181.0797</v>
      </c>
      <c r="F84">
        <v>179.43049999999999</v>
      </c>
      <c r="G84">
        <v>155.18950000000001</v>
      </c>
      <c r="J84" s="5">
        <v>40147</v>
      </c>
      <c r="K84">
        <v>0.47199999999999998</v>
      </c>
    </row>
    <row r="85" spans="1:11" x14ac:dyDescent="0.3">
      <c r="A85" s="15">
        <v>40207</v>
      </c>
      <c r="B85">
        <f t="shared" si="3"/>
        <v>1.2294832546494896</v>
      </c>
      <c r="C85" s="4">
        <f t="shared" si="2"/>
        <v>3.2586922077678895</v>
      </c>
      <c r="D85">
        <v>179.9778</v>
      </c>
      <c r="E85">
        <v>183.23150000000001</v>
      </c>
      <c r="F85">
        <v>187.49809999999999</v>
      </c>
      <c r="G85">
        <v>158.44720000000001</v>
      </c>
      <c r="J85" s="5">
        <v>40178</v>
      </c>
      <c r="K85">
        <v>0.45300000000000001</v>
      </c>
    </row>
    <row r="86" spans="1:11" x14ac:dyDescent="0.3">
      <c r="A86" s="15">
        <v>40235</v>
      </c>
      <c r="B86">
        <f t="shared" si="3"/>
        <v>0.76597881527502742</v>
      </c>
      <c r="C86" s="4">
        <f t="shared" si="2"/>
        <v>-2.5594468245225252E-2</v>
      </c>
      <c r="D86">
        <v>181.23070000000001</v>
      </c>
      <c r="E86">
        <v>184.8844</v>
      </c>
      <c r="F86">
        <v>187.07089999999999</v>
      </c>
      <c r="G86">
        <v>158.8321</v>
      </c>
      <c r="J86" s="5">
        <v>40207</v>
      </c>
      <c r="K86">
        <v>0.42599999999999999</v>
      </c>
    </row>
    <row r="87" spans="1:11" x14ac:dyDescent="0.3">
      <c r="A87" s="15">
        <v>40268</v>
      </c>
      <c r="B87">
        <f t="shared" si="3"/>
        <v>0.63804210969401853</v>
      </c>
      <c r="C87" s="4">
        <f t="shared" si="2"/>
        <v>2.5454747702601956</v>
      </c>
      <c r="D87">
        <v>182.57689999999999</v>
      </c>
      <c r="E87">
        <v>186.00280000000001</v>
      </c>
      <c r="F87">
        <v>194.00980000000001</v>
      </c>
      <c r="G87">
        <v>161.1405</v>
      </c>
      <c r="J87" s="5">
        <v>40235</v>
      </c>
      <c r="K87">
        <v>0.41599999999999998</v>
      </c>
    </row>
    <row r="88" spans="1:11" x14ac:dyDescent="0.3">
      <c r="A88" s="15">
        <v>40298</v>
      </c>
      <c r="B88">
        <f t="shared" si="3"/>
        <v>0.71665725912602474</v>
      </c>
      <c r="C88" s="4">
        <f t="shared" si="2"/>
        <v>0.16702096178247719</v>
      </c>
      <c r="D88">
        <v>183.99860000000001</v>
      </c>
      <c r="E88">
        <v>187.34350000000001</v>
      </c>
      <c r="F88">
        <v>194.29490000000001</v>
      </c>
      <c r="G88">
        <v>161.54859999999999</v>
      </c>
      <c r="J88" s="5">
        <v>40268</v>
      </c>
      <c r="K88">
        <v>0.39700000000000002</v>
      </c>
    </row>
    <row r="89" spans="1:11" x14ac:dyDescent="0.3">
      <c r="A89" s="15">
        <v>40329</v>
      </c>
      <c r="B89">
        <f t="shared" si="3"/>
        <v>-0.20631461164152171</v>
      </c>
      <c r="C89" s="4">
        <f t="shared" si="2"/>
        <v>-2.3865678681680369</v>
      </c>
      <c r="D89">
        <v>182.99850000000001</v>
      </c>
      <c r="E89">
        <v>187.72200000000001</v>
      </c>
      <c r="F89">
        <v>187.73220000000001</v>
      </c>
      <c r="G89">
        <v>159.4092</v>
      </c>
      <c r="J89" s="5">
        <v>40298</v>
      </c>
      <c r="K89">
        <v>0.41299999999999998</v>
      </c>
    </row>
    <row r="90" spans="1:11" x14ac:dyDescent="0.3">
      <c r="A90" s="15">
        <v>40359</v>
      </c>
      <c r="B90">
        <f t="shared" si="3"/>
        <v>0.63137343705253035</v>
      </c>
      <c r="C90" s="4">
        <f t="shared" si="2"/>
        <v>-0.92552501121106356</v>
      </c>
      <c r="D90">
        <v>184.369</v>
      </c>
      <c r="E90">
        <v>188.82079999999999</v>
      </c>
      <c r="F90">
        <v>184.21899999999999</v>
      </c>
      <c r="G90">
        <v>159.5556</v>
      </c>
      <c r="J90" s="5">
        <v>40329</v>
      </c>
      <c r="K90">
        <v>0.42899999999999999</v>
      </c>
    </row>
    <row r="91" spans="1:11" x14ac:dyDescent="0.3">
      <c r="A91" s="15">
        <v>40389</v>
      </c>
      <c r="B91">
        <f t="shared" si="3"/>
        <v>0.57040471517308</v>
      </c>
      <c r="C91" s="4">
        <f t="shared" si="2"/>
        <v>3.5270770284676862</v>
      </c>
      <c r="D91">
        <v>185.86420000000001</v>
      </c>
      <c r="E91">
        <v>189.60130000000001</v>
      </c>
      <c r="F91">
        <v>193.72020000000001</v>
      </c>
      <c r="G91">
        <v>162.715</v>
      </c>
      <c r="J91" s="5">
        <v>40359</v>
      </c>
      <c r="K91">
        <v>0.48499999999999999</v>
      </c>
    </row>
    <row r="92" spans="1:11" x14ac:dyDescent="0.3">
      <c r="A92" s="15">
        <v>40421</v>
      </c>
      <c r="B92">
        <f t="shared" si="3"/>
        <v>1.8823295236192337</v>
      </c>
      <c r="C92" s="4">
        <f t="shared" si="2"/>
        <v>1.0920521860440267</v>
      </c>
      <c r="D92">
        <v>189.25899999999999</v>
      </c>
      <c r="E92">
        <v>193.48670000000001</v>
      </c>
      <c r="F92">
        <v>195.53389999999999</v>
      </c>
      <c r="G92">
        <v>164.92619999999999</v>
      </c>
      <c r="J92" s="5">
        <v>40389</v>
      </c>
      <c r="K92">
        <v>0.64500000000000002</v>
      </c>
    </row>
    <row r="93" spans="1:11" x14ac:dyDescent="0.3">
      <c r="A93" s="15">
        <v>40451</v>
      </c>
      <c r="B93">
        <f t="shared" si="3"/>
        <v>-0.61446926935391677</v>
      </c>
      <c r="C93" s="4">
        <f t="shared" si="2"/>
        <v>1.2193844683532749</v>
      </c>
      <c r="D93">
        <v>188.37479999999999</v>
      </c>
      <c r="E93">
        <v>192.21340000000001</v>
      </c>
      <c r="F93">
        <v>200.0943</v>
      </c>
      <c r="G93">
        <v>165.27279999999999</v>
      </c>
      <c r="J93" s="5">
        <v>40421</v>
      </c>
      <c r="K93">
        <v>0.622</v>
      </c>
    </row>
    <row r="94" spans="1:11" x14ac:dyDescent="0.3">
      <c r="A94" s="15">
        <v>40480</v>
      </c>
      <c r="B94">
        <f t="shared" si="3"/>
        <v>-0.21685352992283072</v>
      </c>
      <c r="C94" s="4">
        <f t="shared" si="2"/>
        <v>0.98831496394651563</v>
      </c>
      <c r="D94">
        <v>188.36760000000001</v>
      </c>
      <c r="E94">
        <v>191.59399999999999</v>
      </c>
      <c r="F94">
        <v>203.70050000000001</v>
      </c>
      <c r="G94">
        <v>165.7389</v>
      </c>
      <c r="J94" s="5">
        <v>40451</v>
      </c>
      <c r="K94">
        <v>0.625</v>
      </c>
    </row>
    <row r="95" spans="1:11" x14ac:dyDescent="0.3">
      <c r="A95" s="15">
        <v>40512</v>
      </c>
      <c r="B95">
        <f t="shared" si="3"/>
        <v>-0.50891991110161683</v>
      </c>
      <c r="C95" s="4">
        <f t="shared" si="2"/>
        <v>-3.8129973930583856</v>
      </c>
      <c r="D95">
        <v>187.23769999999999</v>
      </c>
      <c r="E95">
        <v>191.06360000000001</v>
      </c>
      <c r="F95">
        <v>192.82730000000001</v>
      </c>
      <c r="G95">
        <v>162.18049999999999</v>
      </c>
      <c r="J95" s="5">
        <v>40480</v>
      </c>
      <c r="K95">
        <v>0.84699999999999998</v>
      </c>
    </row>
    <row r="96" spans="1:11" x14ac:dyDescent="0.3">
      <c r="A96" s="15">
        <v>40543</v>
      </c>
      <c r="B96">
        <f t="shared" si="3"/>
        <v>-0.24016440924771557</v>
      </c>
      <c r="C96" s="4">
        <f t="shared" si="2"/>
        <v>5.9128455214365133E-2</v>
      </c>
      <c r="D96">
        <v>187.1643</v>
      </c>
      <c r="E96">
        <v>190.4873</v>
      </c>
      <c r="F96">
        <v>193.49090000000001</v>
      </c>
      <c r="G96">
        <v>162.04040000000001</v>
      </c>
      <c r="J96" s="5">
        <v>40512</v>
      </c>
      <c r="K96">
        <v>0.81</v>
      </c>
    </row>
    <row r="97" spans="1:11" x14ac:dyDescent="0.3">
      <c r="A97" s="15">
        <v>40574</v>
      </c>
      <c r="B97">
        <f t="shared" si="3"/>
        <v>-0.84362081192803484</v>
      </c>
      <c r="C97" s="4">
        <f t="shared" si="2"/>
        <v>0.50546012657889539</v>
      </c>
      <c r="D97">
        <v>186.08080000000001</v>
      </c>
      <c r="E97">
        <v>188.6326</v>
      </c>
      <c r="F97">
        <v>195.5394</v>
      </c>
      <c r="G97">
        <v>162.18119999999999</v>
      </c>
      <c r="J97" s="5">
        <v>40543</v>
      </c>
      <c r="K97">
        <v>0.78200000000000003</v>
      </c>
    </row>
    <row r="98" spans="1:11" x14ac:dyDescent="0.3">
      <c r="A98" s="15">
        <v>40602</v>
      </c>
      <c r="B98">
        <f t="shared" si="3"/>
        <v>0.61636907027575827</v>
      </c>
      <c r="C98" s="4">
        <f t="shared" si="2"/>
        <v>1.3521637060736844</v>
      </c>
      <c r="D98">
        <v>187.57310000000001</v>
      </c>
      <c r="E98">
        <v>189.70779999999999</v>
      </c>
      <c r="F98">
        <v>199.2757</v>
      </c>
      <c r="G98">
        <v>163.69399999999999</v>
      </c>
      <c r="J98" s="5">
        <v>40574</v>
      </c>
      <c r="K98">
        <v>0.89500000000000002</v>
      </c>
    </row>
    <row r="99" spans="1:11" x14ac:dyDescent="0.3">
      <c r="A99" s="15">
        <v>40633</v>
      </c>
      <c r="B99">
        <f t="shared" si="3"/>
        <v>-0.53325250327434559</v>
      </c>
      <c r="C99" s="4">
        <f t="shared" si="2"/>
        <v>0.23129029057201661</v>
      </c>
      <c r="D99">
        <v>186.87209999999999</v>
      </c>
      <c r="E99">
        <v>188.67679999999999</v>
      </c>
      <c r="F99">
        <v>200.79769999999999</v>
      </c>
      <c r="G99">
        <v>163.44540000000001</v>
      </c>
      <c r="J99" s="5">
        <v>40602</v>
      </c>
      <c r="K99">
        <v>0.86699999999999999</v>
      </c>
    </row>
    <row r="100" spans="1:11" x14ac:dyDescent="0.3">
      <c r="A100" s="15">
        <v>40662</v>
      </c>
      <c r="B100">
        <f t="shared" si="3"/>
        <v>0.77310151040263619</v>
      </c>
      <c r="C100" s="4">
        <f t="shared" si="2"/>
        <v>1.2218262259421642</v>
      </c>
      <c r="D100">
        <v>188.6557</v>
      </c>
      <c r="E100">
        <v>190.0977</v>
      </c>
      <c r="F100">
        <v>204.0472</v>
      </c>
      <c r="G100">
        <v>165.0581</v>
      </c>
      <c r="J100" s="5">
        <v>40633</v>
      </c>
      <c r="K100">
        <v>0.96799999999999997</v>
      </c>
    </row>
    <row r="101" spans="1:11" x14ac:dyDescent="0.3">
      <c r="A101" s="15">
        <v>40694</v>
      </c>
      <c r="B101">
        <f t="shared" si="3"/>
        <v>0.96469948227406455</v>
      </c>
      <c r="C101" s="4">
        <f t="shared" si="2"/>
        <v>0.36400321422907783</v>
      </c>
      <c r="D101">
        <v>190.71299999999999</v>
      </c>
      <c r="E101">
        <v>192.09739999999999</v>
      </c>
      <c r="F101">
        <v>204.7345</v>
      </c>
      <c r="G101">
        <v>166.05539999999999</v>
      </c>
      <c r="J101" s="5">
        <v>40662</v>
      </c>
      <c r="K101">
        <v>1.2370000000000001</v>
      </c>
    </row>
    <row r="102" spans="1:11" x14ac:dyDescent="0.3">
      <c r="A102" s="15">
        <v>40724</v>
      </c>
      <c r="B102">
        <f t="shared" si="3"/>
        <v>-0.48144995186507739</v>
      </c>
      <c r="C102" s="4">
        <f t="shared" si="2"/>
        <v>-0.86760482686348417</v>
      </c>
      <c r="D102">
        <v>189.63210000000001</v>
      </c>
      <c r="E102">
        <v>191.7296</v>
      </c>
      <c r="F102">
        <v>202.4153</v>
      </c>
      <c r="G102">
        <v>165.39490000000001</v>
      </c>
      <c r="J102" s="5">
        <v>40694</v>
      </c>
      <c r="K102">
        <v>1.228</v>
      </c>
    </row>
    <row r="103" spans="1:11" x14ac:dyDescent="0.3">
      <c r="A103" s="15">
        <v>40753</v>
      </c>
      <c r="B103">
        <f t="shared" si="3"/>
        <v>1.4727633509575824</v>
      </c>
      <c r="C103" s="4">
        <f t="shared" si="2"/>
        <v>-0.27464621005251677</v>
      </c>
      <c r="D103">
        <v>192.53989999999999</v>
      </c>
      <c r="E103">
        <v>194.87459999999999</v>
      </c>
      <c r="F103">
        <v>200.36699999999999</v>
      </c>
      <c r="G103">
        <v>166.53749999999999</v>
      </c>
      <c r="J103" s="5">
        <v>40724</v>
      </c>
      <c r="K103">
        <v>1.325</v>
      </c>
    </row>
    <row r="104" spans="1:11" x14ac:dyDescent="0.3">
      <c r="A104" s="15">
        <v>40786</v>
      </c>
      <c r="B104">
        <f t="shared" si="3"/>
        <v>-0.57041416679304946</v>
      </c>
      <c r="C104" s="4">
        <f t="shared" si="2"/>
        <v>-4.441984334978395</v>
      </c>
      <c r="D104">
        <v>190.53219999999999</v>
      </c>
      <c r="E104">
        <v>195.1644</v>
      </c>
      <c r="F104">
        <v>188.04589999999999</v>
      </c>
      <c r="G104">
        <v>162.39420000000001</v>
      </c>
      <c r="J104" s="5">
        <v>40753</v>
      </c>
      <c r="K104">
        <v>1.4330000000000001</v>
      </c>
    </row>
    <row r="105" spans="1:11" x14ac:dyDescent="0.3">
      <c r="A105" s="15">
        <v>40816</v>
      </c>
      <c r="B105">
        <f t="shared" si="3"/>
        <v>-0.27206548907050615</v>
      </c>
      <c r="C105" s="4">
        <f t="shared" si="2"/>
        <v>-5.286646738397816</v>
      </c>
      <c r="D105">
        <v>189.28569999999999</v>
      </c>
      <c r="E105">
        <v>195.81870000000001</v>
      </c>
      <c r="F105">
        <v>173.51679999999999</v>
      </c>
      <c r="G105">
        <v>158.13659999999999</v>
      </c>
      <c r="J105" s="5">
        <v>40786</v>
      </c>
      <c r="K105">
        <v>1.351</v>
      </c>
    </row>
    <row r="106" spans="1:11" x14ac:dyDescent="0.3">
      <c r="A106" s="15">
        <v>40847</v>
      </c>
      <c r="B106">
        <f t="shared" si="3"/>
        <v>1.3833797440064532</v>
      </c>
      <c r="C106" s="4">
        <f t="shared" si="2"/>
        <v>4.0874946686255029</v>
      </c>
      <c r="D106">
        <v>192.70849999999999</v>
      </c>
      <c r="E106">
        <v>198.15289999999999</v>
      </c>
      <c r="F106">
        <v>183.68340000000001</v>
      </c>
      <c r="G106">
        <v>162.16810000000001</v>
      </c>
      <c r="J106" s="5">
        <v>40816</v>
      </c>
      <c r="K106">
        <v>1.3560000000000001</v>
      </c>
    </row>
    <row r="107" spans="1:11" x14ac:dyDescent="0.3">
      <c r="A107" s="15">
        <v>40877</v>
      </c>
      <c r="B107">
        <f t="shared" si="3"/>
        <v>-1.7089008206031073</v>
      </c>
      <c r="C107" s="4">
        <f t="shared" si="2"/>
        <v>-6.7221906276266923</v>
      </c>
      <c r="D107">
        <v>188.55959999999999</v>
      </c>
      <c r="E107">
        <v>196.09800000000001</v>
      </c>
      <c r="F107">
        <v>168.96780000000001</v>
      </c>
      <c r="G107">
        <v>153.727</v>
      </c>
      <c r="J107" s="5">
        <v>40847</v>
      </c>
      <c r="K107">
        <v>1.367</v>
      </c>
    </row>
    <row r="108" spans="1:11" x14ac:dyDescent="0.3">
      <c r="A108" s="15">
        <v>40907</v>
      </c>
      <c r="B108">
        <f t="shared" si="3"/>
        <v>1.7172018375147533</v>
      </c>
      <c r="C108" s="4">
        <f t="shared" si="2"/>
        <v>3.8696645599092636</v>
      </c>
      <c r="D108">
        <v>191.9975</v>
      </c>
      <c r="E108">
        <v>199.6661</v>
      </c>
      <c r="F108">
        <v>176.6121</v>
      </c>
      <c r="G108">
        <v>158.99</v>
      </c>
      <c r="J108" s="5">
        <v>40877</v>
      </c>
      <c r="K108">
        <v>1.21</v>
      </c>
    </row>
    <row r="109" spans="1:11" x14ac:dyDescent="0.3">
      <c r="A109" s="15">
        <v>40939</v>
      </c>
      <c r="B109">
        <f t="shared" si="3"/>
        <v>1.6012010337469333</v>
      </c>
      <c r="C109" s="4">
        <f t="shared" si="2"/>
        <v>6.0666992685855377</v>
      </c>
      <c r="D109">
        <v>196.18450000000001</v>
      </c>
      <c r="E109">
        <v>202.0581</v>
      </c>
      <c r="F109">
        <v>190.73759999999999</v>
      </c>
      <c r="G109">
        <v>165.84520000000001</v>
      </c>
      <c r="J109" s="5">
        <v>40907</v>
      </c>
      <c r="K109">
        <v>1.024</v>
      </c>
    </row>
    <row r="110" spans="1:11" x14ac:dyDescent="0.3">
      <c r="A110" s="15">
        <v>40968</v>
      </c>
      <c r="B110">
        <f t="shared" si="3"/>
        <v>1.5997159246410186</v>
      </c>
      <c r="C110" s="4">
        <f t="shared" si="2"/>
        <v>2.9184550464238379</v>
      </c>
      <c r="D110">
        <v>200.4939</v>
      </c>
      <c r="E110">
        <v>204.31649999999999</v>
      </c>
      <c r="F110">
        <v>199.01580000000001</v>
      </c>
      <c r="G110">
        <v>168.5181</v>
      </c>
      <c r="J110" s="5">
        <v>40939</v>
      </c>
      <c r="K110">
        <v>0.71299999999999997</v>
      </c>
    </row>
    <row r="111" spans="1:11" x14ac:dyDescent="0.3">
      <c r="A111" s="15">
        <v>40998</v>
      </c>
      <c r="B111">
        <f t="shared" si="3"/>
        <v>0.5225542304608306</v>
      </c>
      <c r="C111" s="4">
        <f t="shared" si="2"/>
        <v>1.1361841761663489</v>
      </c>
      <c r="D111">
        <v>201.78880000000001</v>
      </c>
      <c r="E111">
        <v>205.33070000000001</v>
      </c>
      <c r="F111">
        <v>201.1455</v>
      </c>
      <c r="G111">
        <v>170.70779999999999</v>
      </c>
      <c r="J111" s="5">
        <v>40968</v>
      </c>
      <c r="K111">
        <v>0.56399999999999995</v>
      </c>
    </row>
    <row r="112" spans="1:11" x14ac:dyDescent="0.3">
      <c r="A112" s="15">
        <v>41029</v>
      </c>
      <c r="B112">
        <f t="shared" si="3"/>
        <v>0.28059581144490148</v>
      </c>
      <c r="C112" s="4">
        <f t="shared" si="2"/>
        <v>-0.61385786983708002</v>
      </c>
      <c r="D112">
        <v>201.81659999999999</v>
      </c>
      <c r="E112">
        <v>206.59809999999999</v>
      </c>
      <c r="F112">
        <v>198.7704</v>
      </c>
      <c r="G112">
        <v>170.74690000000001</v>
      </c>
      <c r="J112" s="5">
        <v>40998</v>
      </c>
      <c r="K112">
        <v>0.41899999999999998</v>
      </c>
    </row>
    <row r="113" spans="1:11" x14ac:dyDescent="0.3">
      <c r="A113" s="15">
        <v>41060</v>
      </c>
      <c r="B113">
        <f t="shared" si="3"/>
        <v>0.6674974484580134</v>
      </c>
      <c r="C113" s="4">
        <f t="shared" si="2"/>
        <v>-1.5468578304877376</v>
      </c>
      <c r="D113">
        <v>202.4496</v>
      </c>
      <c r="E113">
        <v>208.85050000000001</v>
      </c>
      <c r="F113">
        <v>193.21090000000001</v>
      </c>
      <c r="G113">
        <v>170.3578</v>
      </c>
      <c r="J113" s="5">
        <v>41029</v>
      </c>
      <c r="K113">
        <v>0.4</v>
      </c>
    </row>
    <row r="114" spans="1:11" x14ac:dyDescent="0.3">
      <c r="A114" s="15">
        <v>41089</v>
      </c>
      <c r="B114">
        <f t="shared" si="3"/>
        <v>-0.90281362735188964</v>
      </c>
      <c r="C114" s="4">
        <f t="shared" si="2"/>
        <v>1.2235009781442316</v>
      </c>
      <c r="D114">
        <v>200.85550000000001</v>
      </c>
      <c r="E114">
        <v>206.85830000000001</v>
      </c>
      <c r="F114">
        <v>196.7165</v>
      </c>
      <c r="G114">
        <v>171.54509999999999</v>
      </c>
      <c r="J114" s="5">
        <v>41060</v>
      </c>
      <c r="K114">
        <v>0.38600000000000001</v>
      </c>
    </row>
    <row r="115" spans="1:11" x14ac:dyDescent="0.3">
      <c r="A115" s="15">
        <v>41121</v>
      </c>
      <c r="B115">
        <f t="shared" si="3"/>
        <v>2.4458466430618446</v>
      </c>
      <c r="C115" s="4">
        <f t="shared" si="2"/>
        <v>2.4045805860472784</v>
      </c>
      <c r="D115">
        <v>206.09059999999999</v>
      </c>
      <c r="E115">
        <v>211.71850000000001</v>
      </c>
      <c r="F115">
        <v>202.14580000000001</v>
      </c>
      <c r="G115">
        <v>175.17060000000001</v>
      </c>
      <c r="J115" s="5">
        <v>41089</v>
      </c>
      <c r="K115">
        <v>0.373</v>
      </c>
    </row>
    <row r="116" spans="1:11" x14ac:dyDescent="0.3">
      <c r="A116" s="15">
        <v>41152</v>
      </c>
      <c r="B116">
        <f t="shared" si="3"/>
        <v>0.83878674975615819</v>
      </c>
      <c r="C116" s="4">
        <f t="shared" si="2"/>
        <v>1.3969645381640903</v>
      </c>
      <c r="D116">
        <v>208.39259999999999</v>
      </c>
      <c r="E116">
        <v>212.9597</v>
      </c>
      <c r="F116">
        <v>205.874</v>
      </c>
      <c r="G116">
        <v>176.87899999999999</v>
      </c>
      <c r="J116" s="5">
        <v>41121</v>
      </c>
      <c r="K116">
        <v>0.14899999999999999</v>
      </c>
    </row>
    <row r="117" spans="1:11" x14ac:dyDescent="0.3">
      <c r="A117" s="15">
        <v>41180</v>
      </c>
      <c r="B117">
        <f t="shared" si="3"/>
        <v>-0.10416113115657211</v>
      </c>
      <c r="C117" s="4">
        <f t="shared" si="2"/>
        <v>2.2799524889729024</v>
      </c>
      <c r="D117">
        <v>208.7989</v>
      </c>
      <c r="E117">
        <v>212.1438</v>
      </c>
      <c r="F117">
        <v>212.87289999999999</v>
      </c>
      <c r="G117">
        <v>178.96700000000001</v>
      </c>
      <c r="J117" s="5">
        <v>41152</v>
      </c>
      <c r="K117">
        <v>0.121</v>
      </c>
    </row>
    <row r="118" spans="1:11" x14ac:dyDescent="0.3">
      <c r="A118" s="15">
        <v>41213</v>
      </c>
      <c r="B118">
        <f t="shared" si="3"/>
        <v>0.94742870341039498</v>
      </c>
      <c r="C118" s="4">
        <f t="shared" si="2"/>
        <v>1.596122555402572</v>
      </c>
      <c r="D118">
        <v>211.45429999999999</v>
      </c>
      <c r="E118">
        <v>213.5077</v>
      </c>
      <c r="F118">
        <v>217.50059999999999</v>
      </c>
      <c r="G118">
        <v>180.82490000000001</v>
      </c>
      <c r="J118" s="5">
        <v>41180</v>
      </c>
      <c r="K118">
        <v>0.115</v>
      </c>
    </row>
    <row r="119" spans="1:11" x14ac:dyDescent="0.3">
      <c r="A119" s="15">
        <v>41243</v>
      </c>
      <c r="B119">
        <f t="shared" si="3"/>
        <v>0.55160555040044035</v>
      </c>
      <c r="C119" s="4">
        <f t="shared" si="2"/>
        <v>1.3525998728406141</v>
      </c>
      <c r="D119">
        <v>212.94579999999999</v>
      </c>
      <c r="E119">
        <v>214.3963</v>
      </c>
      <c r="F119">
        <v>221.53309999999999</v>
      </c>
      <c r="G119">
        <v>182.3972</v>
      </c>
      <c r="J119" s="5">
        <v>41213</v>
      </c>
      <c r="K119">
        <v>0.11</v>
      </c>
    </row>
    <row r="120" spans="1:11" x14ac:dyDescent="0.3">
      <c r="A120" s="15">
        <v>41274</v>
      </c>
      <c r="B120">
        <f t="shared" si="3"/>
        <v>0.66294219637051777</v>
      </c>
      <c r="C120" s="4">
        <f t="shared" si="2"/>
        <v>1.533230302943132</v>
      </c>
      <c r="D120">
        <v>214.6592</v>
      </c>
      <c r="E120">
        <v>215.5556</v>
      </c>
      <c r="F120">
        <v>225.89779999999999</v>
      </c>
      <c r="G120">
        <v>184.43219999999999</v>
      </c>
      <c r="J120" s="5">
        <v>41243</v>
      </c>
      <c r="K120">
        <v>0.113</v>
      </c>
    </row>
    <row r="121" spans="1:11" x14ac:dyDescent="0.3">
      <c r="A121" s="15">
        <v>41305</v>
      </c>
      <c r="B121">
        <f t="shared" si="3"/>
        <v>-1.3189210913166789</v>
      </c>
      <c r="C121" s="4">
        <f t="shared" si="2"/>
        <v>-0.88050681111192697</v>
      </c>
      <c r="D121">
        <v>212.06049999999999</v>
      </c>
      <c r="E121">
        <v>212.5196</v>
      </c>
      <c r="F121">
        <v>224.63910000000001</v>
      </c>
      <c r="G121">
        <v>182.2466</v>
      </c>
      <c r="J121" s="5">
        <v>41274</v>
      </c>
      <c r="K121">
        <v>0.109</v>
      </c>
    </row>
    <row r="122" spans="1:11" x14ac:dyDescent="0.3">
      <c r="A122" s="15">
        <v>41333</v>
      </c>
      <c r="B122">
        <f t="shared" si="3"/>
        <v>1.2674843316164881</v>
      </c>
      <c r="C122" s="4">
        <f t="shared" si="2"/>
        <v>1.1213989386520202</v>
      </c>
      <c r="D122">
        <v>214.7424</v>
      </c>
      <c r="E122">
        <v>215.25919999999999</v>
      </c>
      <c r="F122">
        <v>226.5694</v>
      </c>
      <c r="G122">
        <v>184.8023</v>
      </c>
      <c r="J122" s="5">
        <v>41305</v>
      </c>
      <c r="K122">
        <v>0.121</v>
      </c>
    </row>
    <row r="123" spans="1:11" x14ac:dyDescent="0.3">
      <c r="A123" s="15">
        <v>41362</v>
      </c>
      <c r="B123">
        <f t="shared" si="3"/>
        <v>0.82015977728420841</v>
      </c>
      <c r="C123" s="4">
        <f t="shared" si="2"/>
        <v>1.6316932629235569E-2</v>
      </c>
      <c r="D123">
        <v>216.77189999999999</v>
      </c>
      <c r="E123">
        <v>216.79949999999999</v>
      </c>
      <c r="F123">
        <v>226.27070000000001</v>
      </c>
      <c r="G123">
        <v>185.1438</v>
      </c>
      <c r="J123" s="5">
        <v>41333</v>
      </c>
      <c r="K123">
        <v>0.11799999999999999</v>
      </c>
    </row>
    <row r="124" spans="1:11" x14ac:dyDescent="0.3">
      <c r="A124" s="15">
        <v>41394</v>
      </c>
      <c r="B124">
        <f t="shared" si="3"/>
        <v>0.85992949755398784</v>
      </c>
      <c r="C124" s="4">
        <f t="shared" si="2"/>
        <v>2.3101291773064943</v>
      </c>
      <c r="D124">
        <v>219.2978</v>
      </c>
      <c r="E124">
        <v>218.04419999999999</v>
      </c>
      <c r="F124">
        <v>233.6952</v>
      </c>
      <c r="G124">
        <v>187.65899999999999</v>
      </c>
      <c r="J124" s="5">
        <v>41362</v>
      </c>
      <c r="K124">
        <v>0.11700000000000001</v>
      </c>
    </row>
    <row r="125" spans="1:11" x14ac:dyDescent="0.3">
      <c r="A125" s="15">
        <v>41425</v>
      </c>
      <c r="B125">
        <f t="shared" si="3"/>
        <v>-0.14767756926555192</v>
      </c>
      <c r="C125" s="4">
        <f t="shared" si="2"/>
        <v>-0.18418543047172725</v>
      </c>
      <c r="D125">
        <v>219.20060000000001</v>
      </c>
      <c r="E125">
        <v>217.54040000000001</v>
      </c>
      <c r="F125">
        <v>233.5652</v>
      </c>
      <c r="G125">
        <v>187.1096</v>
      </c>
      <c r="J125" s="5">
        <v>41394</v>
      </c>
      <c r="K125">
        <v>0.11600000000000001</v>
      </c>
    </row>
    <row r="126" spans="1:11" x14ac:dyDescent="0.3">
      <c r="A126" s="15">
        <v>41453</v>
      </c>
      <c r="B126">
        <f t="shared" si="3"/>
        <v>-1.723050246972379</v>
      </c>
      <c r="C126" s="4">
        <f t="shared" si="2"/>
        <v>-1.6214014526994995</v>
      </c>
      <c r="D126">
        <v>214.86869999999999</v>
      </c>
      <c r="E126">
        <v>214.38380000000001</v>
      </c>
      <c r="F126">
        <v>229.63079999999999</v>
      </c>
      <c r="G126">
        <v>184.22909999999999</v>
      </c>
      <c r="J126" s="5">
        <v>41425</v>
      </c>
      <c r="K126">
        <v>0.113</v>
      </c>
    </row>
    <row r="127" spans="1:11" x14ac:dyDescent="0.3">
      <c r="A127" s="15">
        <v>41486</v>
      </c>
      <c r="B127">
        <f t="shared" si="3"/>
        <v>0.77791728167122931</v>
      </c>
      <c r="C127" s="4">
        <f t="shared" si="2"/>
        <v>1.0712624233310803</v>
      </c>
      <c r="D127">
        <v>216.74270000000001</v>
      </c>
      <c r="E127">
        <v>215.89490000000001</v>
      </c>
      <c r="F127">
        <v>232.7045</v>
      </c>
      <c r="G127">
        <v>185.74930000000001</v>
      </c>
      <c r="J127" s="5">
        <v>41453</v>
      </c>
      <c r="K127">
        <v>0.123</v>
      </c>
    </row>
    <row r="128" spans="1:11" x14ac:dyDescent="0.3">
      <c r="A128" s="15">
        <v>41516</v>
      </c>
      <c r="B128">
        <f t="shared" si="3"/>
        <v>-0.30247686437051163</v>
      </c>
      <c r="C128" s="4">
        <f t="shared" si="2"/>
        <v>-4.331672735440488E-2</v>
      </c>
      <c r="D128">
        <v>216.2457</v>
      </c>
      <c r="E128">
        <v>215.1326</v>
      </c>
      <c r="F128">
        <v>233.0718</v>
      </c>
      <c r="G128">
        <v>185.33709999999999</v>
      </c>
      <c r="J128" s="5">
        <v>41486</v>
      </c>
      <c r="K128">
        <v>0.13100000000000001</v>
      </c>
    </row>
    <row r="129" spans="1:11" x14ac:dyDescent="0.3">
      <c r="A129" s="15">
        <v>41547</v>
      </c>
      <c r="B129">
        <f t="shared" si="3"/>
        <v>0.52714580270893197</v>
      </c>
      <c r="C129" s="4">
        <f t="shared" si="2"/>
        <v>0.85671064559175547</v>
      </c>
      <c r="D129">
        <v>217.60980000000001</v>
      </c>
      <c r="E129">
        <v>216.0899</v>
      </c>
      <c r="F129">
        <v>235.47819999999999</v>
      </c>
      <c r="G129">
        <v>186.63900000000001</v>
      </c>
      <c r="J129" s="5">
        <v>41516</v>
      </c>
      <c r="K129">
        <v>0.129</v>
      </c>
    </row>
    <row r="130" spans="1:11" x14ac:dyDescent="0.3">
      <c r="A130" s="15">
        <v>41578</v>
      </c>
      <c r="B130">
        <f t="shared" si="3"/>
        <v>0.99406507714059456</v>
      </c>
      <c r="C130" s="4">
        <f t="shared" si="2"/>
        <v>1.4817864317231322</v>
      </c>
      <c r="D130">
        <v>220.2894</v>
      </c>
      <c r="E130">
        <v>217.77279999999999</v>
      </c>
      <c r="F130">
        <v>240.18</v>
      </c>
      <c r="G130">
        <v>188.4847</v>
      </c>
      <c r="J130" s="5">
        <v>41547</v>
      </c>
      <c r="K130">
        <v>0.128</v>
      </c>
    </row>
    <row r="131" spans="1:11" x14ac:dyDescent="0.3">
      <c r="A131" s="15">
        <v>41607</v>
      </c>
      <c r="B131">
        <f t="shared" si="3"/>
        <v>0.11181641708198234</v>
      </c>
      <c r="C131" s="4">
        <f t="shared" si="2"/>
        <v>0.42382582309451899</v>
      </c>
      <c r="D131">
        <v>220.83250000000001</v>
      </c>
      <c r="E131">
        <v>217.77010000000001</v>
      </c>
      <c r="F131">
        <v>241.74789999999999</v>
      </c>
      <c r="G131">
        <v>188.89279999999999</v>
      </c>
      <c r="J131" s="5">
        <v>41578</v>
      </c>
      <c r="K131">
        <v>0.13</v>
      </c>
    </row>
    <row r="132" spans="1:11" x14ac:dyDescent="0.3">
      <c r="A132" s="15">
        <v>41639</v>
      </c>
      <c r="B132">
        <f t="shared" si="3"/>
        <v>-0.60472880800856299</v>
      </c>
      <c r="C132" s="4">
        <f t="shared" si="2"/>
        <v>-0.16232170376797989</v>
      </c>
      <c r="D132">
        <v>219.7998</v>
      </c>
      <c r="E132">
        <v>216.21690000000001</v>
      </c>
      <c r="F132">
        <v>241.93600000000001</v>
      </c>
      <c r="G132">
        <v>188.1866</v>
      </c>
      <c r="J132" s="5">
        <v>41607</v>
      </c>
      <c r="K132">
        <v>0.16600000000000001</v>
      </c>
    </row>
    <row r="133" spans="1:11" x14ac:dyDescent="0.3">
      <c r="A133" s="15">
        <v>41670</v>
      </c>
      <c r="B133">
        <f t="shared" si="3"/>
        <v>1.4763088588980031</v>
      </c>
      <c r="C133" s="4">
        <f t="shared" si="2"/>
        <v>1.1807001754517119</v>
      </c>
      <c r="D133">
        <v>222.7818</v>
      </c>
      <c r="E133">
        <v>219.74799999999999</v>
      </c>
      <c r="F133">
        <v>244.78460000000001</v>
      </c>
      <c r="G133">
        <v>190.4847</v>
      </c>
      <c r="J133" s="5">
        <v>41639</v>
      </c>
      <c r="K133">
        <v>0.216</v>
      </c>
    </row>
    <row r="134" spans="1:11" x14ac:dyDescent="0.3">
      <c r="A134" s="15">
        <v>41698</v>
      </c>
      <c r="B134">
        <f t="shared" si="3"/>
        <v>0.42874691826991279</v>
      </c>
      <c r="C134" s="4">
        <f t="shared" si="2"/>
        <v>0.78314719762507323</v>
      </c>
      <c r="D134">
        <v>224.1369</v>
      </c>
      <c r="E134">
        <v>220.37430000000001</v>
      </c>
      <c r="F134">
        <v>247.60390000000001</v>
      </c>
      <c r="G134">
        <v>191.3425</v>
      </c>
      <c r="J134" s="5">
        <v>41670</v>
      </c>
      <c r="K134">
        <v>0.23</v>
      </c>
    </row>
    <row r="135" spans="1:11" x14ac:dyDescent="0.3">
      <c r="A135" s="15">
        <v>41729</v>
      </c>
      <c r="B135">
        <f t="shared" si="3"/>
        <v>0.36767793247095198</v>
      </c>
      <c r="C135" s="4">
        <f t="shared" si="2"/>
        <v>0.50090454762701997</v>
      </c>
      <c r="D135">
        <v>225.06180000000001</v>
      </c>
      <c r="E135">
        <v>221.16820000000001</v>
      </c>
      <c r="F135">
        <v>249.30959999999999</v>
      </c>
      <c r="G135">
        <v>192.01310000000001</v>
      </c>
      <c r="J135" s="5">
        <v>41698</v>
      </c>
      <c r="K135">
        <v>0.218</v>
      </c>
    </row>
    <row r="136" spans="1:11" x14ac:dyDescent="0.3">
      <c r="A136" s="15">
        <v>41759</v>
      </c>
      <c r="B136">
        <f t="shared" si="3"/>
        <v>0.89614581780507907</v>
      </c>
      <c r="C136" s="4">
        <f t="shared" si="2"/>
        <v>0.91388331012242807</v>
      </c>
      <c r="D136">
        <v>227.48140000000001</v>
      </c>
      <c r="E136">
        <v>222.84180000000001</v>
      </c>
      <c r="F136">
        <v>251.8442</v>
      </c>
      <c r="G136">
        <v>193.6464</v>
      </c>
      <c r="J136" s="5">
        <v>41729</v>
      </c>
      <c r="K136">
        <v>0.23699999999999999</v>
      </c>
    </row>
    <row r="137" spans="1:11" x14ac:dyDescent="0.3">
      <c r="A137" s="15">
        <v>41789</v>
      </c>
      <c r="B137">
        <f t="shared" si="3"/>
        <v>0.9338258317694077</v>
      </c>
      <c r="C137" s="4">
        <f t="shared" si="2"/>
        <v>0.79176452695456323</v>
      </c>
      <c r="D137">
        <v>229.61539999999999</v>
      </c>
      <c r="E137">
        <v>225.01339999999999</v>
      </c>
      <c r="F137">
        <v>253.88460000000001</v>
      </c>
      <c r="G137">
        <v>195.23099999999999</v>
      </c>
      <c r="J137" s="5">
        <v>41759</v>
      </c>
      <c r="K137">
        <v>0.26100000000000001</v>
      </c>
    </row>
    <row r="138" spans="1:11" x14ac:dyDescent="0.3">
      <c r="A138" s="15">
        <v>41820</v>
      </c>
      <c r="B138">
        <f t="shared" si="3"/>
        <v>0.6412723013842474</v>
      </c>
      <c r="C138" s="4">
        <f t="shared" si="2"/>
        <v>0.42913453337852059</v>
      </c>
      <c r="D138">
        <v>231.23060000000001</v>
      </c>
      <c r="E138">
        <v>226.41059999999999</v>
      </c>
      <c r="F138">
        <v>255.14169999999999</v>
      </c>
      <c r="G138">
        <v>196.02160000000001</v>
      </c>
      <c r="J138" s="5">
        <v>41789</v>
      </c>
      <c r="K138">
        <v>0.251</v>
      </c>
    </row>
    <row r="139" spans="1:11" x14ac:dyDescent="0.3">
      <c r="A139" s="15">
        <v>41851</v>
      </c>
      <c r="B139">
        <f t="shared" si="3"/>
        <v>0.51695172044849225</v>
      </c>
      <c r="C139" s="4">
        <f t="shared" si="2"/>
        <v>0.41498927470912472</v>
      </c>
      <c r="D139">
        <v>232.19630000000001</v>
      </c>
      <c r="E139">
        <v>227.84450000000001</v>
      </c>
      <c r="F139">
        <v>255.9092</v>
      </c>
      <c r="G139">
        <v>197.09229999999999</v>
      </c>
      <c r="J139" s="5">
        <v>41820</v>
      </c>
      <c r="K139">
        <v>9.9000000000000005E-2</v>
      </c>
    </row>
    <row r="140" spans="1:11" x14ac:dyDescent="0.3">
      <c r="A140" s="15">
        <v>41880</v>
      </c>
      <c r="B140">
        <f t="shared" si="3"/>
        <v>1.1950611440196666</v>
      </c>
      <c r="C140" s="4">
        <f t="shared" si="2"/>
        <v>1.1185503310033937</v>
      </c>
      <c r="D140">
        <v>234.71379999999999</v>
      </c>
      <c r="E140">
        <v>230.85839999999999</v>
      </c>
      <c r="F140">
        <v>258.8186</v>
      </c>
      <c r="G140">
        <v>199.29400000000001</v>
      </c>
      <c r="J140" s="5">
        <v>41851</v>
      </c>
      <c r="K140">
        <v>9.8000000000000004E-2</v>
      </c>
    </row>
    <row r="141" spans="1:11" x14ac:dyDescent="0.3">
      <c r="A141" s="15">
        <v>41912</v>
      </c>
      <c r="B141">
        <f t="shared" si="3"/>
        <v>0.14553526458900617</v>
      </c>
      <c r="C141" s="4">
        <f t="shared" si="2"/>
        <v>7.7352864684241351E-2</v>
      </c>
      <c r="D141">
        <v>234.9975</v>
      </c>
      <c r="E141">
        <v>231.27709999999999</v>
      </c>
      <c r="F141">
        <v>258.58870000000002</v>
      </c>
      <c r="G141">
        <v>199.80160000000001</v>
      </c>
      <c r="J141" s="5">
        <v>41880</v>
      </c>
      <c r="K141">
        <v>6.7000000000000004E-2</v>
      </c>
    </row>
    <row r="142" spans="1:11" x14ac:dyDescent="0.3">
      <c r="A142" s="15">
        <v>41943</v>
      </c>
      <c r="B142">
        <f t="shared" si="3"/>
        <v>0.43439839118051554</v>
      </c>
      <c r="C142" s="4">
        <f t="shared" si="2"/>
        <v>0.46577439982750385</v>
      </c>
      <c r="D142">
        <v>235.8492</v>
      </c>
      <c r="E142">
        <v>232.45099999999999</v>
      </c>
      <c r="F142">
        <v>259.92169999999999</v>
      </c>
      <c r="G142">
        <v>200.6353</v>
      </c>
      <c r="J142" s="5">
        <v>41912</v>
      </c>
      <c r="K142">
        <v>7.0000000000000001E-3</v>
      </c>
    </row>
    <row r="143" spans="1:11" x14ac:dyDescent="0.3">
      <c r="A143" s="15">
        <v>41971</v>
      </c>
      <c r="B143">
        <f t="shared" si="3"/>
        <v>0.62358870653598786</v>
      </c>
      <c r="C143" s="4">
        <f t="shared" ref="C143:C206" si="4">0.5*((F143/F142)-1)*100+0.5*((G143/G142)-1)*100 - _xlfn.XLOOKUP(A142,$J:$J,$K:$K)*(DAY(EOMONTH(A143,0))/360)</f>
        <v>0.54324072011073243</v>
      </c>
      <c r="D143">
        <v>237.32400000000001</v>
      </c>
      <c r="E143">
        <v>233.90039999999999</v>
      </c>
      <c r="F143">
        <v>261.26760000000002</v>
      </c>
      <c r="G143">
        <v>201.77959999999999</v>
      </c>
      <c r="J143" s="5">
        <v>41943</v>
      </c>
      <c r="K143">
        <v>0.01</v>
      </c>
    </row>
    <row r="144" spans="1:11" x14ac:dyDescent="0.3">
      <c r="A144" s="15">
        <v>42004</v>
      </c>
      <c r="B144">
        <f t="shared" ref="B144:B207" si="5">0.5*((D144/D143)-1)*100+0.5*((E144/E143)-1)*100 - _xlfn.XLOOKUP(A143,$J:$J,$K:$K)*(DAY(EOMONTH(A144,0))/360)</f>
        <v>0.64671971389596039</v>
      </c>
      <c r="C144" s="4">
        <f t="shared" si="4"/>
        <v>0.35211131178746208</v>
      </c>
      <c r="D144">
        <v>238.63300000000001</v>
      </c>
      <c r="E144">
        <v>235.6437</v>
      </c>
      <c r="F144">
        <v>261.69130000000001</v>
      </c>
      <c r="G144">
        <v>202.88030000000001</v>
      </c>
      <c r="J144" s="5">
        <v>41971</v>
      </c>
      <c r="K144">
        <v>0.02</v>
      </c>
    </row>
    <row r="145" spans="1:11" x14ac:dyDescent="0.3">
      <c r="A145" s="15">
        <v>42034</v>
      </c>
      <c r="B145">
        <f t="shared" si="5"/>
        <v>1.1340407437498148</v>
      </c>
      <c r="C145" s="4">
        <f t="shared" si="4"/>
        <v>0.80669677949491436</v>
      </c>
      <c r="D145">
        <v>241.3475</v>
      </c>
      <c r="E145">
        <v>238.3151</v>
      </c>
      <c r="F145">
        <v>264.59629999999999</v>
      </c>
      <c r="G145">
        <v>203.90770000000001</v>
      </c>
      <c r="J145" s="5">
        <v>42004</v>
      </c>
      <c r="K145">
        <v>1.7999999999999999E-2</v>
      </c>
    </row>
    <row r="146" spans="1:11" x14ac:dyDescent="0.3">
      <c r="A146" s="15">
        <v>42062</v>
      </c>
      <c r="B146">
        <f t="shared" si="5"/>
        <v>0.42620694708144941</v>
      </c>
      <c r="C146" s="4">
        <f t="shared" si="4"/>
        <v>0.91882571465805196</v>
      </c>
      <c r="D146">
        <v>242.8914</v>
      </c>
      <c r="E146">
        <v>238.82239999999999</v>
      </c>
      <c r="F146">
        <v>267.65899999999999</v>
      </c>
      <c r="G146">
        <v>205.29490000000001</v>
      </c>
      <c r="J146" s="5">
        <v>42034</v>
      </c>
      <c r="K146">
        <v>1E-3</v>
      </c>
    </row>
    <row r="147" spans="1:11" x14ac:dyDescent="0.3">
      <c r="A147" s="15">
        <v>42094</v>
      </c>
      <c r="B147">
        <f t="shared" si="5"/>
        <v>-0.16620785145406719</v>
      </c>
      <c r="C147" s="4">
        <f t="shared" si="4"/>
        <v>-0.13499129118527969</v>
      </c>
      <c r="D147">
        <v>242.36250000000001</v>
      </c>
      <c r="E147">
        <v>238.54650000000001</v>
      </c>
      <c r="F147">
        <v>267.30590000000001</v>
      </c>
      <c r="G147">
        <v>205.00970000000001</v>
      </c>
      <c r="J147" s="5">
        <v>42062</v>
      </c>
      <c r="K147">
        <v>-5.0000000000000001E-3</v>
      </c>
    </row>
    <row r="148" spans="1:11" x14ac:dyDescent="0.3">
      <c r="A148" s="15">
        <v>42124</v>
      </c>
      <c r="B148">
        <f t="shared" si="5"/>
        <v>-0.57434747271556663</v>
      </c>
      <c r="C148" s="4">
        <f t="shared" si="4"/>
        <v>-0.36048356390737935</v>
      </c>
      <c r="D148">
        <v>241.1199</v>
      </c>
      <c r="E148">
        <v>237.02340000000001</v>
      </c>
      <c r="F148">
        <v>266.48410000000001</v>
      </c>
      <c r="G148">
        <v>204.1568</v>
      </c>
      <c r="J148" s="5">
        <v>42094</v>
      </c>
      <c r="K148">
        <v>-1.4999999999999999E-2</v>
      </c>
    </row>
    <row r="149" spans="1:11" x14ac:dyDescent="0.3">
      <c r="A149" s="15">
        <v>42153</v>
      </c>
      <c r="B149">
        <f t="shared" si="5"/>
        <v>-0.49681739799665203</v>
      </c>
      <c r="C149" s="4">
        <f t="shared" si="4"/>
        <v>-0.39805194330356264</v>
      </c>
      <c r="D149">
        <v>239.9177</v>
      </c>
      <c r="E149">
        <v>235.83369999999999</v>
      </c>
      <c r="F149">
        <v>265.10849999999999</v>
      </c>
      <c r="G149">
        <v>203.57130000000001</v>
      </c>
      <c r="J149" s="5">
        <v>42124</v>
      </c>
      <c r="K149">
        <v>-0.04</v>
      </c>
    </row>
    <row r="150" spans="1:11" x14ac:dyDescent="0.3">
      <c r="A150" s="15">
        <v>42185</v>
      </c>
      <c r="B150">
        <f t="shared" si="5"/>
        <v>-1.9854723327288482</v>
      </c>
      <c r="C150" s="4">
        <f t="shared" si="4"/>
        <v>-2.0187642313291336</v>
      </c>
      <c r="D150">
        <v>234.9605</v>
      </c>
      <c r="E150">
        <v>231.3185</v>
      </c>
      <c r="F150">
        <v>259.23340000000002</v>
      </c>
      <c r="G150">
        <v>199.8434</v>
      </c>
      <c r="J150" s="5">
        <v>42153</v>
      </c>
      <c r="K150">
        <v>-5.8999999999999997E-2</v>
      </c>
    </row>
    <row r="151" spans="1:11" x14ac:dyDescent="0.3">
      <c r="A151" s="15">
        <v>42216</v>
      </c>
      <c r="B151">
        <f t="shared" si="5"/>
        <v>1.2318425664565973</v>
      </c>
      <c r="C151" s="4">
        <f t="shared" si="4"/>
        <v>1.2927588951591067</v>
      </c>
      <c r="D151">
        <v>237.7757</v>
      </c>
      <c r="E151">
        <v>234.22040000000001</v>
      </c>
      <c r="F151">
        <v>263.19650000000001</v>
      </c>
      <c r="G151">
        <v>201.9332</v>
      </c>
      <c r="J151" s="5">
        <v>42185</v>
      </c>
      <c r="K151">
        <v>-6.4000000000000001E-2</v>
      </c>
    </row>
    <row r="152" spans="1:11" x14ac:dyDescent="0.3">
      <c r="A152" s="15">
        <v>42247</v>
      </c>
      <c r="B152">
        <f t="shared" si="5"/>
        <v>-0.96487986373783097</v>
      </c>
      <c r="C152" s="4">
        <f t="shared" si="4"/>
        <v>-0.62727825276538207</v>
      </c>
      <c r="D152">
        <v>235.27070000000001</v>
      </c>
      <c r="E152">
        <v>232.1378</v>
      </c>
      <c r="F152">
        <v>261.3107</v>
      </c>
      <c r="G152">
        <v>200.82060000000001</v>
      </c>
      <c r="J152" s="5">
        <v>42216</v>
      </c>
      <c r="K152">
        <v>-7.4999999999999997E-2</v>
      </c>
    </row>
    <row r="153" spans="1:11" x14ac:dyDescent="0.3">
      <c r="A153" s="15">
        <v>42277</v>
      </c>
      <c r="B153">
        <f t="shared" si="5"/>
        <v>-1.07286366418358</v>
      </c>
      <c r="C153" s="4">
        <f t="shared" si="4"/>
        <v>-0.57093404150384908</v>
      </c>
      <c r="D153">
        <v>231.7757</v>
      </c>
      <c r="E153">
        <v>230.56729999999999</v>
      </c>
      <c r="F153">
        <v>258.8458</v>
      </c>
      <c r="G153">
        <v>200.38900000000001</v>
      </c>
      <c r="J153" s="5">
        <v>42247</v>
      </c>
      <c r="K153">
        <v>-9.8000000000000004E-2</v>
      </c>
    </row>
    <row r="154" spans="1:11" x14ac:dyDescent="0.3">
      <c r="A154" s="15">
        <v>42307</v>
      </c>
      <c r="B154">
        <f t="shared" si="5"/>
        <v>1.5387493946692383</v>
      </c>
      <c r="C154" s="4">
        <f t="shared" si="4"/>
        <v>1.5476282247446478</v>
      </c>
      <c r="D154">
        <v>235.58590000000001</v>
      </c>
      <c r="E154">
        <v>233.8278</v>
      </c>
      <c r="F154">
        <v>263.7801</v>
      </c>
      <c r="G154">
        <v>202.73259999999999</v>
      </c>
      <c r="J154" s="5">
        <v>42277</v>
      </c>
      <c r="K154">
        <v>-0.113</v>
      </c>
    </row>
    <row r="155" spans="1:11" x14ac:dyDescent="0.3">
      <c r="A155" s="15">
        <v>42338</v>
      </c>
      <c r="B155">
        <f t="shared" si="5"/>
        <v>0.56646604774681808</v>
      </c>
      <c r="C155" s="4">
        <f t="shared" si="4"/>
        <v>0.88346777530341647</v>
      </c>
      <c r="D155">
        <v>236.78729999999999</v>
      </c>
      <c r="E155">
        <v>235.2381</v>
      </c>
      <c r="F155">
        <v>266.24799999999999</v>
      </c>
      <c r="G155">
        <v>204.37780000000001</v>
      </c>
      <c r="J155" s="5">
        <v>42307</v>
      </c>
      <c r="K155">
        <v>-0.11899999999999999</v>
      </c>
    </row>
    <row r="156" spans="1:11" x14ac:dyDescent="0.3">
      <c r="A156" s="15">
        <v>42369</v>
      </c>
      <c r="B156">
        <f t="shared" si="5"/>
        <v>-0.9590107969933912</v>
      </c>
      <c r="C156" s="4">
        <f t="shared" si="4"/>
        <v>-0.6554641396333869</v>
      </c>
      <c r="D156">
        <v>234.33320000000001</v>
      </c>
      <c r="E156">
        <v>233.09899999999999</v>
      </c>
      <c r="F156">
        <v>264.32619999999997</v>
      </c>
      <c r="G156">
        <v>203.11709999999999</v>
      </c>
      <c r="J156" s="5">
        <v>42338</v>
      </c>
      <c r="K156">
        <v>-0.161</v>
      </c>
    </row>
    <row r="157" spans="1:11" x14ac:dyDescent="0.3">
      <c r="A157" s="15">
        <v>42398</v>
      </c>
      <c r="B157">
        <f t="shared" si="5"/>
        <v>0.6817414061032987</v>
      </c>
      <c r="C157" s="4">
        <f t="shared" si="4"/>
        <v>0.33575870477204434</v>
      </c>
      <c r="D157">
        <v>235.04179999999999</v>
      </c>
      <c r="E157">
        <v>235.49010000000001</v>
      </c>
      <c r="F157">
        <v>263.92910000000001</v>
      </c>
      <c r="G157">
        <v>204.71449999999999</v>
      </c>
      <c r="J157" s="5">
        <v>42369</v>
      </c>
      <c r="K157">
        <v>-0.20499999999999999</v>
      </c>
    </row>
    <row r="158" spans="1:11" x14ac:dyDescent="0.3">
      <c r="A158" s="15">
        <v>42429</v>
      </c>
      <c r="B158">
        <f t="shared" si="5"/>
        <v>1.0285900046347376</v>
      </c>
      <c r="C158" s="4">
        <f t="shared" si="4"/>
        <v>-0.28277687929883594</v>
      </c>
      <c r="D158">
        <v>237.54400000000001</v>
      </c>
      <c r="E158">
        <v>237.7407</v>
      </c>
      <c r="F158">
        <v>262.52910000000003</v>
      </c>
      <c r="G158">
        <v>204.56710000000001</v>
      </c>
      <c r="J158" s="5">
        <v>42398</v>
      </c>
      <c r="K158">
        <v>-0.22900000000000001</v>
      </c>
    </row>
    <row r="159" spans="1:11" x14ac:dyDescent="0.3">
      <c r="A159" s="15">
        <v>42460</v>
      </c>
      <c r="B159">
        <f t="shared" si="5"/>
        <v>1.5640496747483472</v>
      </c>
      <c r="C159" s="4">
        <f t="shared" si="4"/>
        <v>1.3221227383159233</v>
      </c>
      <c r="D159">
        <v>241.96770000000001</v>
      </c>
      <c r="E159">
        <v>240.64160000000001</v>
      </c>
      <c r="F159">
        <v>267.00319999999999</v>
      </c>
      <c r="G159">
        <v>206.39670000000001</v>
      </c>
      <c r="J159" s="5">
        <v>42429</v>
      </c>
      <c r="K159">
        <v>-0.26500000000000001</v>
      </c>
    </row>
    <row r="160" spans="1:11" x14ac:dyDescent="0.3">
      <c r="A160" s="15">
        <v>42489</v>
      </c>
      <c r="B160">
        <f t="shared" si="5"/>
        <v>0.18992064148357718</v>
      </c>
      <c r="C160" s="4">
        <f t="shared" si="4"/>
        <v>0.55781633974876876</v>
      </c>
      <c r="D160">
        <v>242.95320000000001</v>
      </c>
      <c r="E160">
        <v>240.44159999999999</v>
      </c>
      <c r="F160">
        <v>269.15249999999997</v>
      </c>
      <c r="G160">
        <v>206.923</v>
      </c>
      <c r="J160" s="5">
        <v>42460</v>
      </c>
      <c r="K160">
        <v>-0.33400000000000002</v>
      </c>
    </row>
    <row r="161" spans="1:11" x14ac:dyDescent="0.3">
      <c r="A161" s="15">
        <v>42521</v>
      </c>
      <c r="B161">
        <f t="shared" si="5"/>
        <v>0.33567906719747764</v>
      </c>
      <c r="C161" s="4">
        <f t="shared" si="4"/>
        <v>0.41377735299059326</v>
      </c>
      <c r="D161">
        <v>243.65199999999999</v>
      </c>
      <c r="E161">
        <v>241.2218</v>
      </c>
      <c r="F161">
        <v>270.06290000000001</v>
      </c>
      <c r="G161">
        <v>207.81290000000001</v>
      </c>
      <c r="J161" s="5">
        <v>42489</v>
      </c>
      <c r="K161">
        <v>-0.34399999999999997</v>
      </c>
    </row>
    <row r="162" spans="1:11" x14ac:dyDescent="0.3">
      <c r="A162" s="15">
        <v>42551</v>
      </c>
      <c r="B162">
        <f t="shared" si="5"/>
        <v>1.5419968882464978</v>
      </c>
      <c r="C162" s="4">
        <f t="shared" si="4"/>
        <v>0.14059005176234415</v>
      </c>
      <c r="D162">
        <v>247.1456</v>
      </c>
      <c r="E162">
        <v>245.06200000000001</v>
      </c>
      <c r="F162">
        <v>269.47570000000002</v>
      </c>
      <c r="G162">
        <v>208.72819999999999</v>
      </c>
      <c r="J162" s="5">
        <v>42521</v>
      </c>
      <c r="K162">
        <v>-0.34899999999999998</v>
      </c>
    </row>
    <row r="163" spans="1:11" x14ac:dyDescent="0.3">
      <c r="A163" s="15">
        <v>42580</v>
      </c>
      <c r="B163">
        <f t="shared" si="5"/>
        <v>1.7776448196384875</v>
      </c>
      <c r="C163" s="4">
        <f t="shared" si="4"/>
        <v>1.7191911620445499</v>
      </c>
      <c r="D163">
        <v>251.96879999999999</v>
      </c>
      <c r="E163">
        <v>248.83850000000001</v>
      </c>
      <c r="F163">
        <v>274.7287</v>
      </c>
      <c r="G163">
        <v>211.7054</v>
      </c>
      <c r="J163" s="5">
        <v>42551</v>
      </c>
      <c r="K163">
        <v>-0.36399999999999999</v>
      </c>
    </row>
    <row r="164" spans="1:11" x14ac:dyDescent="0.3">
      <c r="A164" s="15">
        <v>42613</v>
      </c>
      <c r="B164">
        <f t="shared" si="5"/>
        <v>4.034780336357123E-2</v>
      </c>
      <c r="C164" s="4">
        <f t="shared" si="4"/>
        <v>0.69187512292233022</v>
      </c>
      <c r="D164">
        <v>252.28210000000001</v>
      </c>
      <c r="E164">
        <v>248.57089999999999</v>
      </c>
      <c r="F164">
        <v>276.89909999999998</v>
      </c>
      <c r="G164">
        <v>212.8271</v>
      </c>
      <c r="J164" s="5">
        <v>42580</v>
      </c>
      <c r="K164">
        <v>-0.371</v>
      </c>
    </row>
    <row r="165" spans="1:11" x14ac:dyDescent="0.3">
      <c r="A165" s="15">
        <v>42643</v>
      </c>
      <c r="B165">
        <f t="shared" si="5"/>
        <v>9.8910614642407996E-2</v>
      </c>
      <c r="C165" s="4">
        <f t="shared" si="4"/>
        <v>-0.25008684153264615</v>
      </c>
      <c r="D165">
        <v>252.2201</v>
      </c>
      <c r="E165">
        <v>248.96960000000001</v>
      </c>
      <c r="F165">
        <v>275.75540000000001</v>
      </c>
      <c r="G165">
        <v>212.50970000000001</v>
      </c>
      <c r="J165" s="5">
        <v>42613</v>
      </c>
      <c r="K165">
        <v>-0.372</v>
      </c>
    </row>
    <row r="166" spans="1:11" x14ac:dyDescent="0.3">
      <c r="A166" s="15">
        <v>42674</v>
      </c>
      <c r="B166">
        <f t="shared" si="5"/>
        <v>-0.95291372464109181</v>
      </c>
      <c r="C166" s="4">
        <f t="shared" si="4"/>
        <v>-0.26675300094597454</v>
      </c>
      <c r="D166">
        <v>250.0171</v>
      </c>
      <c r="E166">
        <v>246.24019999999999</v>
      </c>
      <c r="F166">
        <v>275.76949999999999</v>
      </c>
      <c r="G166">
        <v>211.22929999999999</v>
      </c>
      <c r="J166" s="5">
        <v>42643</v>
      </c>
      <c r="K166">
        <v>-0.371</v>
      </c>
    </row>
    <row r="167" spans="1:11" x14ac:dyDescent="0.3">
      <c r="A167" s="15">
        <v>42704</v>
      </c>
      <c r="B167">
        <f t="shared" si="5"/>
        <v>-1.1854399025825335</v>
      </c>
      <c r="C167" s="4">
        <f t="shared" si="4"/>
        <v>-0.89564208965533842</v>
      </c>
      <c r="D167">
        <v>246.72900000000001</v>
      </c>
      <c r="E167">
        <v>243.4879</v>
      </c>
      <c r="F167">
        <v>272.74979999999999</v>
      </c>
      <c r="G167">
        <v>209.6276</v>
      </c>
      <c r="J167" s="5">
        <v>42674</v>
      </c>
      <c r="K167">
        <v>-0.372</v>
      </c>
    </row>
    <row r="168" spans="1:11" x14ac:dyDescent="0.3">
      <c r="A168" s="15">
        <v>42734</v>
      </c>
      <c r="B168">
        <f t="shared" si="5"/>
        <v>0.60562212585808184</v>
      </c>
      <c r="C168" s="4">
        <f t="shared" si="4"/>
        <v>0.82912058395051225</v>
      </c>
      <c r="D168">
        <v>248.39320000000001</v>
      </c>
      <c r="E168">
        <v>244.6388</v>
      </c>
      <c r="F168">
        <v>275.678</v>
      </c>
      <c r="G168">
        <v>210.71889999999999</v>
      </c>
      <c r="J168" s="5">
        <v>42704</v>
      </c>
      <c r="K168">
        <v>-0.372</v>
      </c>
    </row>
    <row r="169" spans="1:11" x14ac:dyDescent="0.3">
      <c r="A169" s="15">
        <v>42766</v>
      </c>
      <c r="B169">
        <f t="shared" si="5"/>
        <v>-0.64513535074055328</v>
      </c>
      <c r="C169" s="4">
        <f t="shared" si="4"/>
        <v>-0.33712243905471895</v>
      </c>
      <c r="D169">
        <v>246.9674</v>
      </c>
      <c r="E169">
        <v>242.73150000000001</v>
      </c>
      <c r="F169">
        <v>275.03339999999997</v>
      </c>
      <c r="G169">
        <v>209.65729999999999</v>
      </c>
      <c r="J169" s="5">
        <v>42734</v>
      </c>
      <c r="K169">
        <v>-0.36799999999999999</v>
      </c>
    </row>
    <row r="170" spans="1:11" x14ac:dyDescent="0.3">
      <c r="A170" s="15">
        <v>42794</v>
      </c>
      <c r="B170">
        <f t="shared" si="5"/>
        <v>1.3585270493390835</v>
      </c>
      <c r="C170" s="4">
        <f t="shared" si="4"/>
        <v>1.1243185882456288</v>
      </c>
      <c r="D170">
        <v>250.16909999999999</v>
      </c>
      <c r="E170">
        <v>246.0394</v>
      </c>
      <c r="F170">
        <v>278.15069999999997</v>
      </c>
      <c r="G170">
        <v>211.8741</v>
      </c>
      <c r="J170" s="5">
        <v>42766</v>
      </c>
      <c r="K170">
        <v>-0.372</v>
      </c>
    </row>
    <row r="171" spans="1:11" x14ac:dyDescent="0.3">
      <c r="A171" s="15">
        <v>42825</v>
      </c>
      <c r="B171">
        <f t="shared" si="5"/>
        <v>-0.56977241887357699</v>
      </c>
      <c r="C171" s="4">
        <f t="shared" si="4"/>
        <v>6.2931162711087882E-2</v>
      </c>
      <c r="D171">
        <v>248.92330000000001</v>
      </c>
      <c r="E171">
        <v>244.30369999999999</v>
      </c>
      <c r="F171">
        <v>278.97539999999998</v>
      </c>
      <c r="G171">
        <v>211.37719999999999</v>
      </c>
      <c r="J171" s="5">
        <v>42794</v>
      </c>
      <c r="K171">
        <v>-0.371</v>
      </c>
    </row>
    <row r="172" spans="1:11" x14ac:dyDescent="0.3">
      <c r="A172" s="15">
        <v>42853</v>
      </c>
      <c r="B172">
        <f t="shared" si="5"/>
        <v>0.53085710402335962</v>
      </c>
      <c r="C172" s="4">
        <f t="shared" si="4"/>
        <v>0.67446941076127653</v>
      </c>
      <c r="D172">
        <v>250.2687</v>
      </c>
      <c r="E172">
        <v>245.42519999999999</v>
      </c>
      <c r="F172">
        <v>281.47410000000002</v>
      </c>
      <c r="G172">
        <v>212.2039</v>
      </c>
      <c r="J172" s="5">
        <v>42825</v>
      </c>
      <c r="K172">
        <v>-0.373</v>
      </c>
    </row>
    <row r="173" spans="1:11" x14ac:dyDescent="0.3">
      <c r="A173" s="15">
        <v>42886</v>
      </c>
      <c r="B173">
        <f t="shared" si="5"/>
        <v>0.28833706400309905</v>
      </c>
      <c r="C173" s="4">
        <f t="shared" si="4"/>
        <v>0.6499041421980456</v>
      </c>
      <c r="D173">
        <v>251.02709999999999</v>
      </c>
      <c r="E173">
        <v>245.93870000000001</v>
      </c>
      <c r="F173">
        <v>283.69369999999998</v>
      </c>
      <c r="G173">
        <v>213.15209999999999</v>
      </c>
      <c r="J173" s="5">
        <v>42853</v>
      </c>
      <c r="K173">
        <v>-0.374</v>
      </c>
    </row>
    <row r="174" spans="1:11" x14ac:dyDescent="0.3">
      <c r="A174" s="15">
        <v>42916</v>
      </c>
      <c r="B174">
        <f t="shared" si="5"/>
        <v>-0.65328823582823536</v>
      </c>
      <c r="C174" s="4">
        <f t="shared" si="4"/>
        <v>-0.28288848148584778</v>
      </c>
      <c r="D174">
        <v>249.55099999999999</v>
      </c>
      <c r="E174">
        <v>244.01820000000001</v>
      </c>
      <c r="F174">
        <v>283.29969999999997</v>
      </c>
      <c r="G174">
        <v>212.10929999999999</v>
      </c>
      <c r="J174" s="5">
        <v>42886</v>
      </c>
      <c r="K174">
        <v>-0.374</v>
      </c>
    </row>
    <row r="175" spans="1:11" x14ac:dyDescent="0.3">
      <c r="A175" s="15">
        <v>42947</v>
      </c>
      <c r="B175">
        <f t="shared" si="5"/>
        <v>0.69912944557314283</v>
      </c>
      <c r="C175" s="4">
        <f t="shared" si="4"/>
        <v>0.99858795234071207</v>
      </c>
      <c r="D175">
        <v>251.4701</v>
      </c>
      <c r="E175">
        <v>245.39689999999999</v>
      </c>
      <c r="F175">
        <v>286.60250000000002</v>
      </c>
      <c r="G175">
        <v>213.7364</v>
      </c>
      <c r="J175" s="5">
        <v>42916</v>
      </c>
      <c r="K175">
        <v>-0.373</v>
      </c>
    </row>
    <row r="176" spans="1:11" x14ac:dyDescent="0.3">
      <c r="A176" s="15">
        <v>42978</v>
      </c>
      <c r="B176">
        <f t="shared" si="5"/>
        <v>0.62639422566878267</v>
      </c>
      <c r="C176" s="4">
        <f t="shared" si="4"/>
        <v>0.4720670907417146</v>
      </c>
      <c r="D176">
        <v>252.68199999999999</v>
      </c>
      <c r="E176">
        <v>247.13220000000001</v>
      </c>
      <c r="F176">
        <v>287.57260000000002</v>
      </c>
      <c r="G176">
        <v>214.8947</v>
      </c>
      <c r="J176" s="5">
        <v>42947</v>
      </c>
      <c r="K176">
        <v>-0.37</v>
      </c>
    </row>
    <row r="177" spans="1:11" x14ac:dyDescent="0.3">
      <c r="A177" s="15">
        <v>43007</v>
      </c>
      <c r="B177">
        <f t="shared" si="5"/>
        <v>-0.15054025408248009</v>
      </c>
      <c r="C177" s="4">
        <f t="shared" si="4"/>
        <v>-0.14182053537964803</v>
      </c>
      <c r="D177">
        <v>252.32689999999999</v>
      </c>
      <c r="E177">
        <v>246.58179999999999</v>
      </c>
      <c r="F177">
        <v>287.54419999999999</v>
      </c>
      <c r="G177">
        <v>214.1728</v>
      </c>
      <c r="J177" s="5">
        <v>42978</v>
      </c>
      <c r="K177">
        <v>-0.373</v>
      </c>
    </row>
    <row r="178" spans="1:11" x14ac:dyDescent="0.3">
      <c r="A178" s="15">
        <v>43039</v>
      </c>
      <c r="B178">
        <f t="shared" si="5"/>
        <v>1.2438142397312635</v>
      </c>
      <c r="C178" s="4">
        <f t="shared" si="4"/>
        <v>1.06028605525745</v>
      </c>
      <c r="D178">
        <v>255.4469</v>
      </c>
      <c r="E178">
        <v>249.50890000000001</v>
      </c>
      <c r="F178">
        <v>291.12549999999999</v>
      </c>
      <c r="G178">
        <v>215.90979999999999</v>
      </c>
      <c r="J178" s="5">
        <v>43007</v>
      </c>
      <c r="K178">
        <v>-0.372</v>
      </c>
    </row>
    <row r="179" spans="1:11" x14ac:dyDescent="0.3">
      <c r="A179" s="15">
        <v>43069</v>
      </c>
      <c r="B179">
        <f t="shared" si="5"/>
        <v>-0.26776243618427442</v>
      </c>
      <c r="C179" s="4">
        <f t="shared" si="4"/>
        <v>8.0803868976999732E-2</v>
      </c>
      <c r="D179">
        <v>254.67160000000001</v>
      </c>
      <c r="E179">
        <v>248.77529999999999</v>
      </c>
      <c r="F179">
        <v>291.43490000000003</v>
      </c>
      <c r="G179">
        <v>215.8954</v>
      </c>
      <c r="J179" s="5">
        <v>43039</v>
      </c>
      <c r="K179">
        <v>-0.372</v>
      </c>
    </row>
    <row r="180" spans="1:11" x14ac:dyDescent="0.3">
      <c r="A180" s="15">
        <v>43098</v>
      </c>
      <c r="B180">
        <f t="shared" si="5"/>
        <v>-0.28482438674369337</v>
      </c>
      <c r="C180" s="4">
        <f t="shared" si="4"/>
        <v>-0.18714001333614616</v>
      </c>
      <c r="D180">
        <v>253.82499999999999</v>
      </c>
      <c r="E180">
        <v>248.02619999999999</v>
      </c>
      <c r="F180">
        <v>290.91019999999997</v>
      </c>
      <c r="G180">
        <v>215.3381</v>
      </c>
      <c r="J180" s="5">
        <v>43069</v>
      </c>
      <c r="K180">
        <v>-0.371</v>
      </c>
    </row>
    <row r="181" spans="1:11" x14ac:dyDescent="0.3">
      <c r="A181" s="15">
        <v>43131</v>
      </c>
      <c r="B181">
        <f t="shared" si="5"/>
        <v>-0.28079971631583045</v>
      </c>
      <c r="C181" s="4">
        <f t="shared" si="4"/>
        <v>-0.13387786821374759</v>
      </c>
      <c r="D181">
        <v>253.44450000000001</v>
      </c>
      <c r="E181">
        <v>246.84790000000001</v>
      </c>
      <c r="F181">
        <v>291.03359999999998</v>
      </c>
      <c r="G181">
        <v>214.53370000000001</v>
      </c>
      <c r="J181" s="5">
        <v>43098</v>
      </c>
      <c r="K181">
        <v>-0.36799999999999999</v>
      </c>
    </row>
    <row r="182" spans="1:11" x14ac:dyDescent="0.3">
      <c r="A182" s="15">
        <v>43159</v>
      </c>
      <c r="B182">
        <f t="shared" si="5"/>
        <v>6.1300438883167996E-2</v>
      </c>
      <c r="C182" s="4">
        <f t="shared" si="4"/>
        <v>-0.17537017765012303</v>
      </c>
      <c r="D182">
        <v>253.41579999999999</v>
      </c>
      <c r="E182">
        <v>247.0368</v>
      </c>
      <c r="F182">
        <v>289.85309999999998</v>
      </c>
      <c r="G182">
        <v>214.5283</v>
      </c>
      <c r="J182" s="5">
        <v>43131</v>
      </c>
      <c r="K182">
        <v>-0.36899999999999999</v>
      </c>
    </row>
    <row r="183" spans="1:11" x14ac:dyDescent="0.3">
      <c r="A183" s="15">
        <v>43189</v>
      </c>
      <c r="B183">
        <f t="shared" si="5"/>
        <v>1.6437011818104461E-3</v>
      </c>
      <c r="C183" s="4">
        <f t="shared" si="4"/>
        <v>-0.19155674522335131</v>
      </c>
      <c r="D183">
        <v>253.20509999999999</v>
      </c>
      <c r="E183">
        <v>247.09289999999999</v>
      </c>
      <c r="F183">
        <v>288.9049</v>
      </c>
      <c r="G183">
        <v>214.2715</v>
      </c>
      <c r="J183" s="5">
        <v>43159</v>
      </c>
      <c r="K183">
        <v>-0.37</v>
      </c>
    </row>
    <row r="184" spans="1:11" x14ac:dyDescent="0.3">
      <c r="A184" s="15">
        <v>43220</v>
      </c>
      <c r="B184">
        <f t="shared" si="5"/>
        <v>3.5850306593839892E-2</v>
      </c>
      <c r="C184" s="4">
        <f t="shared" si="4"/>
        <v>0.12824182455804753</v>
      </c>
      <c r="D184">
        <v>253.29750000000001</v>
      </c>
      <c r="E184">
        <v>247.02670000000001</v>
      </c>
      <c r="F184">
        <v>289.3252</v>
      </c>
      <c r="G184">
        <v>214.37649999999999</v>
      </c>
      <c r="J184" s="5">
        <v>43189</v>
      </c>
      <c r="K184">
        <v>-0.372</v>
      </c>
    </row>
    <row r="185" spans="1:11" x14ac:dyDescent="0.3">
      <c r="A185" s="15">
        <v>43251</v>
      </c>
      <c r="B185">
        <f t="shared" si="5"/>
        <v>0.10199831390090229</v>
      </c>
      <c r="C185" s="4">
        <f t="shared" si="4"/>
        <v>-0.73910530871972357</v>
      </c>
      <c r="D185">
        <v>253.13229999999999</v>
      </c>
      <c r="E185">
        <v>247.53389999999999</v>
      </c>
      <c r="F185">
        <v>285.33870000000002</v>
      </c>
      <c r="G185">
        <v>214.02440000000001</v>
      </c>
      <c r="J185" s="5">
        <v>43220</v>
      </c>
      <c r="K185">
        <v>-0.371</v>
      </c>
    </row>
    <row r="186" spans="1:11" x14ac:dyDescent="0.3">
      <c r="A186" s="15">
        <v>43280</v>
      </c>
      <c r="B186">
        <f t="shared" si="5"/>
        <v>-9.8023568256140836E-2</v>
      </c>
      <c r="C186" s="4">
        <f t="shared" si="4"/>
        <v>3.4230941951302607E-3</v>
      </c>
      <c r="D186">
        <v>252.64019999999999</v>
      </c>
      <c r="E186">
        <v>247.3776</v>
      </c>
      <c r="F186">
        <v>284.67360000000002</v>
      </c>
      <c r="G186">
        <v>214.40629999999999</v>
      </c>
      <c r="J186" s="5">
        <v>43251</v>
      </c>
      <c r="K186">
        <v>-0.36899999999999999</v>
      </c>
    </row>
    <row r="187" spans="1:11" x14ac:dyDescent="0.3">
      <c r="A187" s="15">
        <v>43312</v>
      </c>
      <c r="B187">
        <f t="shared" si="5"/>
        <v>0.21489730258940298</v>
      </c>
      <c r="C187" s="4">
        <f t="shared" si="4"/>
        <v>0.53780270524494078</v>
      </c>
      <c r="D187">
        <v>253.29400000000001</v>
      </c>
      <c r="E187">
        <v>247.643</v>
      </c>
      <c r="F187">
        <v>287.18239999999997</v>
      </c>
      <c r="G187">
        <v>214.68629999999999</v>
      </c>
      <c r="J187" s="5">
        <v>43280</v>
      </c>
      <c r="K187">
        <v>-0.37</v>
      </c>
    </row>
    <row r="188" spans="1:11" x14ac:dyDescent="0.3">
      <c r="A188" s="15">
        <v>43343</v>
      </c>
      <c r="B188">
        <f t="shared" si="5"/>
        <v>9.1732682747946437E-2</v>
      </c>
      <c r="C188" s="4">
        <f t="shared" si="4"/>
        <v>-6.2375968299211437E-2</v>
      </c>
      <c r="D188">
        <v>253.09399999999999</v>
      </c>
      <c r="E188">
        <v>248.13550000000001</v>
      </c>
      <c r="F188">
        <v>286.15069999999997</v>
      </c>
      <c r="G188">
        <v>215.05330000000001</v>
      </c>
      <c r="J188" s="5">
        <v>43312</v>
      </c>
      <c r="K188">
        <v>-0.36899999999999999</v>
      </c>
    </row>
    <row r="189" spans="1:11" x14ac:dyDescent="0.3">
      <c r="A189" s="15">
        <v>43371</v>
      </c>
      <c r="B189">
        <f t="shared" si="5"/>
        <v>-0.33462645153383314</v>
      </c>
      <c r="C189" s="4">
        <f t="shared" si="4"/>
        <v>-9.3732836242001405E-2</v>
      </c>
      <c r="D189">
        <v>252.3415</v>
      </c>
      <c r="E189">
        <v>247.06</v>
      </c>
      <c r="F189">
        <v>286.3399</v>
      </c>
      <c r="G189">
        <v>214.37569999999999</v>
      </c>
      <c r="J189" s="5">
        <v>43343</v>
      </c>
      <c r="K189">
        <v>-0.36899999999999999</v>
      </c>
    </row>
    <row r="190" spans="1:11" x14ac:dyDescent="0.3">
      <c r="A190" s="15">
        <v>43404</v>
      </c>
      <c r="B190">
        <f t="shared" si="5"/>
        <v>-0.20624056365075083</v>
      </c>
      <c r="C190" s="4">
        <f t="shared" si="4"/>
        <v>-0.19618105786381512</v>
      </c>
      <c r="D190">
        <v>251.45920000000001</v>
      </c>
      <c r="E190">
        <v>246.74690000000001</v>
      </c>
      <c r="F190">
        <v>285.05869999999999</v>
      </c>
      <c r="G190">
        <v>214.35679999999999</v>
      </c>
      <c r="J190" s="5">
        <v>43371</v>
      </c>
      <c r="K190">
        <v>-0.371</v>
      </c>
    </row>
    <row r="191" spans="1:11" x14ac:dyDescent="0.3">
      <c r="A191" s="15">
        <v>43434</v>
      </c>
      <c r="B191">
        <f t="shared" si="5"/>
        <v>-0.6697329532474221</v>
      </c>
      <c r="C191" s="4">
        <f t="shared" si="4"/>
        <v>-0.79619701913825214</v>
      </c>
      <c r="D191">
        <v>249.80709999999999</v>
      </c>
      <c r="E191">
        <v>244.91120000000001</v>
      </c>
      <c r="F191">
        <v>281.88819999999998</v>
      </c>
      <c r="G191">
        <v>213.19569999999999</v>
      </c>
      <c r="J191" s="5">
        <v>43404</v>
      </c>
      <c r="K191">
        <v>-0.36899999999999999</v>
      </c>
    </row>
    <row r="192" spans="1:11" x14ac:dyDescent="0.3">
      <c r="A192" s="15">
        <v>43465</v>
      </c>
      <c r="B192">
        <f t="shared" si="5"/>
        <v>0.24871884802125321</v>
      </c>
      <c r="C192" s="4">
        <f t="shared" si="4"/>
        <v>0.27581172369407159</v>
      </c>
      <c r="D192">
        <v>250.08459999999999</v>
      </c>
      <c r="E192">
        <v>245.7022</v>
      </c>
      <c r="F192">
        <v>282.88119999999998</v>
      </c>
      <c r="G192">
        <v>213.48560000000001</v>
      </c>
      <c r="J192" s="5">
        <v>43434</v>
      </c>
      <c r="K192">
        <v>-0.36799999999999999</v>
      </c>
    </row>
    <row r="193" spans="1:11" x14ac:dyDescent="0.3">
      <c r="A193" s="15">
        <v>43496</v>
      </c>
      <c r="B193">
        <f t="shared" si="5"/>
        <v>1.0666822936243598</v>
      </c>
      <c r="C193" s="4">
        <f t="shared" si="4"/>
        <v>1.3302155258861854</v>
      </c>
      <c r="D193">
        <v>252.84549999999999</v>
      </c>
      <c r="E193">
        <v>248.0778</v>
      </c>
      <c r="F193">
        <v>287.488</v>
      </c>
      <c r="G193">
        <v>215.55510000000001</v>
      </c>
      <c r="J193" s="5">
        <v>43465</v>
      </c>
      <c r="K193">
        <v>-0.36299999999999999</v>
      </c>
    </row>
    <row r="194" spans="1:11" x14ac:dyDescent="0.3">
      <c r="A194" s="15">
        <v>43524</v>
      </c>
      <c r="B194">
        <f t="shared" si="5"/>
        <v>0.65306563721403765</v>
      </c>
      <c r="C194" s="4">
        <f t="shared" si="4"/>
        <v>0.84685198974184039</v>
      </c>
      <c r="D194">
        <v>254.74350000000001</v>
      </c>
      <c r="E194">
        <v>249.31379999999999</v>
      </c>
      <c r="F194">
        <v>290.21660000000003</v>
      </c>
      <c r="G194">
        <v>217.0367</v>
      </c>
      <c r="J194" s="5">
        <v>43496</v>
      </c>
      <c r="K194">
        <v>-0.36799999999999999</v>
      </c>
    </row>
    <row r="195" spans="1:11" x14ac:dyDescent="0.3">
      <c r="A195" s="15">
        <v>43553</v>
      </c>
      <c r="B195">
        <f t="shared" si="5"/>
        <v>1.6092813432555164</v>
      </c>
      <c r="C195" s="4">
        <f t="shared" si="4"/>
        <v>1.1752848463911081</v>
      </c>
      <c r="D195">
        <v>258.77780000000001</v>
      </c>
      <c r="E195">
        <v>253.23179999999999</v>
      </c>
      <c r="F195">
        <v>293.58100000000002</v>
      </c>
      <c r="G195">
        <v>219.4847</v>
      </c>
      <c r="J195" s="5">
        <v>43524</v>
      </c>
      <c r="K195">
        <v>-0.36799999999999999</v>
      </c>
    </row>
    <row r="196" spans="1:11" x14ac:dyDescent="0.3">
      <c r="A196" s="15">
        <v>43585</v>
      </c>
      <c r="B196">
        <f t="shared" si="5"/>
        <v>0.74493203673663355</v>
      </c>
      <c r="C196" s="4">
        <f t="shared" si="4"/>
        <v>0.89692201050017795</v>
      </c>
      <c r="D196">
        <v>261.29669999999999</v>
      </c>
      <c r="E196">
        <v>254.38480000000001</v>
      </c>
      <c r="F196">
        <v>297.22989999999999</v>
      </c>
      <c r="G196">
        <v>220.55969999999999</v>
      </c>
      <c r="J196" s="5">
        <v>43553</v>
      </c>
      <c r="K196">
        <v>-0.36699999999999999</v>
      </c>
    </row>
    <row r="197" spans="1:11" x14ac:dyDescent="0.3">
      <c r="A197" s="15">
        <v>43616</v>
      </c>
      <c r="B197">
        <f t="shared" si="5"/>
        <v>-6.4027126138283513E-2</v>
      </c>
      <c r="C197" s="4">
        <f t="shared" si="4"/>
        <v>-0.28382825117827581</v>
      </c>
      <c r="D197">
        <v>260.74990000000003</v>
      </c>
      <c r="E197">
        <v>254.4306</v>
      </c>
      <c r="F197">
        <v>295.50990000000002</v>
      </c>
      <c r="G197">
        <v>220.44460000000001</v>
      </c>
      <c r="J197" s="5">
        <v>43585</v>
      </c>
      <c r="K197">
        <v>-0.36699999999999999</v>
      </c>
    </row>
    <row r="198" spans="1:11" x14ac:dyDescent="0.3">
      <c r="A198" s="15">
        <v>43644</v>
      </c>
      <c r="B198">
        <f t="shared" si="5"/>
        <v>1.5930558851602707</v>
      </c>
      <c r="C198" s="4">
        <f t="shared" si="4"/>
        <v>1.8157593673344066</v>
      </c>
      <c r="D198">
        <v>265.20409999999998</v>
      </c>
      <c r="E198">
        <v>258.03050000000002</v>
      </c>
      <c r="F198">
        <v>301.93299999999999</v>
      </c>
      <c r="G198">
        <v>223.5197</v>
      </c>
      <c r="J198" s="5">
        <v>43616</v>
      </c>
      <c r="K198">
        <v>-0.378</v>
      </c>
    </row>
    <row r="199" spans="1:11" x14ac:dyDescent="0.3">
      <c r="A199" s="15">
        <v>43677</v>
      </c>
      <c r="B199">
        <f t="shared" si="5"/>
        <v>1.5930889976358351</v>
      </c>
      <c r="C199" s="4">
        <f t="shared" si="4"/>
        <v>1.3842951834087422</v>
      </c>
      <c r="D199">
        <v>269.67779999999999</v>
      </c>
      <c r="E199">
        <v>261.72669999999999</v>
      </c>
      <c r="F199">
        <v>306.32960000000003</v>
      </c>
      <c r="G199">
        <v>226.3039</v>
      </c>
      <c r="J199" s="5">
        <v>43644</v>
      </c>
      <c r="K199">
        <v>-0.38800000000000001</v>
      </c>
    </row>
    <row r="200" spans="1:11" x14ac:dyDescent="0.3">
      <c r="A200" s="15">
        <v>43707</v>
      </c>
      <c r="B200">
        <f t="shared" si="5"/>
        <v>0.65981735139486108</v>
      </c>
      <c r="C200" s="4">
        <f t="shared" si="4"/>
        <v>0.71644515868895731</v>
      </c>
      <c r="D200">
        <v>271.14159999999998</v>
      </c>
      <c r="E200">
        <v>263.58319999999998</v>
      </c>
      <c r="F200">
        <v>308.50420000000003</v>
      </c>
      <c r="G200">
        <v>227.78729999999999</v>
      </c>
      <c r="J200" s="5">
        <v>43677</v>
      </c>
      <c r="K200">
        <v>-0.39200000000000002</v>
      </c>
    </row>
    <row r="201" spans="1:11" x14ac:dyDescent="0.3">
      <c r="A201" s="15">
        <v>43738</v>
      </c>
      <c r="B201">
        <f t="shared" si="5"/>
        <v>-0.82519176216396262</v>
      </c>
      <c r="C201" s="4">
        <f t="shared" si="4"/>
        <v>-0.59181931837035129</v>
      </c>
      <c r="D201">
        <v>269.02929999999998</v>
      </c>
      <c r="E201">
        <v>261.09890000000001</v>
      </c>
      <c r="F201">
        <v>307.09840000000003</v>
      </c>
      <c r="G201">
        <v>225.96700000000001</v>
      </c>
      <c r="J201" s="5">
        <v>43707</v>
      </c>
      <c r="K201">
        <v>-0.42699999999999999</v>
      </c>
    </row>
    <row r="202" spans="1:11" x14ac:dyDescent="0.3">
      <c r="A202" s="15">
        <v>43769</v>
      </c>
      <c r="B202">
        <f t="shared" si="5"/>
        <v>-0.2209995971203873</v>
      </c>
      <c r="C202" s="4">
        <f t="shared" si="4"/>
        <v>-7.1431057172711934E-2</v>
      </c>
      <c r="D202">
        <v>268.38319999999999</v>
      </c>
      <c r="E202">
        <v>260.3664</v>
      </c>
      <c r="F202">
        <v>307.15089999999998</v>
      </c>
      <c r="G202">
        <v>225.42769999999999</v>
      </c>
      <c r="J202" s="5">
        <v>43738</v>
      </c>
      <c r="K202">
        <v>-0.45700000000000002</v>
      </c>
    </row>
    <row r="203" spans="1:11" x14ac:dyDescent="0.3">
      <c r="A203" s="15">
        <v>43798</v>
      </c>
      <c r="B203">
        <f t="shared" si="5"/>
        <v>-0.25297597506642722</v>
      </c>
      <c r="C203" s="4">
        <f t="shared" si="4"/>
        <v>-0.1462111818375299</v>
      </c>
      <c r="D203">
        <v>267.62200000000001</v>
      </c>
      <c r="E203">
        <v>259.59789999999998</v>
      </c>
      <c r="F203">
        <v>306.77050000000003</v>
      </c>
      <c r="G203">
        <v>224.8835</v>
      </c>
      <c r="J203" s="5">
        <v>43769</v>
      </c>
      <c r="K203">
        <v>-0.437</v>
      </c>
    </row>
    <row r="204" spans="1:11" x14ac:dyDescent="0.3">
      <c r="A204" s="15">
        <v>43830</v>
      </c>
      <c r="B204">
        <f t="shared" si="5"/>
        <v>-5.829640609729797E-2</v>
      </c>
      <c r="C204" s="4">
        <f t="shared" si="4"/>
        <v>9.5152387988022225E-2</v>
      </c>
      <c r="D204">
        <v>267.75369999999998</v>
      </c>
      <c r="E204">
        <v>258.97210000000001</v>
      </c>
      <c r="F204">
        <v>307.46949999999998</v>
      </c>
      <c r="G204">
        <v>224.62979999999999</v>
      </c>
      <c r="J204" s="5">
        <v>43798</v>
      </c>
      <c r="K204">
        <v>-0.437</v>
      </c>
    </row>
    <row r="205" spans="1:11" x14ac:dyDescent="0.3">
      <c r="A205" s="15">
        <v>43861</v>
      </c>
      <c r="B205">
        <f t="shared" si="5"/>
        <v>1.3423185421663002</v>
      </c>
      <c r="C205" s="4">
        <f t="shared" si="4"/>
        <v>1.0055796719296921</v>
      </c>
      <c r="D205">
        <v>271.22320000000002</v>
      </c>
      <c r="E205">
        <v>262.37349999999998</v>
      </c>
      <c r="F205">
        <v>310.50220000000002</v>
      </c>
      <c r="G205">
        <v>226.76240000000001</v>
      </c>
      <c r="J205" s="5">
        <v>43830</v>
      </c>
      <c r="K205">
        <v>-0.438</v>
      </c>
    </row>
    <row r="206" spans="1:11" x14ac:dyDescent="0.3">
      <c r="A206" s="15">
        <v>43889</v>
      </c>
      <c r="B206">
        <f t="shared" si="5"/>
        <v>-0.37372164975077204</v>
      </c>
      <c r="C206" s="4">
        <f t="shared" si="4"/>
        <v>-0.48831287168739945</v>
      </c>
      <c r="D206">
        <v>269.8963</v>
      </c>
      <c r="E206">
        <v>261.50409999999999</v>
      </c>
      <c r="F206">
        <v>308.76459999999997</v>
      </c>
      <c r="G206">
        <v>225.65090000000001</v>
      </c>
      <c r="J206" s="5">
        <v>43861</v>
      </c>
      <c r="K206">
        <v>-0.45400000000000001</v>
      </c>
    </row>
    <row r="207" spans="1:11" x14ac:dyDescent="0.3">
      <c r="A207" s="15">
        <v>43921</v>
      </c>
      <c r="B207">
        <f t="shared" si="5"/>
        <v>-6.9002289567033408</v>
      </c>
      <c r="C207" s="4">
        <f t="shared" ref="C207:C270" si="6">0.5*((F207/F206)-1)*100+0.5*((G207/G206)-1)*100 - _xlfn.XLOOKUP(A206,$J:$J,$K:$K)*(DAY(EOMONTH(A207,0))/360)</f>
        <v>-7.350500552398147</v>
      </c>
      <c r="D207">
        <v>249.60769999999999</v>
      </c>
      <c r="E207">
        <v>244.85329999999999</v>
      </c>
      <c r="F207">
        <v>283.66030000000001</v>
      </c>
      <c r="G207">
        <v>210.63499999999999</v>
      </c>
      <c r="J207" s="5">
        <v>43889</v>
      </c>
      <c r="K207">
        <v>-0.48799999999999999</v>
      </c>
    </row>
    <row r="208" spans="1:11" x14ac:dyDescent="0.3">
      <c r="A208" s="15">
        <v>43951</v>
      </c>
      <c r="B208">
        <f t="shared" ref="B208:B271" si="7">0.5*((D208/D207)-1)*100+0.5*((E208/E207)-1)*100 - _xlfn.XLOOKUP(A207,$J:$J,$K:$K)*(DAY(EOMONTH(A208,0))/360)</f>
        <v>3.8373793566935177</v>
      </c>
      <c r="C208" s="4">
        <f t="shared" si="6"/>
        <v>3.9458786388201128</v>
      </c>
      <c r="D208">
        <v>259.30040000000002</v>
      </c>
      <c r="E208">
        <v>253.96449999999999</v>
      </c>
      <c r="F208">
        <v>294.17809999999997</v>
      </c>
      <c r="G208">
        <v>219.29920000000001</v>
      </c>
      <c r="J208" s="5">
        <v>43921</v>
      </c>
      <c r="K208">
        <v>-0.42299999999999999</v>
      </c>
    </row>
    <row r="209" spans="1:11" x14ac:dyDescent="0.3">
      <c r="A209" s="15">
        <v>43980</v>
      </c>
      <c r="B209">
        <f t="shared" si="7"/>
        <v>0.11141444592634582</v>
      </c>
      <c r="C209" s="4">
        <f t="shared" si="6"/>
        <v>0.35112648884195324</v>
      </c>
      <c r="D209">
        <v>259.47000000000003</v>
      </c>
      <c r="E209">
        <v>254.16309999999999</v>
      </c>
      <c r="F209">
        <v>294.90530000000001</v>
      </c>
      <c r="G209">
        <v>220.1234</v>
      </c>
      <c r="J209" s="5">
        <v>43951</v>
      </c>
      <c r="K209">
        <v>-0.46</v>
      </c>
    </row>
    <row r="210" spans="1:11" x14ac:dyDescent="0.3">
      <c r="A210" s="15">
        <v>44012</v>
      </c>
      <c r="B210">
        <f t="shared" si="7"/>
        <v>1.2764374941506873</v>
      </c>
      <c r="C210" s="4">
        <f t="shared" si="6"/>
        <v>1.6674141141469623</v>
      </c>
      <c r="D210">
        <v>262.8784</v>
      </c>
      <c r="E210">
        <v>257.1087</v>
      </c>
      <c r="F210">
        <v>300.50549999999998</v>
      </c>
      <c r="G210">
        <v>223.10720000000001</v>
      </c>
      <c r="J210" s="5">
        <v>43980</v>
      </c>
      <c r="K210">
        <v>-0.48199999999999998</v>
      </c>
    </row>
    <row r="211" spans="1:11" x14ac:dyDescent="0.3">
      <c r="A211" s="15">
        <v>44043</v>
      </c>
      <c r="B211">
        <f t="shared" si="7"/>
        <v>1.7738567293686511</v>
      </c>
      <c r="C211" s="4">
        <f t="shared" si="6"/>
        <v>1.3662641361790415</v>
      </c>
      <c r="D211">
        <v>267.96069999999997</v>
      </c>
      <c r="E211">
        <v>261.03359999999998</v>
      </c>
      <c r="F211">
        <v>304.75069999999999</v>
      </c>
      <c r="G211">
        <v>225.85589999999999</v>
      </c>
      <c r="J211" s="5">
        <v>44012</v>
      </c>
      <c r="K211">
        <v>-0.51</v>
      </c>
    </row>
    <row r="212" spans="1:11" x14ac:dyDescent="0.3">
      <c r="A212" s="15">
        <v>44074</v>
      </c>
      <c r="B212">
        <f t="shared" si="7"/>
        <v>0.10241679339162518</v>
      </c>
      <c r="C212" s="4">
        <f t="shared" si="6"/>
        <v>0.4935386968677245</v>
      </c>
      <c r="D212">
        <v>268.55990000000003</v>
      </c>
      <c r="E212">
        <v>260.75529999999998</v>
      </c>
      <c r="F212">
        <v>306.73809999999997</v>
      </c>
      <c r="G212">
        <v>226.41399999999999</v>
      </c>
      <c r="J212" s="5">
        <v>44043</v>
      </c>
      <c r="K212">
        <v>-0.51</v>
      </c>
    </row>
    <row r="213" spans="1:11" x14ac:dyDescent="0.3">
      <c r="A213" s="15">
        <v>44104</v>
      </c>
      <c r="B213">
        <f t="shared" si="7"/>
        <v>0.43747377961256639</v>
      </c>
      <c r="C213" s="4">
        <f t="shared" si="6"/>
        <v>0.24279419672112257</v>
      </c>
      <c r="D213">
        <v>269.66739999999999</v>
      </c>
      <c r="E213">
        <v>261.7346</v>
      </c>
      <c r="F213">
        <v>307.23239999999998</v>
      </c>
      <c r="G213">
        <v>226.95160000000001</v>
      </c>
      <c r="J213" s="5">
        <v>44074</v>
      </c>
      <c r="K213">
        <v>-0.52200000000000002</v>
      </c>
    </row>
    <row r="214" spans="1:11" x14ac:dyDescent="0.3">
      <c r="A214" s="15">
        <v>44134</v>
      </c>
      <c r="B214">
        <f t="shared" si="7"/>
        <v>1.0509445392624863</v>
      </c>
      <c r="C214" s="4">
        <f t="shared" si="6"/>
        <v>0.50536733748609364</v>
      </c>
      <c r="D214">
        <v>272.76369999999997</v>
      </c>
      <c r="E214">
        <v>263.9923</v>
      </c>
      <c r="F214">
        <v>308.8569</v>
      </c>
      <c r="G214">
        <v>227.83869999999999</v>
      </c>
      <c r="J214" s="5">
        <v>44104</v>
      </c>
      <c r="K214">
        <v>-0.52900000000000003</v>
      </c>
    </row>
    <row r="215" spans="1:11" x14ac:dyDescent="0.3">
      <c r="A215" s="15">
        <v>44165</v>
      </c>
      <c r="B215">
        <f t="shared" si="7"/>
        <v>0.97092255204980271</v>
      </c>
      <c r="C215" s="4">
        <f t="shared" si="6"/>
        <v>1.4038478928969484</v>
      </c>
      <c r="D215">
        <v>276.24939999999998</v>
      </c>
      <c r="E215">
        <v>265.50389999999999</v>
      </c>
      <c r="F215">
        <v>314.32729999999998</v>
      </c>
      <c r="G215">
        <v>229.9922</v>
      </c>
      <c r="J215" s="5">
        <v>44134</v>
      </c>
      <c r="K215">
        <v>-0.54800000000000004</v>
      </c>
    </row>
    <row r="216" spans="1:11" x14ac:dyDescent="0.3">
      <c r="A216" s="15">
        <v>44196</v>
      </c>
      <c r="B216">
        <f t="shared" si="7"/>
        <v>0.13451288815628296</v>
      </c>
      <c r="C216" s="4">
        <f t="shared" si="6"/>
        <v>0.39148827583880608</v>
      </c>
      <c r="D216">
        <v>276.69349999999997</v>
      </c>
      <c r="E216">
        <v>265.5394</v>
      </c>
      <c r="F216">
        <v>315.81689999999998</v>
      </c>
      <c r="G216">
        <v>230.48480000000001</v>
      </c>
      <c r="J216" s="5">
        <v>44165</v>
      </c>
      <c r="K216">
        <v>-0.55100000000000005</v>
      </c>
    </row>
    <row r="217" spans="1:11" x14ac:dyDescent="0.3">
      <c r="A217" s="15">
        <v>44225</v>
      </c>
      <c r="B217">
        <f t="shared" si="7"/>
        <v>-9.4130969929345221E-2</v>
      </c>
      <c r="C217" s="4">
        <f t="shared" si="6"/>
        <v>-7.8938306481295961E-2</v>
      </c>
      <c r="D217">
        <v>276.6157</v>
      </c>
      <c r="E217">
        <v>264.86079999999998</v>
      </c>
      <c r="F217">
        <v>315.73840000000001</v>
      </c>
      <c r="G217">
        <v>229.95830000000001</v>
      </c>
      <c r="J217" s="5">
        <v>44196</v>
      </c>
      <c r="K217">
        <v>-0.55400000000000005</v>
      </c>
    </row>
    <row r="218" spans="1:11" x14ac:dyDescent="0.3">
      <c r="A218" s="15">
        <v>44253</v>
      </c>
      <c r="B218">
        <f t="shared" si="7"/>
        <v>-0.89009682261735679</v>
      </c>
      <c r="C218" s="4">
        <f t="shared" si="6"/>
        <v>-0.50698949577135177</v>
      </c>
      <c r="D218">
        <v>274.24110000000002</v>
      </c>
      <c r="E218">
        <v>262.18419999999998</v>
      </c>
      <c r="F218">
        <v>314.29509999999999</v>
      </c>
      <c r="G218">
        <v>228.4735</v>
      </c>
      <c r="J218" s="5">
        <v>44225</v>
      </c>
      <c r="K218">
        <v>-0.57099999999999995</v>
      </c>
    </row>
    <row r="219" spans="1:11" x14ac:dyDescent="0.3">
      <c r="A219" s="15">
        <v>44286</v>
      </c>
      <c r="B219">
        <f t="shared" si="7"/>
        <v>0.24666217056774969</v>
      </c>
      <c r="C219" s="4">
        <f t="shared" si="6"/>
        <v>0.28511926288698258</v>
      </c>
      <c r="D219">
        <v>275.0093</v>
      </c>
      <c r="E219">
        <v>262.49619999999999</v>
      </c>
      <c r="F219">
        <v>315.30399999999997</v>
      </c>
      <c r="G219">
        <v>228.82769999999999</v>
      </c>
      <c r="J219" s="5">
        <v>44253</v>
      </c>
      <c r="K219">
        <v>-0.54700000000000004</v>
      </c>
    </row>
    <row r="220" spans="1:11" x14ac:dyDescent="0.3">
      <c r="A220" s="15">
        <v>44316</v>
      </c>
      <c r="B220">
        <f t="shared" si="7"/>
        <v>6.3521859292110516E-3</v>
      </c>
      <c r="C220" s="4">
        <f t="shared" si="6"/>
        <v>0.15828466733251623</v>
      </c>
      <c r="D220">
        <v>275.06420000000003</v>
      </c>
      <c r="E220">
        <v>262.23390000000001</v>
      </c>
      <c r="F220">
        <v>316.16430000000003</v>
      </c>
      <c r="G220">
        <v>228.7157</v>
      </c>
      <c r="J220" s="5">
        <v>44286</v>
      </c>
      <c r="K220">
        <v>-0.55600000000000005</v>
      </c>
    </row>
    <row r="221" spans="1:11" x14ac:dyDescent="0.3">
      <c r="A221" s="15">
        <v>44347</v>
      </c>
      <c r="B221">
        <f t="shared" si="7"/>
        <v>-0.10156623261779409</v>
      </c>
      <c r="C221" s="4">
        <f t="shared" si="6"/>
        <v>-8.3901895091469961E-2</v>
      </c>
      <c r="D221">
        <v>274.71230000000003</v>
      </c>
      <c r="E221">
        <v>261.78559999999999</v>
      </c>
      <c r="F221">
        <v>315.70370000000003</v>
      </c>
      <c r="G221">
        <v>228.4461</v>
      </c>
      <c r="J221" s="5">
        <v>44316</v>
      </c>
      <c r="K221">
        <v>-0.55600000000000005</v>
      </c>
    </row>
    <row r="222" spans="1:11" x14ac:dyDescent="0.3">
      <c r="A222" s="15">
        <v>44377</v>
      </c>
      <c r="B222">
        <f t="shared" si="7"/>
        <v>0.50047819677371619</v>
      </c>
      <c r="C222" s="4">
        <f t="shared" si="6"/>
        <v>0.44751985093299046</v>
      </c>
      <c r="D222">
        <v>276.06139999999999</v>
      </c>
      <c r="E222">
        <v>262.87470000000002</v>
      </c>
      <c r="F222">
        <v>317.1635</v>
      </c>
      <c r="G222">
        <v>229.2201</v>
      </c>
      <c r="J222" s="5">
        <v>44347</v>
      </c>
      <c r="K222">
        <v>-0.56299999999999994</v>
      </c>
    </row>
    <row r="223" spans="1:11" x14ac:dyDescent="0.3">
      <c r="A223" s="15">
        <v>44407</v>
      </c>
      <c r="B223">
        <f t="shared" si="7"/>
        <v>1.3338099739271445</v>
      </c>
      <c r="C223" s="4">
        <f t="shared" si="6"/>
        <v>1.0511258511730379</v>
      </c>
      <c r="D223">
        <v>279.53039999999999</v>
      </c>
      <c r="E223">
        <v>266.3263</v>
      </c>
      <c r="F223">
        <v>320.41629999999998</v>
      </c>
      <c r="G223">
        <v>231.46340000000001</v>
      </c>
      <c r="J223" s="5">
        <v>44377</v>
      </c>
      <c r="K223">
        <v>-0.56899999999999995</v>
      </c>
    </row>
    <row r="224" spans="1:11" x14ac:dyDescent="0.3">
      <c r="A224" s="15">
        <v>44439</v>
      </c>
      <c r="B224">
        <f t="shared" si="7"/>
        <v>-0.45148515262221578</v>
      </c>
      <c r="C224" s="4">
        <f t="shared" si="6"/>
        <v>-0.25406458437627288</v>
      </c>
      <c r="D224">
        <v>278.20240000000001</v>
      </c>
      <c r="E224">
        <v>264.93169999999998</v>
      </c>
      <c r="F224">
        <v>319.69290000000001</v>
      </c>
      <c r="G224">
        <v>230.5882</v>
      </c>
      <c r="J224" s="5">
        <v>44407</v>
      </c>
      <c r="K224">
        <v>-0.55600000000000005</v>
      </c>
    </row>
    <row r="225" spans="1:11" x14ac:dyDescent="0.3">
      <c r="A225" s="15">
        <v>44469</v>
      </c>
      <c r="B225">
        <f t="shared" si="7"/>
        <v>-0.71861402545329289</v>
      </c>
      <c r="C225" s="4">
        <f t="shared" si="6"/>
        <v>-0.44228820377452394</v>
      </c>
      <c r="D225">
        <v>276.2715</v>
      </c>
      <c r="E225">
        <v>262.71820000000002</v>
      </c>
      <c r="F225">
        <v>318.2475</v>
      </c>
      <c r="G225">
        <v>229.37809999999999</v>
      </c>
      <c r="J225" s="5">
        <v>44439</v>
      </c>
      <c r="K225">
        <v>-0.55400000000000005</v>
      </c>
    </row>
    <row r="226" spans="1:11" x14ac:dyDescent="0.3">
      <c r="A226" s="15">
        <v>44498</v>
      </c>
      <c r="B226">
        <f t="shared" si="7"/>
        <v>-0.6189458396839399</v>
      </c>
      <c r="C226" s="4">
        <f t="shared" si="6"/>
        <v>-0.82126427554997894</v>
      </c>
      <c r="D226">
        <v>274.30650000000003</v>
      </c>
      <c r="E226">
        <v>261.07990000000001</v>
      </c>
      <c r="F226">
        <v>315.35509999999999</v>
      </c>
      <c r="G226">
        <v>227.47280000000001</v>
      </c>
      <c r="J226" s="5">
        <v>44469</v>
      </c>
      <c r="K226">
        <v>-0.56299999999999994</v>
      </c>
    </row>
    <row r="227" spans="1:11" x14ac:dyDescent="0.3">
      <c r="A227" s="15">
        <v>44530</v>
      </c>
      <c r="B227">
        <f t="shared" si="7"/>
        <v>0.24308334041408097</v>
      </c>
      <c r="C227" s="4">
        <f t="shared" si="6"/>
        <v>0.21726990972065885</v>
      </c>
      <c r="D227">
        <v>274.83089999999999</v>
      </c>
      <c r="E227">
        <v>261.60770000000002</v>
      </c>
      <c r="F227">
        <v>315.57080000000002</v>
      </c>
      <c r="G227">
        <v>228.09450000000001</v>
      </c>
      <c r="J227" s="5">
        <v>44498</v>
      </c>
      <c r="K227">
        <v>-0.55700000000000005</v>
      </c>
    </row>
    <row r="228" spans="1:11" x14ac:dyDescent="0.3">
      <c r="A228" s="15">
        <v>44561</v>
      </c>
      <c r="B228">
        <f t="shared" si="7"/>
        <v>-0.11739312013477847</v>
      </c>
      <c r="C228" s="4">
        <f t="shared" si="6"/>
        <v>4.4076429442713574E-2</v>
      </c>
      <c r="D228">
        <v>274.53640000000001</v>
      </c>
      <c r="E228">
        <v>261.017</v>
      </c>
      <c r="F228">
        <v>315.84620000000001</v>
      </c>
      <c r="G228">
        <v>227.87260000000001</v>
      </c>
      <c r="J228" s="5">
        <v>44530</v>
      </c>
      <c r="K228">
        <v>-0.56999999999999995</v>
      </c>
    </row>
    <row r="229" spans="1:11" x14ac:dyDescent="0.3">
      <c r="A229" s="15">
        <v>44592</v>
      </c>
      <c r="B229">
        <f t="shared" si="7"/>
        <v>-1.280893017981696</v>
      </c>
      <c r="C229" s="4">
        <f t="shared" si="6"/>
        <v>-1.3153324865629115</v>
      </c>
      <c r="D229">
        <v>270.78719999999998</v>
      </c>
      <c r="E229">
        <v>257.63279999999997</v>
      </c>
      <c r="F229">
        <v>311.38159999999999</v>
      </c>
      <c r="G229">
        <v>224.87029999999999</v>
      </c>
      <c r="J229" s="5">
        <v>44561</v>
      </c>
      <c r="K229">
        <v>-0.58299999999999996</v>
      </c>
    </row>
    <row r="230" spans="1:11" x14ac:dyDescent="0.3">
      <c r="A230" s="15">
        <v>44620</v>
      </c>
      <c r="B230">
        <f t="shared" si="7"/>
        <v>-2.4475530091382232</v>
      </c>
      <c r="C230" s="4">
        <f t="shared" si="6"/>
        <v>-2.5260255004910497</v>
      </c>
      <c r="D230">
        <v>263.86500000000001</v>
      </c>
      <c r="E230">
        <v>251.3801</v>
      </c>
      <c r="F230">
        <v>302.5917</v>
      </c>
      <c r="G230">
        <v>219.6592</v>
      </c>
      <c r="J230" s="5">
        <v>44592</v>
      </c>
      <c r="K230">
        <v>-0.56699999999999995</v>
      </c>
    </row>
    <row r="231" spans="1:11" x14ac:dyDescent="0.3">
      <c r="A231" s="15">
        <v>44651</v>
      </c>
      <c r="B231">
        <f t="shared" si="7"/>
        <v>-1.2833286043615133</v>
      </c>
      <c r="C231" s="4">
        <f t="shared" si="6"/>
        <v>-0.9527364223614132</v>
      </c>
      <c r="D231">
        <v>260.28289999999998</v>
      </c>
      <c r="E231">
        <v>248.10210000000001</v>
      </c>
      <c r="F231">
        <v>299.45929999999998</v>
      </c>
      <c r="G231">
        <v>217.53909999999999</v>
      </c>
      <c r="J231" s="5">
        <v>44620</v>
      </c>
      <c r="K231">
        <v>-0.55100000000000005</v>
      </c>
    </row>
    <row r="232" spans="1:11" x14ac:dyDescent="0.3">
      <c r="A232" s="15">
        <v>44680</v>
      </c>
      <c r="B232">
        <f t="shared" si="7"/>
        <v>-2.6984528268626757</v>
      </c>
      <c r="C232" s="4">
        <f t="shared" si="6"/>
        <v>-2.8026106504825528</v>
      </c>
      <c r="D232">
        <v>253.01169999999999</v>
      </c>
      <c r="E232">
        <v>241.42320000000001</v>
      </c>
      <c r="F232">
        <v>290.55059999999997</v>
      </c>
      <c r="G232">
        <v>211.62430000000001</v>
      </c>
      <c r="J232" s="5">
        <v>44651</v>
      </c>
      <c r="K232">
        <v>-0.53200000000000003</v>
      </c>
    </row>
    <row r="233" spans="1:11" x14ac:dyDescent="0.3">
      <c r="A233" s="15">
        <v>44712</v>
      </c>
      <c r="B233">
        <f t="shared" si="7"/>
        <v>-1.216375572222405</v>
      </c>
      <c r="C233" s="4">
        <f t="shared" si="6"/>
        <v>-1.0974834712765995</v>
      </c>
      <c r="D233">
        <v>249.9118</v>
      </c>
      <c r="E233">
        <v>238.2842</v>
      </c>
      <c r="F233">
        <v>286.32839999999999</v>
      </c>
      <c r="G233">
        <v>209.85839999999999</v>
      </c>
      <c r="J233" s="5">
        <v>44680</v>
      </c>
      <c r="K233">
        <v>-0.53800000000000003</v>
      </c>
    </row>
    <row r="234" spans="1:11" x14ac:dyDescent="0.3">
      <c r="A234" s="15">
        <v>44742</v>
      </c>
      <c r="B234">
        <f t="shared" si="7"/>
        <v>-3.2928220430535986</v>
      </c>
      <c r="C234" s="4">
        <f t="shared" si="6"/>
        <v>-3.7429186314484091</v>
      </c>
      <c r="D234">
        <v>241.15530000000001</v>
      </c>
      <c r="E234">
        <v>230.72389999999999</v>
      </c>
      <c r="F234">
        <v>273.7371</v>
      </c>
      <c r="G234">
        <v>203.18629999999999</v>
      </c>
      <c r="J234" s="5">
        <v>44712</v>
      </c>
      <c r="K234">
        <v>-0.54600000000000004</v>
      </c>
    </row>
    <row r="235" spans="1:11" x14ac:dyDescent="0.3">
      <c r="A235" s="15">
        <v>44771</v>
      </c>
      <c r="B235">
        <f t="shared" si="7"/>
        <v>5.0748054572841994</v>
      </c>
      <c r="C235" s="4">
        <f t="shared" si="6"/>
        <v>4.5598941054919635</v>
      </c>
      <c r="D235">
        <v>252.74629999999999</v>
      </c>
      <c r="E235">
        <v>242.85</v>
      </c>
      <c r="F235">
        <v>286.44799999999998</v>
      </c>
      <c r="G235">
        <v>212.10380000000001</v>
      </c>
      <c r="J235" s="5">
        <v>44742</v>
      </c>
      <c r="K235">
        <v>-0.50800000000000001</v>
      </c>
    </row>
    <row r="236" spans="1:11" x14ac:dyDescent="0.3">
      <c r="A236" s="15">
        <v>44804</v>
      </c>
      <c r="B236">
        <f t="shared" si="7"/>
        <v>-4.521218536741948</v>
      </c>
      <c r="C236" s="4">
        <f t="shared" si="6"/>
        <v>-3.9487813140431793</v>
      </c>
      <c r="D236">
        <v>242.2867</v>
      </c>
      <c r="E236">
        <v>230.91079999999999</v>
      </c>
      <c r="F236">
        <v>276.24860000000001</v>
      </c>
      <c r="G236">
        <v>202.87909999999999</v>
      </c>
      <c r="J236" s="5">
        <v>44771</v>
      </c>
      <c r="K236">
        <v>-7.0999999999999994E-2</v>
      </c>
    </row>
    <row r="237" spans="1:11" x14ac:dyDescent="0.3">
      <c r="A237" s="15">
        <v>44834</v>
      </c>
      <c r="B237">
        <f t="shared" si="7"/>
        <v>-3.3075922623156471</v>
      </c>
      <c r="C237" s="4">
        <f t="shared" si="6"/>
        <v>-3.4195490895101286</v>
      </c>
      <c r="D237">
        <v>234.17760000000001</v>
      </c>
      <c r="E237">
        <v>223.45249999999999</v>
      </c>
      <c r="F237">
        <v>266.28570000000002</v>
      </c>
      <c r="G237">
        <v>196.39859999999999</v>
      </c>
      <c r="J237" s="5">
        <v>44804</v>
      </c>
      <c r="K237">
        <v>0.23</v>
      </c>
    </row>
    <row r="238" spans="1:11" x14ac:dyDescent="0.3">
      <c r="A238" s="15">
        <v>44865</v>
      </c>
      <c r="B238">
        <f t="shared" si="7"/>
        <v>0.39578220224014471</v>
      </c>
      <c r="C238" s="4">
        <f t="shared" si="6"/>
        <v>-0.46433120103328229</v>
      </c>
      <c r="D238">
        <v>235.09960000000001</v>
      </c>
      <c r="E238">
        <v>224.6028</v>
      </c>
      <c r="F238">
        <v>264.12040000000002</v>
      </c>
      <c r="G238">
        <v>196.4014</v>
      </c>
      <c r="J238" s="5">
        <v>44834</v>
      </c>
      <c r="K238">
        <v>0.67900000000000005</v>
      </c>
    </row>
    <row r="239" spans="1:11" x14ac:dyDescent="0.3">
      <c r="A239" s="15">
        <v>44895</v>
      </c>
      <c r="B239">
        <f t="shared" si="7"/>
        <v>2.6562068839915809</v>
      </c>
      <c r="C239" s="4">
        <f t="shared" si="6"/>
        <v>2.7829109108120154</v>
      </c>
      <c r="D239">
        <v>241.86859999999999</v>
      </c>
      <c r="E239">
        <v>230.5369</v>
      </c>
      <c r="F239">
        <v>272.77190000000002</v>
      </c>
      <c r="G239">
        <v>201.30959999999999</v>
      </c>
      <c r="J239" s="5">
        <v>44865</v>
      </c>
      <c r="K239">
        <v>1.2529999999999999</v>
      </c>
    </row>
    <row r="240" spans="1:11" x14ac:dyDescent="0.3">
      <c r="A240" s="15">
        <v>44925</v>
      </c>
      <c r="B240">
        <f t="shared" si="7"/>
        <v>-2.3318437495215201</v>
      </c>
      <c r="C240" s="4">
        <f t="shared" si="6"/>
        <v>-1.404412996613311</v>
      </c>
      <c r="D240">
        <v>237.4034</v>
      </c>
      <c r="E240">
        <v>224.64169999999999</v>
      </c>
      <c r="F240">
        <v>269.32409999999999</v>
      </c>
      <c r="G240">
        <v>198.72389999999999</v>
      </c>
      <c r="J240" s="5">
        <v>44895</v>
      </c>
      <c r="K240">
        <v>1.512</v>
      </c>
    </row>
    <row r="241" spans="1:11" x14ac:dyDescent="0.3">
      <c r="A241" s="15">
        <v>44957</v>
      </c>
      <c r="B241">
        <f t="shared" si="7"/>
        <v>2.003121172655792</v>
      </c>
      <c r="C241" s="4">
        <f t="shared" si="6"/>
        <v>2.2418151393874988</v>
      </c>
      <c r="D241">
        <v>242.95859999999999</v>
      </c>
      <c r="E241">
        <v>229.11369999999999</v>
      </c>
      <c r="F241">
        <v>277.06909999999999</v>
      </c>
      <c r="G241">
        <v>202.56399999999999</v>
      </c>
      <c r="J241" s="5">
        <v>44925</v>
      </c>
      <c r="K241">
        <v>1.8839999999999999</v>
      </c>
    </row>
    <row r="242" spans="1:11" x14ac:dyDescent="0.3">
      <c r="A242" s="15">
        <v>44985</v>
      </c>
      <c r="B242">
        <f t="shared" si="7"/>
        <v>-1.8712420233567215</v>
      </c>
      <c r="C242" s="4">
        <f t="shared" si="6"/>
        <v>-1.3261359638474344</v>
      </c>
      <c r="D242">
        <v>239.23939999999999</v>
      </c>
      <c r="E242">
        <v>224.82230000000001</v>
      </c>
      <c r="F242">
        <v>274.44279999999998</v>
      </c>
      <c r="G242">
        <v>199.79750000000001</v>
      </c>
      <c r="J242" s="5">
        <v>44957</v>
      </c>
      <c r="K242">
        <v>2.177</v>
      </c>
    </row>
    <row r="243" spans="1:11" x14ac:dyDescent="0.3">
      <c r="A243" s="15">
        <v>45016</v>
      </c>
      <c r="B243">
        <f t="shared" si="7"/>
        <v>1.3354081297934308</v>
      </c>
      <c r="C243" s="4">
        <f t="shared" si="6"/>
        <v>-2.3623197498856413E-2</v>
      </c>
      <c r="D243">
        <v>242.4992</v>
      </c>
      <c r="E243">
        <v>228.72300000000001</v>
      </c>
      <c r="F243">
        <v>273.39580000000001</v>
      </c>
      <c r="G243">
        <v>201.31800000000001</v>
      </c>
      <c r="J243" s="5">
        <v>44985</v>
      </c>
      <c r="K243">
        <v>2.4780000000000002</v>
      </c>
    </row>
    <row r="244" spans="1:11" x14ac:dyDescent="0.3">
      <c r="A244" s="15">
        <v>45044</v>
      </c>
      <c r="B244">
        <f t="shared" si="7"/>
        <v>0.49960288450770318</v>
      </c>
      <c r="C244" s="4">
        <f t="shared" si="6"/>
        <v>0.4854727508063188</v>
      </c>
      <c r="D244">
        <v>244.39279999999999</v>
      </c>
      <c r="E244">
        <v>230.33359999999999</v>
      </c>
      <c r="F244">
        <v>275.8569</v>
      </c>
      <c r="G244">
        <v>202.4385</v>
      </c>
      <c r="J244" s="5">
        <v>45016</v>
      </c>
      <c r="K244">
        <v>2.915</v>
      </c>
    </row>
    <row r="245" spans="1:11" x14ac:dyDescent="0.3">
      <c r="A245" s="15">
        <v>45077</v>
      </c>
      <c r="B245">
        <f t="shared" si="7"/>
        <v>-0.1855694870109228</v>
      </c>
      <c r="C245" s="4">
        <f t="shared" si="6"/>
        <v>4.2189658937816787E-3</v>
      </c>
      <c r="D245">
        <v>244.69479999999999</v>
      </c>
      <c r="E245">
        <v>230.40479999999999</v>
      </c>
      <c r="F245">
        <v>276.73520000000002</v>
      </c>
      <c r="G245">
        <v>202.8751</v>
      </c>
      <c r="J245" s="5">
        <v>45044</v>
      </c>
      <c r="K245">
        <v>3.052</v>
      </c>
    </row>
    <row r="246" spans="1:11" x14ac:dyDescent="0.3">
      <c r="A246" s="15">
        <v>45107</v>
      </c>
      <c r="B246">
        <f t="shared" si="7"/>
        <v>-0.83620481936089841</v>
      </c>
      <c r="C246" s="4">
        <f t="shared" si="6"/>
        <v>-0.46886736807361218</v>
      </c>
      <c r="D246">
        <v>243.48009999999999</v>
      </c>
      <c r="E246">
        <v>228.92830000000001</v>
      </c>
      <c r="F246">
        <v>276.66480000000001</v>
      </c>
      <c r="G246">
        <v>202.11</v>
      </c>
      <c r="J246" s="5">
        <v>45077</v>
      </c>
      <c r="K246">
        <v>3.2109999999999999</v>
      </c>
    </row>
    <row r="247" spans="1:11" x14ac:dyDescent="0.3">
      <c r="A247" s="15">
        <v>45138</v>
      </c>
      <c r="B247">
        <f t="shared" si="7"/>
        <v>0.44939368155388915</v>
      </c>
      <c r="C247" s="4">
        <f t="shared" si="6"/>
        <v>1.2139237872432318</v>
      </c>
      <c r="D247">
        <v>245.44800000000001</v>
      </c>
      <c r="E247">
        <v>230.47569999999999</v>
      </c>
      <c r="F247">
        <v>281.57490000000001</v>
      </c>
      <c r="G247">
        <v>204.6131</v>
      </c>
      <c r="J247" s="5">
        <v>45107</v>
      </c>
      <c r="K247">
        <v>3.399</v>
      </c>
    </row>
    <row r="248" spans="1:11" x14ac:dyDescent="0.3">
      <c r="A248" s="15">
        <v>45169</v>
      </c>
      <c r="B248">
        <f t="shared" si="7"/>
        <v>-0.18357551900569191</v>
      </c>
      <c r="C248" s="4">
        <f t="shared" si="6"/>
        <v>-0.13315505010992978</v>
      </c>
      <c r="D248">
        <v>245.85910000000001</v>
      </c>
      <c r="E248">
        <v>230.66370000000001</v>
      </c>
      <c r="F248">
        <v>281.85169999999999</v>
      </c>
      <c r="G248">
        <v>205.12790000000001</v>
      </c>
      <c r="J248" s="5">
        <v>45138</v>
      </c>
      <c r="K248">
        <v>3.5779999999999998</v>
      </c>
    </row>
    <row r="249" spans="1:11" x14ac:dyDescent="0.3">
      <c r="A249" s="15">
        <v>45198</v>
      </c>
      <c r="B249">
        <f t="shared" si="7"/>
        <v>-1.3637163918678881</v>
      </c>
      <c r="C249" s="4">
        <f t="shared" si="6"/>
        <v>-0.82592692789158662</v>
      </c>
      <c r="D249">
        <v>243.76689999999999</v>
      </c>
      <c r="E249">
        <v>227.7336</v>
      </c>
      <c r="F249">
        <v>280.90390000000002</v>
      </c>
      <c r="G249">
        <v>203.67269999999999</v>
      </c>
      <c r="J249" s="5">
        <v>45169</v>
      </c>
      <c r="K249">
        <v>3.637</v>
      </c>
    </row>
    <row r="250" spans="1:11" x14ac:dyDescent="0.3">
      <c r="A250" s="15">
        <v>45230</v>
      </c>
      <c r="B250">
        <f t="shared" si="7"/>
        <v>6.1928392008030186E-2</v>
      </c>
      <c r="C250" s="4">
        <f t="shared" si="6"/>
        <v>9.2993451411098327E-2</v>
      </c>
      <c r="D250">
        <v>244.67019999999999</v>
      </c>
      <c r="E250">
        <v>228.6806</v>
      </c>
      <c r="F250">
        <v>281.92079999999999</v>
      </c>
      <c r="G250">
        <v>204.6636</v>
      </c>
      <c r="J250" s="5">
        <v>45198</v>
      </c>
      <c r="K250">
        <v>3.847</v>
      </c>
    </row>
    <row r="251" spans="1:11" x14ac:dyDescent="0.3">
      <c r="A251" s="15">
        <v>45260</v>
      </c>
      <c r="B251">
        <f t="shared" si="7"/>
        <v>2.0582929402336259</v>
      </c>
      <c r="C251" s="4">
        <f t="shared" si="6"/>
        <v>1.9163696661502816</v>
      </c>
      <c r="D251">
        <v>250.1986</v>
      </c>
      <c r="E251">
        <v>234.40459999999999</v>
      </c>
      <c r="F251">
        <v>288.4135</v>
      </c>
      <c r="G251">
        <v>209.1165</v>
      </c>
      <c r="J251" s="5">
        <v>45230</v>
      </c>
      <c r="K251">
        <v>3.8759999999999999</v>
      </c>
    </row>
    <row r="252" spans="1:11" x14ac:dyDescent="0.3">
      <c r="A252" s="15">
        <v>45289</v>
      </c>
      <c r="B252">
        <f t="shared" si="7"/>
        <v>2.5284777216968108</v>
      </c>
      <c r="C252" s="4">
        <f t="shared" si="6"/>
        <v>2.3264399095553907</v>
      </c>
      <c r="D252">
        <v>257.1524</v>
      </c>
      <c r="E252">
        <v>241.30500000000001</v>
      </c>
      <c r="F252">
        <v>296.6644</v>
      </c>
      <c r="G252">
        <v>214.25710000000001</v>
      </c>
      <c r="J252" s="5">
        <v>45260</v>
      </c>
      <c r="K252">
        <v>3.8679999999999999</v>
      </c>
    </row>
    <row r="253" spans="1:11" x14ac:dyDescent="0.3">
      <c r="A253" s="15">
        <v>45322</v>
      </c>
      <c r="B253">
        <f t="shared" si="7"/>
        <v>-0.33574107682047966</v>
      </c>
      <c r="C253" s="4">
        <f t="shared" si="6"/>
        <v>4.0602448067282582E-2</v>
      </c>
      <c r="D253">
        <v>257.42520000000002</v>
      </c>
      <c r="E253">
        <v>241.0266</v>
      </c>
      <c r="F253">
        <v>298.3802</v>
      </c>
      <c r="G253">
        <v>214.61070000000001</v>
      </c>
      <c r="J253" s="5">
        <v>45289</v>
      </c>
      <c r="K253">
        <v>3.8450000000000002</v>
      </c>
    </row>
    <row r="254" spans="1:11" x14ac:dyDescent="0.3">
      <c r="A254" s="15">
        <v>45351</v>
      </c>
      <c r="B254">
        <f t="shared" si="7"/>
        <v>-1.3865766178135019</v>
      </c>
      <c r="C254" s="4">
        <f t="shared" si="6"/>
        <v>-0.91850781614607591</v>
      </c>
      <c r="D254">
        <v>254.99700000000001</v>
      </c>
      <c r="E254">
        <v>238.1216</v>
      </c>
      <c r="F254">
        <v>297.07729999999998</v>
      </c>
      <c r="G254">
        <v>212.94589999999999</v>
      </c>
      <c r="J254" s="5">
        <v>45322</v>
      </c>
      <c r="K254">
        <v>3.8769999999999998</v>
      </c>
    </row>
    <row r="255" spans="1:11" x14ac:dyDescent="0.3">
      <c r="A255" s="15">
        <v>45380</v>
      </c>
      <c r="B255">
        <f t="shared" si="7"/>
        <v>0.86469865390097367</v>
      </c>
      <c r="C255" s="4">
        <f t="shared" si="6"/>
        <v>0.93416664315413167</v>
      </c>
      <c r="D255">
        <v>258.137</v>
      </c>
      <c r="E255">
        <v>240.89250000000001</v>
      </c>
      <c r="F255">
        <v>300.8415</v>
      </c>
      <c r="G255">
        <v>215.6437</v>
      </c>
      <c r="J255" s="5">
        <v>45351</v>
      </c>
      <c r="K255">
        <v>3.8650000000000002</v>
      </c>
    </row>
    <row r="256" spans="1:11" x14ac:dyDescent="0.3">
      <c r="A256" s="15">
        <v>45412</v>
      </c>
      <c r="B256">
        <f t="shared" si="7"/>
        <v>-1.297993070146785</v>
      </c>
      <c r="C256" s="4">
        <f t="shared" si="6"/>
        <v>-0.96130646073172499</v>
      </c>
      <c r="D256">
        <v>255.86170000000001</v>
      </c>
      <c r="E256">
        <v>238.31</v>
      </c>
      <c r="F256">
        <v>299.25279999999998</v>
      </c>
      <c r="G256">
        <v>214.02199999999999</v>
      </c>
      <c r="J256" s="5">
        <v>45380</v>
      </c>
      <c r="K256">
        <v>3.855</v>
      </c>
    </row>
    <row r="257" spans="1:11" x14ac:dyDescent="0.3">
      <c r="A257" s="15">
        <v>45443</v>
      </c>
      <c r="B257">
        <f t="shared" si="7"/>
        <v>-0.24744594041318352</v>
      </c>
      <c r="C257" s="4">
        <f t="shared" si="6"/>
        <v>0.19715405776209333</v>
      </c>
      <c r="D257">
        <v>256.38080000000002</v>
      </c>
      <c r="E257">
        <v>238.23670000000001</v>
      </c>
      <c r="F257">
        <v>301.14960000000002</v>
      </c>
      <c r="G257">
        <v>214.93690000000001</v>
      </c>
      <c r="J257" s="5">
        <v>45412</v>
      </c>
      <c r="K257">
        <v>3.8730000000000002</v>
      </c>
    </row>
    <row r="258" spans="1:11" x14ac:dyDescent="0.3">
      <c r="A258" s="15">
        <v>45471</v>
      </c>
      <c r="B258">
        <f t="shared" si="7"/>
        <v>0.46186018805774753</v>
      </c>
      <c r="C258" s="4">
        <f t="shared" si="6"/>
        <v>0.21867012712672751</v>
      </c>
      <c r="D258">
        <v>258.38139999999999</v>
      </c>
      <c r="E258">
        <v>240.05420000000001</v>
      </c>
      <c r="F258">
        <v>302.64870000000002</v>
      </c>
      <c r="G258">
        <v>216.13849999999999</v>
      </c>
      <c r="J258" s="5">
        <v>45443</v>
      </c>
      <c r="K258">
        <v>3.7170000000000001</v>
      </c>
    </row>
    <row r="259" spans="1:11" x14ac:dyDescent="0.3">
      <c r="A259" s="15">
        <v>45504</v>
      </c>
      <c r="B259">
        <f t="shared" si="7"/>
        <v>1.408220968084561</v>
      </c>
      <c r="C259" s="4">
        <f t="shared" si="6"/>
        <v>1.4197936934561057</v>
      </c>
      <c r="D259">
        <v>262.7638</v>
      </c>
      <c r="E259">
        <v>244.24520000000001</v>
      </c>
      <c r="F259">
        <v>308.18979999999999</v>
      </c>
      <c r="G259">
        <v>219.67070000000001</v>
      </c>
      <c r="J259" s="5">
        <v>45471</v>
      </c>
      <c r="K259">
        <v>3.6320000000000001</v>
      </c>
    </row>
    <row r="260" spans="1:11" x14ac:dyDescent="0.3">
      <c r="A260" s="15">
        <v>45534</v>
      </c>
      <c r="B260">
        <f t="shared" si="7"/>
        <v>-7.7044586784708602E-2</v>
      </c>
      <c r="C260" s="4">
        <f t="shared" si="6"/>
        <v>6.9228034871920419E-2</v>
      </c>
      <c r="D260">
        <v>263.55720000000002</v>
      </c>
      <c r="E260">
        <v>244.6583</v>
      </c>
      <c r="F260">
        <v>309.60210000000001</v>
      </c>
      <c r="G260">
        <v>220.3415</v>
      </c>
      <c r="J260" s="5">
        <v>45504</v>
      </c>
      <c r="K260">
        <v>3.63</v>
      </c>
    </row>
    <row r="261" spans="1:11" x14ac:dyDescent="0.3">
      <c r="A261" s="15">
        <v>45565</v>
      </c>
      <c r="B261">
        <f t="shared" si="7"/>
        <v>0.84634702917015225</v>
      </c>
      <c r="C261" s="4">
        <f t="shared" si="6"/>
        <v>1.0124298631739745</v>
      </c>
      <c r="D261">
        <v>266.55020000000002</v>
      </c>
      <c r="E261">
        <v>247.4847</v>
      </c>
      <c r="F261">
        <v>313.76080000000002</v>
      </c>
      <c r="G261">
        <v>223.16139999999999</v>
      </c>
      <c r="J261" s="5">
        <v>45534</v>
      </c>
      <c r="K261">
        <v>3.589</v>
      </c>
    </row>
    <row r="262" spans="1:11" x14ac:dyDescent="0.3">
      <c r="A262" s="15">
        <v>45596</v>
      </c>
      <c r="B262">
        <f t="shared" si="7"/>
        <v>-0.63694889908130237</v>
      </c>
      <c r="C262" s="4">
        <f t="shared" si="6"/>
        <v>-0.5059356227844094</v>
      </c>
      <c r="D262">
        <v>265.77949999999998</v>
      </c>
      <c r="E262">
        <v>246.47669999999999</v>
      </c>
      <c r="F262">
        <v>313.51400000000001</v>
      </c>
      <c r="G262">
        <v>222.36750000000001</v>
      </c>
      <c r="J262" s="5">
        <v>45565</v>
      </c>
      <c r="K262">
        <v>3.3530000000000002</v>
      </c>
    </row>
    <row r="263" spans="1:11" x14ac:dyDescent="0.3">
      <c r="A263" s="15">
        <v>45625</v>
      </c>
      <c r="B263">
        <f t="shared" si="7"/>
        <v>1.3478165538293081</v>
      </c>
      <c r="C263" s="4">
        <f t="shared" si="6"/>
        <v>1.2427124355892678</v>
      </c>
      <c r="D263">
        <v>269.92880000000002</v>
      </c>
      <c r="E263">
        <v>250.5607</v>
      </c>
      <c r="F263">
        <v>318.08859999999999</v>
      </c>
      <c r="G263">
        <v>225.8115</v>
      </c>
      <c r="J263" s="5">
        <v>45596</v>
      </c>
      <c r="K263">
        <v>3.1349999999999998</v>
      </c>
    </row>
    <row r="264" spans="1:11" x14ac:dyDescent="0.3">
      <c r="A264" s="15">
        <v>45657</v>
      </c>
      <c r="B264">
        <f t="shared" si="7"/>
        <v>-0.70052381147424136</v>
      </c>
      <c r="C264" s="4">
        <f t="shared" si="6"/>
        <v>-0.51312629874479887</v>
      </c>
      <c r="D264">
        <v>269.04500000000002</v>
      </c>
      <c r="E264">
        <v>249.1669</v>
      </c>
      <c r="F264">
        <v>317.64339999999999</v>
      </c>
      <c r="G264">
        <v>224.97839999999999</v>
      </c>
      <c r="J264" s="5">
        <v>45625</v>
      </c>
      <c r="K264">
        <v>3.004</v>
      </c>
    </row>
    <row r="265" spans="1:11" x14ac:dyDescent="0.3">
      <c r="A265" s="15">
        <v>45688</v>
      </c>
      <c r="B265">
        <f t="shared" si="7"/>
        <v>0.11466629307570542</v>
      </c>
      <c r="C265" s="4">
        <f t="shared" si="6"/>
        <v>0.33724961967773814</v>
      </c>
      <c r="D265">
        <v>270.0727</v>
      </c>
      <c r="E265">
        <v>250.00739999999999</v>
      </c>
      <c r="F265">
        <v>319.43819999999999</v>
      </c>
      <c r="G265">
        <v>226.327</v>
      </c>
      <c r="J265" s="5">
        <v>45657</v>
      </c>
      <c r="K265">
        <v>2.8450000000000002</v>
      </c>
    </row>
    <row r="266" spans="1:11" x14ac:dyDescent="0.3">
      <c r="A266" s="15">
        <v>45716</v>
      </c>
      <c r="B266">
        <f t="shared" si="7"/>
        <v>0.36312828075524362</v>
      </c>
      <c r="C266" s="4">
        <f t="shared" si="6"/>
        <v>0.39907102219780644</v>
      </c>
      <c r="D266">
        <v>271.75959999999998</v>
      </c>
      <c r="E266">
        <v>251.29599999999999</v>
      </c>
      <c r="F266">
        <v>321.77760000000001</v>
      </c>
      <c r="G266">
        <v>227.41239999999999</v>
      </c>
      <c r="J266" s="5">
        <v>45688</v>
      </c>
      <c r="K266">
        <v>2.66</v>
      </c>
    </row>
    <row r="267" spans="1:11" x14ac:dyDescent="0.3">
      <c r="A267" s="15">
        <v>45747</v>
      </c>
      <c r="B267">
        <f t="shared" si="7"/>
        <v>-1.3260289593855141</v>
      </c>
      <c r="C267" s="4">
        <f t="shared" si="6"/>
        <v>-1.1383753245230084</v>
      </c>
      <c r="D267">
        <v>269.12029999999999</v>
      </c>
      <c r="E267">
        <v>248.13800000000001</v>
      </c>
      <c r="F267">
        <v>318.9135</v>
      </c>
      <c r="G267">
        <v>225.2236</v>
      </c>
      <c r="J267" s="5">
        <v>45716</v>
      </c>
      <c r="K267">
        <v>2.4630000000000001</v>
      </c>
    </row>
    <row r="268" spans="1:11" x14ac:dyDescent="0.3">
      <c r="A268" s="15">
        <v>45777</v>
      </c>
      <c r="B268">
        <f t="shared" si="7"/>
        <v>0.80263614054234489</v>
      </c>
      <c r="C268" s="4">
        <f t="shared" si="6"/>
        <v>0.72373441695403551</v>
      </c>
      <c r="D268">
        <v>271.49860000000001</v>
      </c>
      <c r="E268">
        <v>250.90360000000001</v>
      </c>
      <c r="F268">
        <v>321.54790000000003</v>
      </c>
      <c r="G268">
        <v>227.50829999999999</v>
      </c>
      <c r="J268" s="5">
        <v>45747</v>
      </c>
      <c r="K268">
        <v>2.3580000000000001</v>
      </c>
    </row>
    <row r="269" spans="1:11" x14ac:dyDescent="0.3">
      <c r="A269" s="15">
        <v>45807</v>
      </c>
      <c r="B269">
        <f t="shared" si="7"/>
        <v>0.29709379621085119</v>
      </c>
      <c r="C269" s="4">
        <f t="shared" si="6"/>
        <v>0.48627587177472742</v>
      </c>
      <c r="D269">
        <v>272.9255</v>
      </c>
      <c r="E269">
        <v>252.01130000000001</v>
      </c>
      <c r="F269">
        <v>323.74470000000002</v>
      </c>
      <c r="G269">
        <v>229.01490000000001</v>
      </c>
      <c r="J269" s="5">
        <v>45777</v>
      </c>
      <c r="K269">
        <v>2.165</v>
      </c>
    </row>
    <row r="270" spans="1:11" x14ac:dyDescent="0.3">
      <c r="A270" s="15">
        <v>45838</v>
      </c>
      <c r="B270">
        <f t="shared" si="7"/>
        <v>2.3742947348550092E-2</v>
      </c>
      <c r="C270" s="4">
        <f t="shared" si="6"/>
        <v>0.21206291572944014</v>
      </c>
      <c r="D270">
        <v>273.62200000000001</v>
      </c>
      <c r="E270">
        <v>252.3262</v>
      </c>
      <c r="F270">
        <v>325.17129999999997</v>
      </c>
      <c r="G270">
        <v>229.7389</v>
      </c>
      <c r="J270" s="5">
        <v>45807</v>
      </c>
      <c r="K270">
        <v>1.996</v>
      </c>
    </row>
    <row r="271" spans="1:11" x14ac:dyDescent="0.3">
      <c r="A271" s="15">
        <v>45869</v>
      </c>
      <c r="B271">
        <f t="shared" si="7"/>
        <v>0.34359156686124626</v>
      </c>
      <c r="C271" s="4">
        <f t="shared" ref="C271:C277" si="8">0.5*((F271/F270)-1)*100+0.5*((G271/G270)-1)*100 - _xlfn.XLOOKUP(A270,$J:$J,$K:$K)*(DAY(EOMONTH(A271,0))/360)</f>
        <v>0.40080645013352922</v>
      </c>
      <c r="D271">
        <v>275.13189999999997</v>
      </c>
      <c r="E271">
        <v>253.50819999999999</v>
      </c>
      <c r="F271">
        <v>327.29910000000001</v>
      </c>
      <c r="G271">
        <v>230.8424</v>
      </c>
      <c r="J271" s="5">
        <v>45838</v>
      </c>
      <c r="K271">
        <v>1.9339999999999999</v>
      </c>
    </row>
    <row r="272" spans="1:11" x14ac:dyDescent="0.3">
      <c r="A272" s="15">
        <v>45898</v>
      </c>
      <c r="B272">
        <f t="shared" ref="B272:B277" si="9">0.5*((D272/D271)-1)*100+0.5*((E272/E271)-1)*100 - _xlfn.XLOOKUP(A271,$J:$J,$K:$K)*(DAY(EOMONTH(A272,0))/360)</f>
        <v>-0.19077138046822947</v>
      </c>
      <c r="C272" s="4">
        <f t="shared" si="8"/>
        <v>-9.0703984437212254E-2</v>
      </c>
      <c r="D272">
        <v>275.26319999999998</v>
      </c>
      <c r="E272">
        <v>253.24340000000001</v>
      </c>
      <c r="F272">
        <v>327.67970000000003</v>
      </c>
      <c r="G272">
        <v>230.905</v>
      </c>
      <c r="J272" s="5">
        <v>45869</v>
      </c>
      <c r="K272">
        <v>1.8859999999999999</v>
      </c>
    </row>
    <row r="273" spans="1:11" x14ac:dyDescent="0.3">
      <c r="A273" s="15">
        <v>45930</v>
      </c>
      <c r="B273">
        <f t="shared" si="9"/>
        <v>0.22844666078842185</v>
      </c>
      <c r="C273" s="4">
        <f t="shared" si="8"/>
        <v>0.2565266909769483</v>
      </c>
      <c r="D273">
        <v>276.28219999999999</v>
      </c>
      <c r="E273">
        <v>254.24760000000001</v>
      </c>
      <c r="F273">
        <v>329.14249999999998</v>
      </c>
      <c r="G273">
        <v>231.77430000000001</v>
      </c>
      <c r="J273" s="5">
        <v>45898</v>
      </c>
      <c r="K273">
        <v>1.859</v>
      </c>
    </row>
    <row r="274" spans="1:11" x14ac:dyDescent="0.3">
      <c r="A274" s="15">
        <v>45961</v>
      </c>
      <c r="B274">
        <f t="shared" si="9"/>
        <v>0.57560911305381346</v>
      </c>
      <c r="C274" s="4">
        <f t="shared" si="8"/>
        <v>0.46693603686337815</v>
      </c>
      <c r="D274">
        <v>278.30470000000003</v>
      </c>
      <c r="E274">
        <v>256.15800000000002</v>
      </c>
      <c r="F274">
        <v>331.16070000000002</v>
      </c>
      <c r="G274">
        <v>233.2876</v>
      </c>
      <c r="J274" s="5">
        <v>45930</v>
      </c>
      <c r="K274">
        <v>1.929</v>
      </c>
    </row>
    <row r="275" spans="1:11" x14ac:dyDescent="0.3">
      <c r="A275" s="15">
        <v>45989</v>
      </c>
      <c r="B275">
        <f t="shared" si="9"/>
        <v>-0.45804805240924046</v>
      </c>
      <c r="C275" s="4">
        <f t="shared" si="8"/>
        <v>-0.31040579794492079</v>
      </c>
      <c r="D275">
        <v>277.63150000000002</v>
      </c>
      <c r="E275">
        <v>255.24940000000001</v>
      </c>
      <c r="F275">
        <v>330.80990000000003</v>
      </c>
      <c r="G275">
        <v>232.83179999999999</v>
      </c>
      <c r="J275" s="5">
        <v>45961</v>
      </c>
      <c r="K275">
        <v>1.917</v>
      </c>
    </row>
    <row r="276" spans="1:11" x14ac:dyDescent="0.3">
      <c r="A276" s="15">
        <v>46022</v>
      </c>
      <c r="B276">
        <f t="shared" si="9"/>
        <v>-0.37539375306643774</v>
      </c>
      <c r="C276" s="4">
        <f t="shared" si="8"/>
        <v>-0.31140602906357584</v>
      </c>
      <c r="D276">
        <v>277.31180000000001</v>
      </c>
      <c r="E276">
        <v>254.48240000000001</v>
      </c>
      <c r="F276">
        <v>330.56099999999998</v>
      </c>
      <c r="G276">
        <v>232.3372</v>
      </c>
      <c r="J276" s="5">
        <v>45989</v>
      </c>
      <c r="K276">
        <v>1.946</v>
      </c>
    </row>
    <row r="277" spans="1:11" x14ac:dyDescent="0.3">
      <c r="A277" s="15">
        <v>46052</v>
      </c>
      <c r="B277">
        <f t="shared" si="9"/>
        <v>0.60235497105024316</v>
      </c>
      <c r="C277" s="4">
        <f t="shared" si="8"/>
        <v>0.61346944951725457</v>
      </c>
      <c r="D277">
        <v>279.4984</v>
      </c>
      <c r="E277">
        <v>256.39139999999998</v>
      </c>
      <c r="F277">
        <v>333.19979999999998</v>
      </c>
      <c r="G277">
        <v>234.10900000000001</v>
      </c>
      <c r="J277" s="5">
        <v>46022</v>
      </c>
      <c r="K277">
        <v>1.9390000000000001</v>
      </c>
    </row>
    <row r="278" spans="1:11" x14ac:dyDescent="0.3">
      <c r="J278" s="5">
        <v>46052</v>
      </c>
      <c r="K278">
        <v>1.968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18A35-E5C2-4D13-A488-F6C3774BA864}">
  <dimension ref="A1:I763"/>
  <sheetViews>
    <sheetView tabSelected="1" workbookViewId="0">
      <selection activeCell="G16" sqref="G16"/>
    </sheetView>
  </sheetViews>
  <sheetFormatPr defaultRowHeight="14.4" x14ac:dyDescent="0.3"/>
  <sheetData>
    <row r="1" spans="1:9" x14ac:dyDescent="0.3">
      <c r="A1" t="s">
        <v>13</v>
      </c>
      <c r="B1" t="s">
        <v>14</v>
      </c>
      <c r="C1" t="s">
        <v>2</v>
      </c>
      <c r="D1" t="s">
        <v>3</v>
      </c>
    </row>
    <row r="2" spans="1:9" x14ac:dyDescent="0.3">
      <c r="A2" t="s">
        <v>15</v>
      </c>
      <c r="B2" t="s">
        <v>12</v>
      </c>
    </row>
    <row r="3" spans="1:9" x14ac:dyDescent="0.3">
      <c r="B3" t="s">
        <v>4</v>
      </c>
      <c r="C3" t="s">
        <v>5</v>
      </c>
    </row>
    <row r="4" spans="1:9" x14ac:dyDescent="0.3">
      <c r="B4" t="s">
        <v>16</v>
      </c>
    </row>
    <row r="5" spans="1:9" x14ac:dyDescent="0.3">
      <c r="B5" t="s">
        <v>17</v>
      </c>
    </row>
    <row r="6" spans="1:9" x14ac:dyDescent="0.3">
      <c r="B6" t="s">
        <v>18</v>
      </c>
    </row>
    <row r="10" spans="1:9" x14ac:dyDescent="0.3">
      <c r="A10" t="s">
        <v>8</v>
      </c>
    </row>
    <row r="11" spans="1:9" x14ac:dyDescent="0.3">
      <c r="A11" t="s">
        <v>10</v>
      </c>
      <c r="B11" t="s">
        <v>11</v>
      </c>
    </row>
    <row r="12" spans="1:9" x14ac:dyDescent="0.3">
      <c r="A12" t="s">
        <v>9</v>
      </c>
    </row>
    <row r="14" spans="1:9" x14ac:dyDescent="0.3">
      <c r="B14" t="s">
        <v>1</v>
      </c>
      <c r="C14" t="s">
        <v>2</v>
      </c>
      <c r="D14" t="s">
        <v>3</v>
      </c>
      <c r="E14" t="s">
        <v>4</v>
      </c>
      <c r="F14" t="s">
        <v>5</v>
      </c>
      <c r="G14" t="s">
        <v>6</v>
      </c>
      <c r="I14" t="s">
        <v>17</v>
      </c>
    </row>
    <row r="15" spans="1:9" x14ac:dyDescent="0.3">
      <c r="A15">
        <v>196307</v>
      </c>
      <c r="B15">
        <v>-0.39</v>
      </c>
      <c r="C15">
        <v>-0.48</v>
      </c>
      <c r="D15">
        <v>-0.81</v>
      </c>
      <c r="E15">
        <v>0.64</v>
      </c>
      <c r="F15">
        <v>-1.1499999999999999</v>
      </c>
      <c r="G15">
        <v>0.27</v>
      </c>
      <c r="I15">
        <v>1.01</v>
      </c>
    </row>
    <row r="16" spans="1:9" x14ac:dyDescent="0.3">
      <c r="A16">
        <v>196308</v>
      </c>
      <c r="B16">
        <v>5.08</v>
      </c>
      <c r="C16">
        <v>-0.8</v>
      </c>
      <c r="D16">
        <v>1.7</v>
      </c>
      <c r="E16">
        <v>0.4</v>
      </c>
      <c r="F16">
        <v>-0.38</v>
      </c>
      <c r="G16">
        <v>0.25</v>
      </c>
      <c r="I16">
        <v>1</v>
      </c>
    </row>
    <row r="17" spans="1:9" x14ac:dyDescent="0.3">
      <c r="A17">
        <v>196309</v>
      </c>
      <c r="B17">
        <v>-1.57</v>
      </c>
      <c r="C17">
        <v>-0.43</v>
      </c>
      <c r="D17">
        <v>0</v>
      </c>
      <c r="E17">
        <v>-0.78</v>
      </c>
      <c r="F17">
        <v>0.15</v>
      </c>
      <c r="G17">
        <v>0.27</v>
      </c>
      <c r="I17">
        <v>0.12</v>
      </c>
    </row>
    <row r="18" spans="1:9" x14ac:dyDescent="0.3">
      <c r="A18">
        <v>196310</v>
      </c>
      <c r="B18">
        <v>2.54</v>
      </c>
      <c r="C18">
        <v>-1.34</v>
      </c>
      <c r="D18">
        <v>-0.04</v>
      </c>
      <c r="E18">
        <v>2.79</v>
      </c>
      <c r="F18">
        <v>-2.25</v>
      </c>
      <c r="G18">
        <v>0.28999999999999998</v>
      </c>
      <c r="I18">
        <v>3.13</v>
      </c>
    </row>
    <row r="19" spans="1:9" x14ac:dyDescent="0.3">
      <c r="A19">
        <v>196311</v>
      </c>
      <c r="B19">
        <v>-0.86</v>
      </c>
      <c r="C19">
        <v>-0.85</v>
      </c>
      <c r="D19">
        <v>1.73</v>
      </c>
      <c r="E19">
        <v>-0.43</v>
      </c>
      <c r="F19">
        <v>2.27</v>
      </c>
      <c r="G19">
        <v>0.27</v>
      </c>
      <c r="I19">
        <v>-0.78</v>
      </c>
    </row>
    <row r="20" spans="1:9" x14ac:dyDescent="0.3">
      <c r="A20">
        <v>196312</v>
      </c>
      <c r="B20">
        <v>1.83</v>
      </c>
      <c r="C20">
        <v>-1.89</v>
      </c>
      <c r="D20">
        <v>-0.21</v>
      </c>
      <c r="E20">
        <v>0.12</v>
      </c>
      <c r="F20">
        <v>-0.25</v>
      </c>
      <c r="G20">
        <v>0.28999999999999998</v>
      </c>
      <c r="I20">
        <v>1.84</v>
      </c>
    </row>
    <row r="21" spans="1:9" x14ac:dyDescent="0.3">
      <c r="A21">
        <v>196401</v>
      </c>
      <c r="B21">
        <v>2.27</v>
      </c>
      <c r="C21">
        <v>0.1</v>
      </c>
      <c r="D21">
        <v>1.63</v>
      </c>
      <c r="E21">
        <v>0.21</v>
      </c>
      <c r="F21">
        <v>1.48</v>
      </c>
      <c r="G21">
        <v>0.3</v>
      </c>
      <c r="I21">
        <v>1.02</v>
      </c>
    </row>
    <row r="22" spans="1:9" x14ac:dyDescent="0.3">
      <c r="A22">
        <v>196402</v>
      </c>
      <c r="B22">
        <v>1.55</v>
      </c>
      <c r="C22">
        <v>0.33</v>
      </c>
      <c r="D22">
        <v>2.81</v>
      </c>
      <c r="E22">
        <v>0.11</v>
      </c>
      <c r="F22">
        <v>0.81</v>
      </c>
      <c r="G22">
        <v>0.26</v>
      </c>
      <c r="I22">
        <v>0.33</v>
      </c>
    </row>
    <row r="23" spans="1:9" x14ac:dyDescent="0.3">
      <c r="A23">
        <v>196403</v>
      </c>
      <c r="B23">
        <v>1.41</v>
      </c>
      <c r="C23">
        <v>1.41</v>
      </c>
      <c r="D23">
        <v>3.29</v>
      </c>
      <c r="E23">
        <v>-2.0299999999999998</v>
      </c>
      <c r="F23">
        <v>2.98</v>
      </c>
      <c r="G23">
        <v>0.31</v>
      </c>
      <c r="I23">
        <v>0.69</v>
      </c>
    </row>
    <row r="24" spans="1:9" x14ac:dyDescent="0.3">
      <c r="A24">
        <v>196404</v>
      </c>
      <c r="B24">
        <v>0.11</v>
      </c>
      <c r="C24">
        <v>-1.48</v>
      </c>
      <c r="D24">
        <v>-0.54</v>
      </c>
      <c r="E24">
        <v>-1.32</v>
      </c>
      <c r="F24">
        <v>-1.1299999999999999</v>
      </c>
      <c r="G24">
        <v>0.28999999999999998</v>
      </c>
      <c r="I24">
        <v>-0.64</v>
      </c>
    </row>
    <row r="25" spans="1:9" x14ac:dyDescent="0.3">
      <c r="A25">
        <v>196405</v>
      </c>
      <c r="B25">
        <v>1.41</v>
      </c>
      <c r="C25">
        <v>-0.62</v>
      </c>
      <c r="D25">
        <v>1.81</v>
      </c>
      <c r="E25">
        <v>-0.15</v>
      </c>
      <c r="F25">
        <v>0.13</v>
      </c>
      <c r="G25">
        <v>0.26</v>
      </c>
      <c r="I25">
        <v>2.5299999999999998</v>
      </c>
    </row>
    <row r="26" spans="1:9" x14ac:dyDescent="0.3">
      <c r="A26">
        <v>196406</v>
      </c>
      <c r="B26">
        <v>1.27</v>
      </c>
      <c r="C26">
        <v>0.13</v>
      </c>
      <c r="D26">
        <v>0.68</v>
      </c>
      <c r="E26">
        <v>-0.33</v>
      </c>
      <c r="F26">
        <v>0.1</v>
      </c>
      <c r="G26">
        <v>0.3</v>
      </c>
      <c r="I26">
        <v>0.47</v>
      </c>
    </row>
    <row r="27" spans="1:9" x14ac:dyDescent="0.3">
      <c r="A27">
        <v>196407</v>
      </c>
      <c r="B27">
        <v>1.74</v>
      </c>
      <c r="C27">
        <v>0.5</v>
      </c>
      <c r="D27">
        <v>0.79</v>
      </c>
      <c r="E27">
        <v>0.15</v>
      </c>
      <c r="F27">
        <v>1.85</v>
      </c>
      <c r="G27">
        <v>0.3</v>
      </c>
      <c r="I27">
        <v>-0.38</v>
      </c>
    </row>
    <row r="28" spans="1:9" x14ac:dyDescent="0.3">
      <c r="A28">
        <v>196408</v>
      </c>
      <c r="B28">
        <v>-1.44</v>
      </c>
      <c r="C28">
        <v>0.28999999999999998</v>
      </c>
      <c r="D28">
        <v>7.0000000000000007E-2</v>
      </c>
      <c r="E28">
        <v>0.15</v>
      </c>
      <c r="F28">
        <v>0.31</v>
      </c>
      <c r="G28">
        <v>0.28000000000000003</v>
      </c>
      <c r="I28">
        <v>-0.25</v>
      </c>
    </row>
    <row r="29" spans="1:9" x14ac:dyDescent="0.3">
      <c r="A29">
        <v>196409</v>
      </c>
      <c r="B29">
        <v>2.69</v>
      </c>
      <c r="C29">
        <v>-0.34</v>
      </c>
      <c r="D29">
        <v>1.72</v>
      </c>
      <c r="E29">
        <v>-0.5</v>
      </c>
      <c r="F29">
        <v>0.56000000000000005</v>
      </c>
      <c r="G29">
        <v>0.28000000000000003</v>
      </c>
      <c r="I29">
        <v>-0.39</v>
      </c>
    </row>
    <row r="30" spans="1:9" x14ac:dyDescent="0.3">
      <c r="A30">
        <v>196410</v>
      </c>
      <c r="B30">
        <v>0.6</v>
      </c>
      <c r="C30">
        <v>0.9</v>
      </c>
      <c r="D30">
        <v>1.08</v>
      </c>
      <c r="E30">
        <v>-0.2</v>
      </c>
      <c r="F30">
        <v>0.52</v>
      </c>
      <c r="G30">
        <v>0.28999999999999998</v>
      </c>
      <c r="I30">
        <v>0.19</v>
      </c>
    </row>
    <row r="31" spans="1:9" x14ac:dyDescent="0.3">
      <c r="A31">
        <v>196411</v>
      </c>
      <c r="B31">
        <v>-0.01</v>
      </c>
      <c r="C31">
        <v>-0.24</v>
      </c>
      <c r="D31">
        <v>-2.04</v>
      </c>
      <c r="E31">
        <v>0.71</v>
      </c>
      <c r="F31">
        <v>-0.16</v>
      </c>
      <c r="G31">
        <v>0.28999999999999998</v>
      </c>
      <c r="I31">
        <v>1.1000000000000001</v>
      </c>
    </row>
    <row r="32" spans="1:9" x14ac:dyDescent="0.3">
      <c r="A32">
        <v>196412</v>
      </c>
      <c r="B32">
        <v>0.04</v>
      </c>
      <c r="C32">
        <v>-0.65</v>
      </c>
      <c r="D32">
        <v>-2.4300000000000002</v>
      </c>
      <c r="E32">
        <v>0.95</v>
      </c>
      <c r="F32">
        <v>-1.55</v>
      </c>
      <c r="G32">
        <v>0.31</v>
      </c>
      <c r="I32">
        <v>-0.69</v>
      </c>
    </row>
    <row r="33" spans="1:9" x14ac:dyDescent="0.3">
      <c r="A33">
        <v>196501</v>
      </c>
      <c r="B33">
        <v>3.54</v>
      </c>
      <c r="C33">
        <v>2.5</v>
      </c>
      <c r="D33">
        <v>0.36</v>
      </c>
      <c r="E33">
        <v>0.94</v>
      </c>
      <c r="F33">
        <v>-0.02</v>
      </c>
      <c r="G33">
        <v>0.28000000000000003</v>
      </c>
      <c r="I33">
        <v>-1.38</v>
      </c>
    </row>
    <row r="34" spans="1:9" x14ac:dyDescent="0.3">
      <c r="A34">
        <v>196502</v>
      </c>
      <c r="B34">
        <v>0.44</v>
      </c>
      <c r="C34">
        <v>3.24</v>
      </c>
      <c r="D34">
        <v>0.22</v>
      </c>
      <c r="E34">
        <v>0.26</v>
      </c>
      <c r="F34">
        <v>-0.62</v>
      </c>
      <c r="G34">
        <v>0.3</v>
      </c>
      <c r="I34">
        <v>0.24</v>
      </c>
    </row>
    <row r="35" spans="1:9" x14ac:dyDescent="0.3">
      <c r="A35">
        <v>196503</v>
      </c>
      <c r="B35">
        <v>-1.34</v>
      </c>
      <c r="C35">
        <v>2.08</v>
      </c>
      <c r="D35">
        <v>1.1499999999999999</v>
      </c>
      <c r="E35">
        <v>-0.28999999999999998</v>
      </c>
      <c r="F35">
        <v>0.65</v>
      </c>
      <c r="G35">
        <v>0.36</v>
      </c>
      <c r="I35">
        <v>0.17</v>
      </c>
    </row>
    <row r="36" spans="1:9" x14ac:dyDescent="0.3">
      <c r="A36">
        <v>196504</v>
      </c>
      <c r="B36">
        <v>3.11</v>
      </c>
      <c r="C36">
        <v>1.1399999999999999</v>
      </c>
      <c r="D36">
        <v>0.73</v>
      </c>
      <c r="E36">
        <v>0.28999999999999998</v>
      </c>
      <c r="F36">
        <v>-2.27</v>
      </c>
      <c r="G36">
        <v>0.31</v>
      </c>
      <c r="I36">
        <v>2.5299999999999998</v>
      </c>
    </row>
    <row r="37" spans="1:9" x14ac:dyDescent="0.3">
      <c r="A37">
        <v>196505</v>
      </c>
      <c r="B37">
        <v>-0.78</v>
      </c>
      <c r="C37">
        <v>0.05</v>
      </c>
      <c r="D37">
        <v>-1.55</v>
      </c>
      <c r="E37">
        <v>-0.42</v>
      </c>
      <c r="F37">
        <v>0.59</v>
      </c>
      <c r="G37">
        <v>0.31</v>
      </c>
      <c r="I37">
        <v>0.55000000000000004</v>
      </c>
    </row>
    <row r="38" spans="1:9" x14ac:dyDescent="0.3">
      <c r="A38">
        <v>196506</v>
      </c>
      <c r="B38">
        <v>-5.51</v>
      </c>
      <c r="C38">
        <v>-4.2</v>
      </c>
      <c r="D38">
        <v>0.23</v>
      </c>
      <c r="E38">
        <v>0.24</v>
      </c>
      <c r="F38">
        <v>0.43</v>
      </c>
      <c r="G38">
        <v>0.35</v>
      </c>
      <c r="I38">
        <v>-3.18</v>
      </c>
    </row>
    <row r="39" spans="1:9" x14ac:dyDescent="0.3">
      <c r="A39">
        <v>196507</v>
      </c>
      <c r="B39">
        <v>1.44</v>
      </c>
      <c r="C39">
        <v>1.1000000000000001</v>
      </c>
      <c r="D39">
        <v>2.19</v>
      </c>
      <c r="E39">
        <v>-1.41</v>
      </c>
      <c r="F39">
        <v>-0.08</v>
      </c>
      <c r="G39">
        <v>0.31</v>
      </c>
      <c r="I39">
        <v>4.09</v>
      </c>
    </row>
    <row r="40" spans="1:9" x14ac:dyDescent="0.3">
      <c r="A40">
        <v>196508</v>
      </c>
      <c r="B40">
        <v>2.73</v>
      </c>
      <c r="C40">
        <v>2.77</v>
      </c>
      <c r="D40">
        <v>-0.98</v>
      </c>
      <c r="E40">
        <v>2.0299999999999998</v>
      </c>
      <c r="F40">
        <v>-0.81</v>
      </c>
      <c r="G40">
        <v>0.33</v>
      </c>
      <c r="I40">
        <v>2.58</v>
      </c>
    </row>
    <row r="41" spans="1:9" x14ac:dyDescent="0.3">
      <c r="A41">
        <v>196509</v>
      </c>
      <c r="B41">
        <v>2.86</v>
      </c>
      <c r="C41">
        <v>0.7</v>
      </c>
      <c r="D41">
        <v>-0.14000000000000001</v>
      </c>
      <c r="E41">
        <v>-0.85</v>
      </c>
      <c r="F41">
        <v>0.73</v>
      </c>
      <c r="G41">
        <v>0.31</v>
      </c>
      <c r="I41">
        <v>3.29</v>
      </c>
    </row>
    <row r="42" spans="1:9" x14ac:dyDescent="0.3">
      <c r="A42">
        <v>196510</v>
      </c>
      <c r="B42">
        <v>2.6</v>
      </c>
      <c r="C42">
        <v>3.45</v>
      </c>
      <c r="D42">
        <v>1.55</v>
      </c>
      <c r="E42">
        <v>1.19</v>
      </c>
      <c r="F42">
        <v>-0.76</v>
      </c>
      <c r="G42">
        <v>0.31</v>
      </c>
      <c r="I42">
        <v>3.45</v>
      </c>
    </row>
    <row r="43" spans="1:9" x14ac:dyDescent="0.3">
      <c r="A43">
        <v>196511</v>
      </c>
      <c r="B43">
        <v>-0.02</v>
      </c>
      <c r="C43">
        <v>5.22</v>
      </c>
      <c r="D43">
        <v>0.16</v>
      </c>
      <c r="E43">
        <v>-1.08</v>
      </c>
      <c r="F43">
        <v>-0.87</v>
      </c>
      <c r="G43">
        <v>0.35</v>
      </c>
      <c r="I43">
        <v>4.4000000000000004</v>
      </c>
    </row>
    <row r="44" spans="1:9" x14ac:dyDescent="0.3">
      <c r="A44">
        <v>196512</v>
      </c>
      <c r="B44">
        <v>1.01</v>
      </c>
      <c r="C44">
        <v>2.62</v>
      </c>
      <c r="D44">
        <v>2.15</v>
      </c>
      <c r="E44">
        <v>-1.3</v>
      </c>
      <c r="F44">
        <v>-0.55000000000000004</v>
      </c>
      <c r="G44">
        <v>0.33</v>
      </c>
      <c r="I44">
        <v>-0.1</v>
      </c>
    </row>
    <row r="45" spans="1:9" x14ac:dyDescent="0.3">
      <c r="A45">
        <v>196601</v>
      </c>
      <c r="B45">
        <v>0.72</v>
      </c>
      <c r="C45">
        <v>4.8499999999999996</v>
      </c>
      <c r="D45">
        <v>3.27</v>
      </c>
      <c r="E45">
        <v>-2.65</v>
      </c>
      <c r="F45">
        <v>-0.26</v>
      </c>
      <c r="G45">
        <v>0.38</v>
      </c>
      <c r="I45">
        <v>5.28</v>
      </c>
    </row>
    <row r="46" spans="1:9" x14ac:dyDescent="0.3">
      <c r="A46">
        <v>196602</v>
      </c>
      <c r="B46">
        <v>-1.21</v>
      </c>
      <c r="C46">
        <v>4.79</v>
      </c>
      <c r="D46">
        <v>0.38</v>
      </c>
      <c r="E46">
        <v>-0.16</v>
      </c>
      <c r="F46">
        <v>-1.45</v>
      </c>
      <c r="G46">
        <v>0.35</v>
      </c>
      <c r="I46">
        <v>4.58</v>
      </c>
    </row>
    <row r="47" spans="1:9" x14ac:dyDescent="0.3">
      <c r="A47">
        <v>196603</v>
      </c>
      <c r="B47">
        <v>-2.5099999999999998</v>
      </c>
      <c r="C47">
        <v>0.21</v>
      </c>
      <c r="D47">
        <v>-2.13</v>
      </c>
      <c r="E47">
        <v>1.29</v>
      </c>
      <c r="F47">
        <v>-0.05</v>
      </c>
      <c r="G47">
        <v>0.38</v>
      </c>
      <c r="I47">
        <v>1.47</v>
      </c>
    </row>
    <row r="48" spans="1:9" x14ac:dyDescent="0.3">
      <c r="A48">
        <v>196604</v>
      </c>
      <c r="B48">
        <v>2.13</v>
      </c>
      <c r="C48">
        <v>3.33</v>
      </c>
      <c r="D48">
        <v>-0.36</v>
      </c>
      <c r="E48">
        <v>0.42</v>
      </c>
      <c r="F48">
        <v>-0.92</v>
      </c>
      <c r="G48">
        <v>0.34</v>
      </c>
      <c r="I48">
        <v>5.88</v>
      </c>
    </row>
    <row r="49" spans="1:9" x14ac:dyDescent="0.3">
      <c r="A49">
        <v>196605</v>
      </c>
      <c r="B49">
        <v>-5.67</v>
      </c>
      <c r="C49">
        <v>-5.1100000000000003</v>
      </c>
      <c r="D49">
        <v>-1.6</v>
      </c>
      <c r="E49">
        <v>1.64</v>
      </c>
      <c r="F49">
        <v>-1.48</v>
      </c>
      <c r="G49">
        <v>0.41</v>
      </c>
      <c r="I49">
        <v>-4.71</v>
      </c>
    </row>
    <row r="50" spans="1:9" x14ac:dyDescent="0.3">
      <c r="A50">
        <v>196606</v>
      </c>
      <c r="B50">
        <v>-1.44</v>
      </c>
      <c r="C50">
        <v>1.32</v>
      </c>
      <c r="D50">
        <v>0.49</v>
      </c>
      <c r="E50">
        <v>0.08</v>
      </c>
      <c r="F50">
        <v>0.79</v>
      </c>
      <c r="G50">
        <v>0.38</v>
      </c>
      <c r="I50">
        <v>3.23</v>
      </c>
    </row>
    <row r="51" spans="1:9" x14ac:dyDescent="0.3">
      <c r="A51">
        <v>196607</v>
      </c>
      <c r="B51">
        <v>-1.63</v>
      </c>
      <c r="C51">
        <v>-0.38</v>
      </c>
      <c r="D51">
        <v>0.91</v>
      </c>
      <c r="E51">
        <v>-0.38</v>
      </c>
      <c r="F51">
        <v>1.74</v>
      </c>
      <c r="G51">
        <v>0.35</v>
      </c>
      <c r="I51">
        <v>-1.3</v>
      </c>
    </row>
    <row r="52" spans="1:9" x14ac:dyDescent="0.3">
      <c r="A52">
        <v>196608</v>
      </c>
      <c r="B52">
        <v>-7.94</v>
      </c>
      <c r="C52">
        <v>-3.15</v>
      </c>
      <c r="D52">
        <v>0.5</v>
      </c>
      <c r="E52">
        <v>-0.64</v>
      </c>
      <c r="F52">
        <v>0.77</v>
      </c>
      <c r="G52">
        <v>0.41</v>
      </c>
      <c r="I52">
        <v>-2.21</v>
      </c>
    </row>
    <row r="53" spans="1:9" x14ac:dyDescent="0.3">
      <c r="A53">
        <v>196609</v>
      </c>
      <c r="B53">
        <v>-1.06</v>
      </c>
      <c r="C53">
        <v>-1.02</v>
      </c>
      <c r="D53">
        <v>0.48</v>
      </c>
      <c r="E53">
        <v>-1.19</v>
      </c>
      <c r="F53">
        <v>2.35</v>
      </c>
      <c r="G53">
        <v>0.4</v>
      </c>
      <c r="I53">
        <v>-1.86</v>
      </c>
    </row>
    <row r="54" spans="1:9" x14ac:dyDescent="0.3">
      <c r="A54">
        <v>196610</v>
      </c>
      <c r="B54">
        <v>3.86</v>
      </c>
      <c r="C54">
        <v>-6.48</v>
      </c>
      <c r="D54">
        <v>2.74</v>
      </c>
      <c r="E54">
        <v>-3.91</v>
      </c>
      <c r="F54">
        <v>4.2300000000000004</v>
      </c>
      <c r="G54">
        <v>0.45</v>
      </c>
      <c r="I54">
        <v>-5.2</v>
      </c>
    </row>
    <row r="55" spans="1:9" x14ac:dyDescent="0.3">
      <c r="A55">
        <v>196611</v>
      </c>
      <c r="B55">
        <v>1.38</v>
      </c>
      <c r="C55">
        <v>3.34</v>
      </c>
      <c r="D55">
        <v>-4.63</v>
      </c>
      <c r="E55">
        <v>4.66</v>
      </c>
      <c r="F55">
        <v>-6.51</v>
      </c>
      <c r="G55">
        <v>0.4</v>
      </c>
      <c r="I55">
        <v>5.73</v>
      </c>
    </row>
    <row r="56" spans="1:9" x14ac:dyDescent="0.3">
      <c r="A56">
        <v>196612</v>
      </c>
      <c r="B56">
        <v>0.13</v>
      </c>
      <c r="C56">
        <v>1.88</v>
      </c>
      <c r="D56">
        <v>-0.95</v>
      </c>
      <c r="E56">
        <v>0.17</v>
      </c>
      <c r="F56">
        <v>-0.16</v>
      </c>
      <c r="G56">
        <v>0.4</v>
      </c>
      <c r="I56">
        <v>0.99</v>
      </c>
    </row>
    <row r="57" spans="1:9" x14ac:dyDescent="0.3">
      <c r="A57">
        <v>196701</v>
      </c>
      <c r="B57">
        <v>8.15</v>
      </c>
      <c r="C57">
        <v>8.98</v>
      </c>
      <c r="D57">
        <v>2.36</v>
      </c>
      <c r="E57">
        <v>1.29</v>
      </c>
      <c r="F57">
        <v>-3.06</v>
      </c>
      <c r="G57">
        <v>0.43</v>
      </c>
      <c r="I57">
        <v>-7</v>
      </c>
    </row>
    <row r="58" spans="1:9" x14ac:dyDescent="0.3">
      <c r="A58">
        <v>196702</v>
      </c>
      <c r="B58">
        <v>0.77</v>
      </c>
      <c r="C58">
        <v>3.01</v>
      </c>
      <c r="D58">
        <v>-2.2599999999999998</v>
      </c>
      <c r="E58">
        <v>1.66</v>
      </c>
      <c r="F58">
        <v>-0.93</v>
      </c>
      <c r="G58">
        <v>0.36</v>
      </c>
      <c r="I58">
        <v>3.51</v>
      </c>
    </row>
    <row r="59" spans="1:9" x14ac:dyDescent="0.3">
      <c r="A59">
        <v>196703</v>
      </c>
      <c r="B59">
        <v>4</v>
      </c>
      <c r="C59">
        <v>1.77</v>
      </c>
      <c r="D59">
        <v>0.47</v>
      </c>
      <c r="E59">
        <v>0.82</v>
      </c>
      <c r="F59">
        <v>-1.5</v>
      </c>
      <c r="G59">
        <v>0.39</v>
      </c>
      <c r="I59">
        <v>1.39</v>
      </c>
    </row>
    <row r="60" spans="1:9" x14ac:dyDescent="0.3">
      <c r="A60">
        <v>196704</v>
      </c>
      <c r="B60">
        <v>3.89</v>
      </c>
      <c r="C60">
        <v>0.43</v>
      </c>
      <c r="D60">
        <v>-2.29</v>
      </c>
      <c r="E60">
        <v>3.09</v>
      </c>
      <c r="F60">
        <v>-3.72</v>
      </c>
      <c r="G60">
        <v>0.32</v>
      </c>
      <c r="I60">
        <v>0.52</v>
      </c>
    </row>
    <row r="61" spans="1:9" x14ac:dyDescent="0.3">
      <c r="A61">
        <v>196705</v>
      </c>
      <c r="B61">
        <v>-4.32</v>
      </c>
      <c r="C61">
        <v>2.4500000000000002</v>
      </c>
      <c r="D61">
        <v>0.8</v>
      </c>
      <c r="E61">
        <v>-1.19</v>
      </c>
      <c r="F61">
        <v>1.62</v>
      </c>
      <c r="G61">
        <v>0.33</v>
      </c>
      <c r="I61">
        <v>0.66</v>
      </c>
    </row>
    <row r="62" spans="1:9" x14ac:dyDescent="0.3">
      <c r="A62">
        <v>196706</v>
      </c>
      <c r="B62">
        <v>2.42</v>
      </c>
      <c r="C62">
        <v>6.42</v>
      </c>
      <c r="D62">
        <v>0.8</v>
      </c>
      <c r="E62">
        <v>-0.84</v>
      </c>
      <c r="F62">
        <v>-2.4900000000000002</v>
      </c>
      <c r="G62">
        <v>0.27</v>
      </c>
      <c r="I62">
        <v>6.01</v>
      </c>
    </row>
    <row r="63" spans="1:9" x14ac:dyDescent="0.3">
      <c r="A63">
        <v>196707</v>
      </c>
      <c r="B63">
        <v>4.58</v>
      </c>
      <c r="C63">
        <v>3.58</v>
      </c>
      <c r="D63">
        <v>2.75</v>
      </c>
      <c r="E63">
        <v>0.45</v>
      </c>
      <c r="F63">
        <v>2.66</v>
      </c>
      <c r="G63">
        <v>0.32</v>
      </c>
      <c r="I63">
        <v>-1.1000000000000001</v>
      </c>
    </row>
    <row r="64" spans="1:9" x14ac:dyDescent="0.3">
      <c r="A64">
        <v>196708</v>
      </c>
      <c r="B64">
        <v>-0.9</v>
      </c>
      <c r="C64">
        <v>0.77</v>
      </c>
      <c r="D64">
        <v>1.43</v>
      </c>
      <c r="E64">
        <v>0.3</v>
      </c>
      <c r="F64">
        <v>1.35</v>
      </c>
      <c r="G64">
        <v>0.31</v>
      </c>
      <c r="I64">
        <v>-1.32</v>
      </c>
    </row>
    <row r="65" spans="1:9" x14ac:dyDescent="0.3">
      <c r="A65">
        <v>196709</v>
      </c>
      <c r="B65">
        <v>3.11</v>
      </c>
      <c r="C65">
        <v>2.4300000000000002</v>
      </c>
      <c r="D65">
        <v>-2.4700000000000002</v>
      </c>
      <c r="E65">
        <v>0.22</v>
      </c>
      <c r="F65">
        <v>-0.93</v>
      </c>
      <c r="G65">
        <v>0.32</v>
      </c>
      <c r="I65">
        <v>2.39</v>
      </c>
    </row>
    <row r="66" spans="1:9" x14ac:dyDescent="0.3">
      <c r="A66">
        <v>196710</v>
      </c>
      <c r="B66">
        <v>-3.08</v>
      </c>
      <c r="C66">
        <v>0.56999999999999995</v>
      </c>
      <c r="D66">
        <v>-3.29</v>
      </c>
      <c r="E66">
        <v>0.97</v>
      </c>
      <c r="F66">
        <v>-2.74</v>
      </c>
      <c r="G66">
        <v>0.39</v>
      </c>
      <c r="I66">
        <v>3.68</v>
      </c>
    </row>
    <row r="67" spans="1:9" x14ac:dyDescent="0.3">
      <c r="A67">
        <v>196711</v>
      </c>
      <c r="B67">
        <v>0.37</v>
      </c>
      <c r="C67">
        <v>-0.06</v>
      </c>
      <c r="D67">
        <v>-1.71</v>
      </c>
      <c r="E67">
        <v>1.31</v>
      </c>
      <c r="F67">
        <v>-2.2799999999999998</v>
      </c>
      <c r="G67">
        <v>0.36</v>
      </c>
      <c r="I67">
        <v>1.22</v>
      </c>
    </row>
    <row r="68" spans="1:9" x14ac:dyDescent="0.3">
      <c r="A68">
        <v>196712</v>
      </c>
      <c r="B68">
        <v>3.05</v>
      </c>
      <c r="C68">
        <v>5.59</v>
      </c>
      <c r="D68">
        <v>-0.54</v>
      </c>
      <c r="E68">
        <v>-0.74</v>
      </c>
      <c r="F68">
        <v>-0.03</v>
      </c>
      <c r="G68">
        <v>0.33</v>
      </c>
      <c r="I68">
        <v>3.2</v>
      </c>
    </row>
    <row r="69" spans="1:9" x14ac:dyDescent="0.3">
      <c r="A69">
        <v>196801</v>
      </c>
      <c r="B69">
        <v>-4.03</v>
      </c>
      <c r="C69">
        <v>4.68</v>
      </c>
      <c r="D69">
        <v>4.8499999999999996</v>
      </c>
      <c r="E69">
        <v>-4.8899999999999997</v>
      </c>
      <c r="F69">
        <v>6.46</v>
      </c>
      <c r="G69">
        <v>0.4</v>
      </c>
      <c r="I69">
        <v>-4.46</v>
      </c>
    </row>
    <row r="70" spans="1:9" x14ac:dyDescent="0.3">
      <c r="A70">
        <v>196802</v>
      </c>
      <c r="B70">
        <v>-3.74</v>
      </c>
      <c r="C70">
        <v>-2.92</v>
      </c>
      <c r="D70">
        <v>1.23</v>
      </c>
      <c r="E70">
        <v>-0.08</v>
      </c>
      <c r="F70">
        <v>2.46</v>
      </c>
      <c r="G70">
        <v>0.39</v>
      </c>
      <c r="I70">
        <v>-3.34</v>
      </c>
    </row>
    <row r="71" spans="1:9" x14ac:dyDescent="0.3">
      <c r="A71">
        <v>196803</v>
      </c>
      <c r="B71">
        <v>0.21</v>
      </c>
      <c r="C71">
        <v>-1.55</v>
      </c>
      <c r="D71">
        <v>-0.63</v>
      </c>
      <c r="E71">
        <v>1.07</v>
      </c>
      <c r="F71">
        <v>-1.1499999999999999</v>
      </c>
      <c r="G71">
        <v>0.38</v>
      </c>
      <c r="I71">
        <v>3.19</v>
      </c>
    </row>
    <row r="72" spans="1:9" x14ac:dyDescent="0.3">
      <c r="A72">
        <v>196804</v>
      </c>
      <c r="B72">
        <v>9.01</v>
      </c>
      <c r="C72">
        <v>6.17</v>
      </c>
      <c r="D72">
        <v>-1.1000000000000001</v>
      </c>
      <c r="E72">
        <v>2.79</v>
      </c>
      <c r="F72">
        <v>-3.73</v>
      </c>
      <c r="G72">
        <v>0.43</v>
      </c>
      <c r="I72">
        <v>5.1100000000000003</v>
      </c>
    </row>
    <row r="73" spans="1:9" x14ac:dyDescent="0.3">
      <c r="A73">
        <v>196805</v>
      </c>
      <c r="B73">
        <v>2.2799999999999998</v>
      </c>
      <c r="C73">
        <v>6.97</v>
      </c>
      <c r="D73">
        <v>0.82</v>
      </c>
      <c r="E73">
        <v>0.49</v>
      </c>
      <c r="F73">
        <v>-1.92</v>
      </c>
      <c r="G73">
        <v>0.45</v>
      </c>
      <c r="I73">
        <v>3.75</v>
      </c>
    </row>
    <row r="74" spans="1:9" x14ac:dyDescent="0.3">
      <c r="A74">
        <v>196806</v>
      </c>
      <c r="B74">
        <v>0.7</v>
      </c>
      <c r="C74">
        <v>-0.33</v>
      </c>
      <c r="D74">
        <v>0.66</v>
      </c>
      <c r="E74">
        <v>-1.56</v>
      </c>
      <c r="F74">
        <v>2.8</v>
      </c>
      <c r="G74">
        <v>0.43</v>
      </c>
      <c r="I74">
        <v>-2.09</v>
      </c>
    </row>
    <row r="75" spans="1:9" x14ac:dyDescent="0.3">
      <c r="A75">
        <v>196807</v>
      </c>
      <c r="B75">
        <v>-2.69</v>
      </c>
      <c r="C75">
        <v>-1.39</v>
      </c>
      <c r="D75">
        <v>5.31</v>
      </c>
      <c r="E75">
        <v>-3.18</v>
      </c>
      <c r="F75">
        <v>3.79</v>
      </c>
      <c r="G75">
        <v>0.48</v>
      </c>
      <c r="I75">
        <v>-0.89</v>
      </c>
    </row>
    <row r="76" spans="1:9" x14ac:dyDescent="0.3">
      <c r="A76">
        <v>196808</v>
      </c>
      <c r="B76">
        <v>1.35</v>
      </c>
      <c r="C76">
        <v>2.33</v>
      </c>
      <c r="D76">
        <v>0.99</v>
      </c>
      <c r="E76">
        <v>-0.66</v>
      </c>
      <c r="F76">
        <v>0.47</v>
      </c>
      <c r="G76">
        <v>0.42</v>
      </c>
      <c r="I76">
        <v>1.9</v>
      </c>
    </row>
    <row r="77" spans="1:9" x14ac:dyDescent="0.3">
      <c r="A77">
        <v>196809</v>
      </c>
      <c r="B77">
        <v>4.05</v>
      </c>
      <c r="C77">
        <v>2.81</v>
      </c>
      <c r="D77">
        <v>0.3</v>
      </c>
      <c r="E77">
        <v>-1.94</v>
      </c>
      <c r="F77">
        <v>0.87</v>
      </c>
      <c r="G77">
        <v>0.43</v>
      </c>
      <c r="I77">
        <v>-0.64</v>
      </c>
    </row>
    <row r="78" spans="1:9" x14ac:dyDescent="0.3">
      <c r="A78">
        <v>196810</v>
      </c>
      <c r="B78">
        <v>0.44</v>
      </c>
      <c r="C78">
        <v>-0.43</v>
      </c>
      <c r="D78">
        <v>2.82</v>
      </c>
      <c r="E78">
        <v>-1.36</v>
      </c>
      <c r="F78">
        <v>2.84</v>
      </c>
      <c r="G78">
        <v>0.44</v>
      </c>
      <c r="I78">
        <v>-1.46</v>
      </c>
    </row>
    <row r="79" spans="1:9" x14ac:dyDescent="0.3">
      <c r="A79">
        <v>196811</v>
      </c>
      <c r="B79">
        <v>5.42</v>
      </c>
      <c r="C79">
        <v>2.39</v>
      </c>
      <c r="D79">
        <v>-0.96</v>
      </c>
      <c r="E79">
        <v>0.44</v>
      </c>
      <c r="F79">
        <v>-2.5099999999999998</v>
      </c>
      <c r="G79">
        <v>0.42</v>
      </c>
      <c r="I79">
        <v>1.74</v>
      </c>
    </row>
    <row r="80" spans="1:9" x14ac:dyDescent="0.3">
      <c r="A80">
        <v>196812</v>
      </c>
      <c r="B80">
        <v>-3.93</v>
      </c>
      <c r="C80">
        <v>3.55</v>
      </c>
      <c r="D80">
        <v>0.04</v>
      </c>
      <c r="E80">
        <v>-1.91</v>
      </c>
      <c r="F80">
        <v>1.93</v>
      </c>
      <c r="G80">
        <v>0.43</v>
      </c>
      <c r="I80">
        <v>0.32</v>
      </c>
    </row>
    <row r="81" spans="1:9" x14ac:dyDescent="0.3">
      <c r="A81">
        <v>196901</v>
      </c>
      <c r="B81">
        <v>-1.25</v>
      </c>
      <c r="C81">
        <v>-0.42</v>
      </c>
      <c r="D81">
        <v>1.66</v>
      </c>
      <c r="E81">
        <v>-1.52</v>
      </c>
      <c r="F81">
        <v>1.29</v>
      </c>
      <c r="G81">
        <v>0.53</v>
      </c>
      <c r="I81">
        <v>-0.15</v>
      </c>
    </row>
    <row r="82" spans="1:9" x14ac:dyDescent="0.3">
      <c r="A82">
        <v>196902</v>
      </c>
      <c r="B82">
        <v>-5.86</v>
      </c>
      <c r="C82">
        <v>-4.16</v>
      </c>
      <c r="D82">
        <v>0.89</v>
      </c>
      <c r="E82">
        <v>1.99</v>
      </c>
      <c r="F82">
        <v>0.75</v>
      </c>
      <c r="G82">
        <v>0.46</v>
      </c>
      <c r="I82">
        <v>-2.5499999999999998</v>
      </c>
    </row>
    <row r="83" spans="1:9" x14ac:dyDescent="0.3">
      <c r="A83">
        <v>196903</v>
      </c>
      <c r="B83">
        <v>2.67</v>
      </c>
      <c r="C83">
        <v>-0.51</v>
      </c>
      <c r="D83">
        <v>-0.42</v>
      </c>
      <c r="E83">
        <v>-1.34</v>
      </c>
      <c r="F83">
        <v>-0.44</v>
      </c>
      <c r="G83">
        <v>0.46</v>
      </c>
      <c r="I83">
        <v>4.0599999999999996</v>
      </c>
    </row>
    <row r="84" spans="1:9" x14ac:dyDescent="0.3">
      <c r="A84">
        <v>196904</v>
      </c>
      <c r="B84">
        <v>1.47</v>
      </c>
      <c r="C84">
        <v>-0.78</v>
      </c>
      <c r="D84">
        <v>0.02</v>
      </c>
      <c r="E84">
        <v>0.28000000000000003</v>
      </c>
      <c r="F84">
        <v>-0.16</v>
      </c>
      <c r="G84">
        <v>0.53</v>
      </c>
      <c r="I84">
        <v>1.24</v>
      </c>
    </row>
    <row r="85" spans="1:9" x14ac:dyDescent="0.3">
      <c r="A85">
        <v>196905</v>
      </c>
      <c r="B85">
        <v>-0.1</v>
      </c>
      <c r="C85">
        <v>-0.18</v>
      </c>
      <c r="D85">
        <v>0.62</v>
      </c>
      <c r="E85">
        <v>-0.87</v>
      </c>
      <c r="F85">
        <v>1.05</v>
      </c>
      <c r="G85">
        <v>0.48</v>
      </c>
      <c r="I85">
        <v>1.81</v>
      </c>
    </row>
    <row r="86" spans="1:9" x14ac:dyDescent="0.3">
      <c r="A86">
        <v>196906</v>
      </c>
      <c r="B86">
        <v>-7.18</v>
      </c>
      <c r="C86">
        <v>-5.47</v>
      </c>
      <c r="D86">
        <v>-1.1000000000000001</v>
      </c>
      <c r="E86">
        <v>4.2699999999999996</v>
      </c>
      <c r="F86">
        <v>-1.63</v>
      </c>
      <c r="G86">
        <v>0.51</v>
      </c>
      <c r="I86">
        <v>-2.31</v>
      </c>
    </row>
    <row r="87" spans="1:9" x14ac:dyDescent="0.3">
      <c r="A87">
        <v>196907</v>
      </c>
      <c r="B87">
        <v>-7</v>
      </c>
      <c r="C87">
        <v>-3.39</v>
      </c>
      <c r="D87">
        <v>1.18</v>
      </c>
      <c r="E87">
        <v>1.51</v>
      </c>
      <c r="F87">
        <v>1.84</v>
      </c>
      <c r="G87">
        <v>0.53</v>
      </c>
      <c r="I87">
        <v>1.82</v>
      </c>
    </row>
    <row r="88" spans="1:9" x14ac:dyDescent="0.3">
      <c r="A88">
        <v>196908</v>
      </c>
      <c r="B88">
        <v>4.6900000000000004</v>
      </c>
      <c r="C88">
        <v>0.57999999999999996</v>
      </c>
      <c r="D88">
        <v>-3.75</v>
      </c>
      <c r="E88">
        <v>1.06</v>
      </c>
      <c r="F88">
        <v>-3.98</v>
      </c>
      <c r="G88">
        <v>0.5</v>
      </c>
      <c r="I88">
        <v>2.14</v>
      </c>
    </row>
    <row r="89" spans="1:9" x14ac:dyDescent="0.3">
      <c r="A89">
        <v>196909</v>
      </c>
      <c r="B89">
        <v>-2.97</v>
      </c>
      <c r="C89">
        <v>1.29</v>
      </c>
      <c r="D89">
        <v>-3.22</v>
      </c>
      <c r="E89">
        <v>3.36</v>
      </c>
      <c r="F89">
        <v>-0.62</v>
      </c>
      <c r="G89">
        <v>0.62</v>
      </c>
      <c r="I89">
        <v>2.4300000000000002</v>
      </c>
    </row>
    <row r="90" spans="1:9" x14ac:dyDescent="0.3">
      <c r="A90">
        <v>196910</v>
      </c>
      <c r="B90">
        <v>5.05</v>
      </c>
      <c r="C90">
        <v>3.91</v>
      </c>
      <c r="D90">
        <v>-3.12</v>
      </c>
      <c r="E90">
        <v>0.08</v>
      </c>
      <c r="F90">
        <v>-2.08</v>
      </c>
      <c r="G90">
        <v>0.6</v>
      </c>
      <c r="I90">
        <v>-4.3600000000000003</v>
      </c>
    </row>
    <row r="91" spans="1:9" x14ac:dyDescent="0.3">
      <c r="A91">
        <v>196911</v>
      </c>
      <c r="B91">
        <v>-3.8</v>
      </c>
      <c r="C91">
        <v>-2.42</v>
      </c>
      <c r="D91">
        <v>-1.25</v>
      </c>
      <c r="E91">
        <v>1.4</v>
      </c>
      <c r="F91">
        <v>0.21</v>
      </c>
      <c r="G91">
        <v>0.52</v>
      </c>
      <c r="I91">
        <v>3.67</v>
      </c>
    </row>
    <row r="92" spans="1:9" x14ac:dyDescent="0.3">
      <c r="A92">
        <v>196912</v>
      </c>
      <c r="B92">
        <v>-2.63</v>
      </c>
      <c r="C92">
        <v>-3.72</v>
      </c>
      <c r="D92">
        <v>-2.88</v>
      </c>
      <c r="E92">
        <v>2.5499999999999998</v>
      </c>
      <c r="F92">
        <v>-1.92</v>
      </c>
      <c r="G92">
        <v>0.64</v>
      </c>
      <c r="I92">
        <v>5.27</v>
      </c>
    </row>
    <row r="93" spans="1:9" x14ac:dyDescent="0.3">
      <c r="A93">
        <v>197001</v>
      </c>
      <c r="B93">
        <v>-8.11</v>
      </c>
      <c r="C93">
        <v>3.08</v>
      </c>
      <c r="D93">
        <v>3.17</v>
      </c>
      <c r="E93">
        <v>-1.75</v>
      </c>
      <c r="F93">
        <v>3.96</v>
      </c>
      <c r="G93">
        <v>0.6</v>
      </c>
      <c r="I93">
        <v>0.56000000000000005</v>
      </c>
    </row>
    <row r="94" spans="1:9" x14ac:dyDescent="0.3">
      <c r="A94">
        <v>197002</v>
      </c>
      <c r="B94">
        <v>5.14</v>
      </c>
      <c r="C94">
        <v>-2.57</v>
      </c>
      <c r="D94">
        <v>3.69</v>
      </c>
      <c r="E94">
        <v>-2.41</v>
      </c>
      <c r="F94">
        <v>2.87</v>
      </c>
      <c r="G94">
        <v>0.62</v>
      </c>
      <c r="I94">
        <v>0.27</v>
      </c>
    </row>
    <row r="95" spans="1:9" x14ac:dyDescent="0.3">
      <c r="A95">
        <v>197003</v>
      </c>
      <c r="B95">
        <v>-1.06</v>
      </c>
      <c r="C95">
        <v>-2.42</v>
      </c>
      <c r="D95">
        <v>4.08</v>
      </c>
      <c r="E95">
        <v>-1.06</v>
      </c>
      <c r="F95">
        <v>4.42</v>
      </c>
      <c r="G95">
        <v>0.56999999999999995</v>
      </c>
      <c r="I95">
        <v>-0.36</v>
      </c>
    </row>
    <row r="96" spans="1:9" x14ac:dyDescent="0.3">
      <c r="A96">
        <v>197004</v>
      </c>
      <c r="B96">
        <v>-10.99</v>
      </c>
      <c r="C96">
        <v>-6.34</v>
      </c>
      <c r="D96">
        <v>6.14</v>
      </c>
      <c r="E96">
        <v>-0.63</v>
      </c>
      <c r="F96">
        <v>5.9</v>
      </c>
      <c r="G96">
        <v>0.5</v>
      </c>
      <c r="I96">
        <v>-0.83</v>
      </c>
    </row>
    <row r="97" spans="1:9" x14ac:dyDescent="0.3">
      <c r="A97">
        <v>197005</v>
      </c>
      <c r="B97">
        <v>-6.91</v>
      </c>
      <c r="C97">
        <v>-4.46</v>
      </c>
      <c r="D97">
        <v>3.32</v>
      </c>
      <c r="E97">
        <v>-1.29</v>
      </c>
      <c r="F97">
        <v>3.79</v>
      </c>
      <c r="G97">
        <v>0.53</v>
      </c>
      <c r="I97">
        <v>-2.66</v>
      </c>
    </row>
    <row r="98" spans="1:9" x14ac:dyDescent="0.3">
      <c r="A98">
        <v>197006</v>
      </c>
      <c r="B98">
        <v>-5.8</v>
      </c>
      <c r="C98">
        <v>-2.1</v>
      </c>
      <c r="D98">
        <v>0.44</v>
      </c>
      <c r="E98">
        <v>0.14000000000000001</v>
      </c>
      <c r="F98">
        <v>2.71</v>
      </c>
      <c r="G98">
        <v>0.57999999999999996</v>
      </c>
      <c r="I98">
        <v>5.64</v>
      </c>
    </row>
    <row r="99" spans="1:9" x14ac:dyDescent="0.3">
      <c r="A99">
        <v>197007</v>
      </c>
      <c r="B99">
        <v>6.92</v>
      </c>
      <c r="C99">
        <v>-0.66</v>
      </c>
      <c r="D99">
        <v>0.93</v>
      </c>
      <c r="E99">
        <v>-0.3</v>
      </c>
      <c r="F99">
        <v>1.72</v>
      </c>
      <c r="G99">
        <v>0.52</v>
      </c>
      <c r="I99">
        <v>-3.12</v>
      </c>
    </row>
    <row r="100" spans="1:9" x14ac:dyDescent="0.3">
      <c r="A100">
        <v>197008</v>
      </c>
      <c r="B100">
        <v>4.5</v>
      </c>
      <c r="C100">
        <v>1.44</v>
      </c>
      <c r="D100">
        <v>1.41</v>
      </c>
      <c r="E100">
        <v>0.56999999999999995</v>
      </c>
      <c r="F100">
        <v>-0.14000000000000001</v>
      </c>
      <c r="G100">
        <v>0.53</v>
      </c>
      <c r="I100">
        <v>-6.68</v>
      </c>
    </row>
    <row r="101" spans="1:9" x14ac:dyDescent="0.3">
      <c r="A101">
        <v>197009</v>
      </c>
      <c r="B101">
        <v>4.18</v>
      </c>
      <c r="C101">
        <v>8.5</v>
      </c>
      <c r="D101">
        <v>-5.41</v>
      </c>
      <c r="E101">
        <v>0.25</v>
      </c>
      <c r="F101">
        <v>-5.98</v>
      </c>
      <c r="G101">
        <v>0.54</v>
      </c>
      <c r="I101">
        <v>-8.64</v>
      </c>
    </row>
    <row r="102" spans="1:9" x14ac:dyDescent="0.3">
      <c r="A102">
        <v>197010</v>
      </c>
      <c r="B102">
        <v>-2.2799999999999998</v>
      </c>
      <c r="C102">
        <v>-4.3600000000000003</v>
      </c>
      <c r="D102">
        <v>0.21</v>
      </c>
      <c r="E102">
        <v>1.81</v>
      </c>
      <c r="F102">
        <v>2.25</v>
      </c>
      <c r="G102">
        <v>0.46</v>
      </c>
      <c r="I102">
        <v>9.4499999999999993</v>
      </c>
    </row>
    <row r="103" spans="1:9" x14ac:dyDescent="0.3">
      <c r="A103">
        <v>197011</v>
      </c>
      <c r="B103">
        <v>4.62</v>
      </c>
      <c r="C103">
        <v>-3.88</v>
      </c>
      <c r="D103">
        <v>1.58</v>
      </c>
      <c r="E103">
        <v>1.53</v>
      </c>
      <c r="F103">
        <v>1.39</v>
      </c>
      <c r="G103">
        <v>0.46</v>
      </c>
      <c r="I103">
        <v>2.59</v>
      </c>
    </row>
    <row r="104" spans="1:9" x14ac:dyDescent="0.3">
      <c r="A104">
        <v>197012</v>
      </c>
      <c r="B104">
        <v>5.74</v>
      </c>
      <c r="C104">
        <v>2.89</v>
      </c>
      <c r="D104">
        <v>1.04</v>
      </c>
      <c r="E104">
        <v>0.28000000000000003</v>
      </c>
      <c r="F104">
        <v>0.3</v>
      </c>
      <c r="G104">
        <v>0.42</v>
      </c>
      <c r="I104">
        <v>-2.2999999999999998</v>
      </c>
    </row>
    <row r="105" spans="1:9" x14ac:dyDescent="0.3">
      <c r="A105">
        <v>197101</v>
      </c>
      <c r="B105">
        <v>4.83</v>
      </c>
      <c r="C105">
        <v>7.44</v>
      </c>
      <c r="D105">
        <v>1.55</v>
      </c>
      <c r="E105">
        <v>-2.02</v>
      </c>
      <c r="F105">
        <v>-0.06</v>
      </c>
      <c r="G105">
        <v>0.38</v>
      </c>
      <c r="I105">
        <v>-6.86</v>
      </c>
    </row>
    <row r="106" spans="1:9" x14ac:dyDescent="0.3">
      <c r="A106">
        <v>197102</v>
      </c>
      <c r="B106">
        <v>1.41</v>
      </c>
      <c r="C106">
        <v>2.0099999999999998</v>
      </c>
      <c r="D106">
        <v>-1.24</v>
      </c>
      <c r="E106">
        <v>0.64</v>
      </c>
      <c r="F106">
        <v>-0.8</v>
      </c>
      <c r="G106">
        <v>0.33</v>
      </c>
      <c r="I106">
        <v>0.82</v>
      </c>
    </row>
    <row r="107" spans="1:9" x14ac:dyDescent="0.3">
      <c r="A107">
        <v>197103</v>
      </c>
      <c r="B107">
        <v>4.12</v>
      </c>
      <c r="C107">
        <v>2.2200000000000002</v>
      </c>
      <c r="D107">
        <v>-3.95</v>
      </c>
      <c r="E107">
        <v>1.78</v>
      </c>
      <c r="F107">
        <v>-2.65</v>
      </c>
      <c r="G107">
        <v>0.3</v>
      </c>
      <c r="I107">
        <v>-1.4</v>
      </c>
    </row>
    <row r="108" spans="1:9" x14ac:dyDescent="0.3">
      <c r="A108">
        <v>197104</v>
      </c>
      <c r="B108">
        <v>3.15</v>
      </c>
      <c r="C108">
        <v>-0.36</v>
      </c>
      <c r="D108">
        <v>0.86</v>
      </c>
      <c r="E108">
        <v>-1.46</v>
      </c>
      <c r="F108">
        <v>0.85</v>
      </c>
      <c r="G108">
        <v>0.28000000000000003</v>
      </c>
      <c r="I108">
        <v>1.36</v>
      </c>
    </row>
    <row r="109" spans="1:9" x14ac:dyDescent="0.3">
      <c r="A109">
        <v>197105</v>
      </c>
      <c r="B109">
        <v>-4</v>
      </c>
      <c r="C109">
        <v>-1.1200000000000001</v>
      </c>
      <c r="D109">
        <v>-1.33</v>
      </c>
      <c r="E109">
        <v>1.49</v>
      </c>
      <c r="F109">
        <v>0.2</v>
      </c>
      <c r="G109">
        <v>0.28999999999999998</v>
      </c>
      <c r="I109">
        <v>0.93</v>
      </c>
    </row>
    <row r="110" spans="1:9" x14ac:dyDescent="0.3">
      <c r="A110">
        <v>197106</v>
      </c>
      <c r="B110">
        <v>-0.09</v>
      </c>
      <c r="C110">
        <v>-1.51</v>
      </c>
      <c r="D110">
        <v>-1.97</v>
      </c>
      <c r="E110">
        <v>1.58</v>
      </c>
      <c r="F110">
        <v>-1.67</v>
      </c>
      <c r="G110">
        <v>0.37</v>
      </c>
      <c r="I110">
        <v>2.69</v>
      </c>
    </row>
    <row r="111" spans="1:9" x14ac:dyDescent="0.3">
      <c r="A111">
        <v>197107</v>
      </c>
      <c r="B111">
        <v>-4.49</v>
      </c>
      <c r="C111">
        <v>-1.43</v>
      </c>
      <c r="D111">
        <v>-0.02</v>
      </c>
      <c r="E111">
        <v>0.57999999999999996</v>
      </c>
      <c r="F111">
        <v>1.39</v>
      </c>
      <c r="G111">
        <v>0.4</v>
      </c>
      <c r="I111">
        <v>-2.3199999999999998</v>
      </c>
    </row>
    <row r="112" spans="1:9" x14ac:dyDescent="0.3">
      <c r="A112">
        <v>197108</v>
      </c>
      <c r="B112">
        <v>3.79</v>
      </c>
      <c r="C112">
        <v>-0.23</v>
      </c>
      <c r="D112">
        <v>2.64</v>
      </c>
      <c r="E112">
        <v>-0.43</v>
      </c>
      <c r="F112">
        <v>2.59</v>
      </c>
      <c r="G112">
        <v>0.47</v>
      </c>
      <c r="I112">
        <v>3.44</v>
      </c>
    </row>
    <row r="113" spans="1:9" x14ac:dyDescent="0.3">
      <c r="A113">
        <v>197109</v>
      </c>
      <c r="B113">
        <v>-0.86</v>
      </c>
      <c r="C113">
        <v>0.26</v>
      </c>
      <c r="D113">
        <v>-2.9</v>
      </c>
      <c r="E113">
        <v>2.54</v>
      </c>
      <c r="F113">
        <v>-1.58</v>
      </c>
      <c r="G113">
        <v>0.37</v>
      </c>
      <c r="I113">
        <v>2.1</v>
      </c>
    </row>
    <row r="114" spans="1:9" x14ac:dyDescent="0.3">
      <c r="A114">
        <v>197110</v>
      </c>
      <c r="B114">
        <v>-4.42</v>
      </c>
      <c r="C114">
        <v>-1.59</v>
      </c>
      <c r="D114">
        <v>-0.51</v>
      </c>
      <c r="E114">
        <v>1.56</v>
      </c>
      <c r="F114">
        <v>-1.39</v>
      </c>
      <c r="G114">
        <v>0.37</v>
      </c>
      <c r="I114">
        <v>0.5</v>
      </c>
    </row>
    <row r="115" spans="1:9" x14ac:dyDescent="0.3">
      <c r="A115">
        <v>197111</v>
      </c>
      <c r="B115">
        <v>-0.46</v>
      </c>
      <c r="C115">
        <v>-2.86</v>
      </c>
      <c r="D115">
        <v>-1.67</v>
      </c>
      <c r="E115">
        <v>2.41</v>
      </c>
      <c r="F115">
        <v>-0.44</v>
      </c>
      <c r="G115">
        <v>0.37</v>
      </c>
      <c r="I115">
        <v>1.51</v>
      </c>
    </row>
    <row r="116" spans="1:9" x14ac:dyDescent="0.3">
      <c r="A116">
        <v>197112</v>
      </c>
      <c r="B116">
        <v>8.7100000000000009</v>
      </c>
      <c r="C116">
        <v>3.24</v>
      </c>
      <c r="D116">
        <v>-0.38</v>
      </c>
      <c r="E116">
        <v>-0.43</v>
      </c>
      <c r="F116">
        <v>-1.68</v>
      </c>
      <c r="G116">
        <v>0.37</v>
      </c>
      <c r="I116">
        <v>-0.62</v>
      </c>
    </row>
    <row r="117" spans="1:9" x14ac:dyDescent="0.3">
      <c r="A117">
        <v>197201</v>
      </c>
      <c r="B117">
        <v>2.4700000000000002</v>
      </c>
      <c r="C117">
        <v>6.09</v>
      </c>
      <c r="D117">
        <v>2.12</v>
      </c>
      <c r="E117">
        <v>-1.69</v>
      </c>
      <c r="F117">
        <v>0.54</v>
      </c>
      <c r="G117">
        <v>0.28999999999999998</v>
      </c>
      <c r="I117">
        <v>7.0000000000000007E-2</v>
      </c>
    </row>
    <row r="118" spans="1:9" x14ac:dyDescent="0.3">
      <c r="A118">
        <v>197202</v>
      </c>
      <c r="B118">
        <v>2.87</v>
      </c>
      <c r="C118">
        <v>0.87</v>
      </c>
      <c r="D118">
        <v>-2.83</v>
      </c>
      <c r="E118">
        <v>1.69</v>
      </c>
      <c r="F118">
        <v>-0.5</v>
      </c>
      <c r="G118">
        <v>0.25</v>
      </c>
      <c r="I118">
        <v>2.5299999999999998</v>
      </c>
    </row>
    <row r="119" spans="1:9" x14ac:dyDescent="0.3">
      <c r="A119">
        <v>197203</v>
      </c>
      <c r="B119">
        <v>0.62</v>
      </c>
      <c r="C119">
        <v>-0.47</v>
      </c>
      <c r="D119">
        <v>-1.61</v>
      </c>
      <c r="E119">
        <v>1.58</v>
      </c>
      <c r="F119">
        <v>-0.2</v>
      </c>
      <c r="G119">
        <v>0.27</v>
      </c>
      <c r="I119">
        <v>2.94</v>
      </c>
    </row>
    <row r="120" spans="1:9" x14ac:dyDescent="0.3">
      <c r="A120">
        <v>197204</v>
      </c>
      <c r="B120">
        <v>0.28999999999999998</v>
      </c>
      <c r="C120">
        <v>0.27</v>
      </c>
      <c r="D120">
        <v>0.03</v>
      </c>
      <c r="E120">
        <v>-0.41</v>
      </c>
      <c r="F120">
        <v>-1.06</v>
      </c>
      <c r="G120">
        <v>0.28999999999999998</v>
      </c>
      <c r="I120">
        <v>2.79</v>
      </c>
    </row>
    <row r="121" spans="1:9" x14ac:dyDescent="0.3">
      <c r="A121">
        <v>197205</v>
      </c>
      <c r="B121">
        <v>1.29</v>
      </c>
      <c r="C121">
        <v>-3.12</v>
      </c>
      <c r="D121">
        <v>-2.72</v>
      </c>
      <c r="E121">
        <v>2.4</v>
      </c>
      <c r="F121">
        <v>-1.97</v>
      </c>
      <c r="G121">
        <v>0.3</v>
      </c>
      <c r="I121">
        <v>3.33</v>
      </c>
    </row>
    <row r="122" spans="1:9" x14ac:dyDescent="0.3">
      <c r="A122">
        <v>197206</v>
      </c>
      <c r="B122">
        <v>-2.46</v>
      </c>
      <c r="C122">
        <v>-0.43</v>
      </c>
      <c r="D122">
        <v>-2.46</v>
      </c>
      <c r="E122">
        <v>1.78</v>
      </c>
      <c r="F122">
        <v>-0.35</v>
      </c>
      <c r="G122">
        <v>0.28999999999999998</v>
      </c>
      <c r="I122">
        <v>1.9</v>
      </c>
    </row>
    <row r="123" spans="1:9" x14ac:dyDescent="0.3">
      <c r="A123">
        <v>197207</v>
      </c>
      <c r="B123">
        <v>-0.8</v>
      </c>
      <c r="C123">
        <v>-2.79</v>
      </c>
      <c r="D123">
        <v>0.6</v>
      </c>
      <c r="E123">
        <v>1.2</v>
      </c>
      <c r="F123">
        <v>-0.71</v>
      </c>
      <c r="G123">
        <v>0.31</v>
      </c>
      <c r="I123">
        <v>2.68</v>
      </c>
    </row>
    <row r="124" spans="1:9" x14ac:dyDescent="0.3">
      <c r="A124">
        <v>197208</v>
      </c>
      <c r="B124">
        <v>3.27</v>
      </c>
      <c r="C124">
        <v>-3.46</v>
      </c>
      <c r="D124">
        <v>4.5599999999999996</v>
      </c>
      <c r="E124">
        <v>-2.04</v>
      </c>
      <c r="F124">
        <v>2.9</v>
      </c>
      <c r="G124">
        <v>0.28999999999999998</v>
      </c>
      <c r="I124">
        <v>-5.36</v>
      </c>
    </row>
    <row r="125" spans="1:9" x14ac:dyDescent="0.3">
      <c r="A125">
        <v>197209</v>
      </c>
      <c r="B125">
        <v>-1.1399999999999999</v>
      </c>
      <c r="C125">
        <v>-2.2400000000000002</v>
      </c>
      <c r="D125">
        <v>0.49</v>
      </c>
      <c r="E125">
        <v>1.65</v>
      </c>
      <c r="F125">
        <v>-1.97</v>
      </c>
      <c r="G125">
        <v>0.34</v>
      </c>
      <c r="I125">
        <v>1.83</v>
      </c>
    </row>
    <row r="126" spans="1:9" x14ac:dyDescent="0.3">
      <c r="A126">
        <v>197210</v>
      </c>
      <c r="B126">
        <v>0.52</v>
      </c>
      <c r="C126">
        <v>-2.5499999999999998</v>
      </c>
      <c r="D126">
        <v>1.22</v>
      </c>
      <c r="E126">
        <v>-0.11</v>
      </c>
      <c r="F126">
        <v>0.03</v>
      </c>
      <c r="G126">
        <v>0.4</v>
      </c>
      <c r="I126">
        <v>0.7</v>
      </c>
    </row>
    <row r="127" spans="1:9" x14ac:dyDescent="0.3">
      <c r="A127">
        <v>197211</v>
      </c>
      <c r="B127">
        <v>4.59</v>
      </c>
      <c r="C127">
        <v>-0.59</v>
      </c>
      <c r="D127">
        <v>4.88</v>
      </c>
      <c r="E127">
        <v>-1.98</v>
      </c>
      <c r="F127">
        <v>3.34</v>
      </c>
      <c r="G127">
        <v>0.37</v>
      </c>
      <c r="I127">
        <v>-5.08</v>
      </c>
    </row>
    <row r="128" spans="1:9" x14ac:dyDescent="0.3">
      <c r="A128">
        <v>197212</v>
      </c>
      <c r="B128">
        <v>0.62</v>
      </c>
      <c r="C128">
        <v>-1.89</v>
      </c>
      <c r="D128">
        <v>-2.1800000000000002</v>
      </c>
      <c r="E128">
        <v>2.58</v>
      </c>
      <c r="F128">
        <v>-2.14</v>
      </c>
      <c r="G128">
        <v>0.37</v>
      </c>
      <c r="I128">
        <v>4.95</v>
      </c>
    </row>
    <row r="129" spans="1:9" x14ac:dyDescent="0.3">
      <c r="A129">
        <v>197301</v>
      </c>
      <c r="B129">
        <v>-3.28</v>
      </c>
      <c r="C129">
        <v>-2.82</v>
      </c>
      <c r="D129">
        <v>2.7</v>
      </c>
      <c r="E129">
        <v>0.4</v>
      </c>
      <c r="F129">
        <v>0.9</v>
      </c>
      <c r="G129">
        <v>0.44</v>
      </c>
      <c r="I129">
        <v>3.8</v>
      </c>
    </row>
    <row r="130" spans="1:9" x14ac:dyDescent="0.3">
      <c r="A130">
        <v>197302</v>
      </c>
      <c r="B130">
        <v>-4.8499999999999996</v>
      </c>
      <c r="C130">
        <v>-3.94</v>
      </c>
      <c r="D130">
        <v>1.64</v>
      </c>
      <c r="E130">
        <v>-0.28999999999999998</v>
      </c>
      <c r="F130">
        <v>0.05</v>
      </c>
      <c r="G130">
        <v>0.42</v>
      </c>
      <c r="I130">
        <v>2.2200000000000002</v>
      </c>
    </row>
    <row r="131" spans="1:9" x14ac:dyDescent="0.3">
      <c r="A131">
        <v>197303</v>
      </c>
      <c r="B131">
        <v>-1.3</v>
      </c>
      <c r="C131">
        <v>-2.29</v>
      </c>
      <c r="D131">
        <v>2.57</v>
      </c>
      <c r="E131">
        <v>-0.96</v>
      </c>
      <c r="F131">
        <v>0.5</v>
      </c>
      <c r="G131">
        <v>0.46</v>
      </c>
      <c r="I131">
        <v>3.55</v>
      </c>
    </row>
    <row r="132" spans="1:9" x14ac:dyDescent="0.3">
      <c r="A132">
        <v>197304</v>
      </c>
      <c r="B132">
        <v>-5.68</v>
      </c>
      <c r="C132">
        <v>-2.92</v>
      </c>
      <c r="D132">
        <v>5.39</v>
      </c>
      <c r="E132">
        <v>-1.55</v>
      </c>
      <c r="F132">
        <v>2.52</v>
      </c>
      <c r="G132">
        <v>0.52</v>
      </c>
      <c r="I132">
        <v>6.35</v>
      </c>
    </row>
    <row r="133" spans="1:9" x14ac:dyDescent="0.3">
      <c r="A133">
        <v>197305</v>
      </c>
      <c r="B133">
        <v>-2.97</v>
      </c>
      <c r="C133">
        <v>-6.12</v>
      </c>
      <c r="D133">
        <v>0.38</v>
      </c>
      <c r="E133">
        <v>1.97</v>
      </c>
      <c r="F133">
        <v>-1.7</v>
      </c>
      <c r="G133">
        <v>0.51</v>
      </c>
      <c r="I133">
        <v>7.19</v>
      </c>
    </row>
    <row r="134" spans="1:9" x14ac:dyDescent="0.3">
      <c r="A134">
        <v>197306</v>
      </c>
      <c r="B134">
        <v>-1.57</v>
      </c>
      <c r="C134">
        <v>-2.48</v>
      </c>
      <c r="D134">
        <v>1.1399999999999999</v>
      </c>
      <c r="E134">
        <v>-0.2</v>
      </c>
      <c r="F134">
        <v>0.09</v>
      </c>
      <c r="G134">
        <v>0.51</v>
      </c>
      <c r="I134">
        <v>4.33</v>
      </c>
    </row>
    <row r="135" spans="1:9" x14ac:dyDescent="0.3">
      <c r="A135">
        <v>197307</v>
      </c>
      <c r="B135">
        <v>5.04</v>
      </c>
      <c r="C135">
        <v>7.19</v>
      </c>
      <c r="D135">
        <v>-5.26</v>
      </c>
      <c r="E135">
        <v>-0.09</v>
      </c>
      <c r="F135">
        <v>-3.23</v>
      </c>
      <c r="G135">
        <v>0.64</v>
      </c>
      <c r="I135">
        <v>-11.67</v>
      </c>
    </row>
    <row r="136" spans="1:9" x14ac:dyDescent="0.3">
      <c r="A136">
        <v>197308</v>
      </c>
      <c r="B136">
        <v>-3.82</v>
      </c>
      <c r="C136">
        <v>-1.78</v>
      </c>
      <c r="D136">
        <v>1.03</v>
      </c>
      <c r="E136">
        <v>-1.32</v>
      </c>
      <c r="F136">
        <v>1.24</v>
      </c>
      <c r="G136">
        <v>0.7</v>
      </c>
      <c r="I136">
        <v>3.59</v>
      </c>
    </row>
    <row r="137" spans="1:9" x14ac:dyDescent="0.3">
      <c r="A137">
        <v>197309</v>
      </c>
      <c r="B137">
        <v>4.74</v>
      </c>
      <c r="C137">
        <v>3.58</v>
      </c>
      <c r="D137">
        <v>2.2200000000000002</v>
      </c>
      <c r="E137">
        <v>-2.2200000000000002</v>
      </c>
      <c r="F137">
        <v>1.73</v>
      </c>
      <c r="G137">
        <v>0.68</v>
      </c>
      <c r="I137">
        <v>-6.98</v>
      </c>
    </row>
    <row r="138" spans="1:9" x14ac:dyDescent="0.3">
      <c r="A138">
        <v>197310</v>
      </c>
      <c r="B138">
        <v>-0.83</v>
      </c>
      <c r="C138">
        <v>-0.27</v>
      </c>
      <c r="D138">
        <v>1.66</v>
      </c>
      <c r="E138">
        <v>-1.99</v>
      </c>
      <c r="F138">
        <v>2.73</v>
      </c>
      <c r="G138">
        <v>0.65</v>
      </c>
      <c r="I138">
        <v>6.78</v>
      </c>
    </row>
    <row r="139" spans="1:9" x14ac:dyDescent="0.3">
      <c r="A139">
        <v>197311</v>
      </c>
      <c r="B139">
        <v>-12.79</v>
      </c>
      <c r="C139">
        <v>-7.27</v>
      </c>
      <c r="D139">
        <v>4.09</v>
      </c>
      <c r="E139">
        <v>-2.77</v>
      </c>
      <c r="F139">
        <v>1.66</v>
      </c>
      <c r="G139">
        <v>0.56000000000000005</v>
      </c>
      <c r="I139">
        <v>8.93</v>
      </c>
    </row>
    <row r="140" spans="1:9" x14ac:dyDescent="0.3">
      <c r="A140">
        <v>197312</v>
      </c>
      <c r="B140">
        <v>0.59</v>
      </c>
      <c r="C140">
        <v>-4.72</v>
      </c>
      <c r="D140">
        <v>4.01</v>
      </c>
      <c r="E140">
        <v>-2.89</v>
      </c>
      <c r="F140">
        <v>2.44</v>
      </c>
      <c r="G140">
        <v>0.64</v>
      </c>
      <c r="I140">
        <v>10.16</v>
      </c>
    </row>
    <row r="141" spans="1:9" x14ac:dyDescent="0.3">
      <c r="A141">
        <v>197401</v>
      </c>
      <c r="B141">
        <v>-0.16</v>
      </c>
      <c r="C141">
        <v>10.39</v>
      </c>
      <c r="D141">
        <v>5.95</v>
      </c>
      <c r="E141">
        <v>-2.92</v>
      </c>
      <c r="F141">
        <v>4.49</v>
      </c>
      <c r="G141">
        <v>0.63</v>
      </c>
      <c r="I141">
        <v>-8.92</v>
      </c>
    </row>
    <row r="142" spans="1:9" x14ac:dyDescent="0.3">
      <c r="A142">
        <v>197402</v>
      </c>
      <c r="B142">
        <v>-0.46</v>
      </c>
      <c r="C142">
        <v>0.12</v>
      </c>
      <c r="D142">
        <v>2.4700000000000002</v>
      </c>
      <c r="E142">
        <v>-1.85</v>
      </c>
      <c r="F142">
        <v>2.67</v>
      </c>
      <c r="G142">
        <v>0.57999999999999996</v>
      </c>
      <c r="I142">
        <v>0.37</v>
      </c>
    </row>
    <row r="143" spans="1:9" x14ac:dyDescent="0.3">
      <c r="A143">
        <v>197403</v>
      </c>
      <c r="B143">
        <v>-2.82</v>
      </c>
      <c r="C143">
        <v>2.62</v>
      </c>
      <c r="D143">
        <v>-0.14000000000000001</v>
      </c>
      <c r="E143">
        <v>2.9</v>
      </c>
      <c r="F143">
        <v>0.44</v>
      </c>
      <c r="G143">
        <v>0.56000000000000005</v>
      </c>
      <c r="I143">
        <v>-1</v>
      </c>
    </row>
    <row r="144" spans="1:9" x14ac:dyDescent="0.3">
      <c r="A144">
        <v>197404</v>
      </c>
      <c r="B144">
        <v>-5.28</v>
      </c>
      <c r="C144">
        <v>-0.66</v>
      </c>
      <c r="D144">
        <v>0.92</v>
      </c>
      <c r="E144">
        <v>2.71</v>
      </c>
      <c r="F144">
        <v>2.14</v>
      </c>
      <c r="G144">
        <v>0.75</v>
      </c>
      <c r="I144">
        <v>2.06</v>
      </c>
    </row>
    <row r="145" spans="1:9" x14ac:dyDescent="0.3">
      <c r="A145">
        <v>197405</v>
      </c>
      <c r="B145">
        <v>-4.7</v>
      </c>
      <c r="C145">
        <v>-3.06</v>
      </c>
      <c r="D145">
        <v>-2.08</v>
      </c>
      <c r="E145">
        <v>5.01</v>
      </c>
      <c r="F145">
        <v>-0.33</v>
      </c>
      <c r="G145">
        <v>0.75</v>
      </c>
      <c r="I145">
        <v>-0.28999999999999998</v>
      </c>
    </row>
    <row r="146" spans="1:9" x14ac:dyDescent="0.3">
      <c r="A146">
        <v>197406</v>
      </c>
      <c r="B146">
        <v>-2.84</v>
      </c>
      <c r="C146">
        <v>-0.05</v>
      </c>
      <c r="D146">
        <v>0.83</v>
      </c>
      <c r="E146">
        <v>0.5</v>
      </c>
      <c r="F146">
        <v>2.98</v>
      </c>
      <c r="G146">
        <v>0.6</v>
      </c>
      <c r="I146">
        <v>2.3199999999999998</v>
      </c>
    </row>
    <row r="147" spans="1:9" x14ac:dyDescent="0.3">
      <c r="A147">
        <v>197407</v>
      </c>
      <c r="B147">
        <v>-8.06</v>
      </c>
      <c r="C147">
        <v>1.84</v>
      </c>
      <c r="D147">
        <v>5.16</v>
      </c>
      <c r="E147">
        <v>-3.2</v>
      </c>
      <c r="F147">
        <v>4.5</v>
      </c>
      <c r="G147">
        <v>0.7</v>
      </c>
      <c r="I147">
        <v>3</v>
      </c>
    </row>
    <row r="148" spans="1:9" x14ac:dyDescent="0.3">
      <c r="A148">
        <v>197408</v>
      </c>
      <c r="B148">
        <v>-9.39</v>
      </c>
      <c r="C148">
        <v>0.28000000000000003</v>
      </c>
      <c r="D148">
        <v>2.61</v>
      </c>
      <c r="E148">
        <v>-0.28999999999999998</v>
      </c>
      <c r="F148">
        <v>2.59</v>
      </c>
      <c r="G148">
        <v>0.6</v>
      </c>
      <c r="I148">
        <v>3.03</v>
      </c>
    </row>
    <row r="149" spans="1:9" x14ac:dyDescent="0.3">
      <c r="A149">
        <v>197409</v>
      </c>
      <c r="B149">
        <v>-11.78</v>
      </c>
      <c r="C149">
        <v>1.47</v>
      </c>
      <c r="D149">
        <v>5.43</v>
      </c>
      <c r="E149">
        <v>-4.33</v>
      </c>
      <c r="F149">
        <v>5.82</v>
      </c>
      <c r="G149">
        <v>0.81</v>
      </c>
      <c r="I149">
        <v>4.24</v>
      </c>
    </row>
    <row r="150" spans="1:9" x14ac:dyDescent="0.3">
      <c r="A150">
        <v>197410</v>
      </c>
      <c r="B150">
        <v>16.100000000000001</v>
      </c>
      <c r="C150">
        <v>-6.78</v>
      </c>
      <c r="D150">
        <v>-9.91</v>
      </c>
      <c r="E150">
        <v>-0.28999999999999998</v>
      </c>
      <c r="F150">
        <v>-2.91</v>
      </c>
      <c r="G150">
        <v>0.51</v>
      </c>
      <c r="I150">
        <v>-0.53</v>
      </c>
    </row>
    <row r="151" spans="1:9" x14ac:dyDescent="0.3">
      <c r="A151">
        <v>197411</v>
      </c>
      <c r="B151">
        <v>-4.53</v>
      </c>
      <c r="C151">
        <v>-1.41</v>
      </c>
      <c r="D151">
        <v>-0.25</v>
      </c>
      <c r="E151">
        <v>-3.42</v>
      </c>
      <c r="F151">
        <v>2.9</v>
      </c>
      <c r="G151">
        <v>0.54</v>
      </c>
      <c r="I151">
        <v>2.2000000000000002</v>
      </c>
    </row>
    <row r="152" spans="1:9" x14ac:dyDescent="0.3">
      <c r="A152">
        <v>197412</v>
      </c>
      <c r="B152">
        <v>-3.45</v>
      </c>
      <c r="C152">
        <v>-4.2699999999999996</v>
      </c>
      <c r="D152">
        <v>0.12</v>
      </c>
      <c r="E152">
        <v>-0.76</v>
      </c>
      <c r="F152">
        <v>3.38</v>
      </c>
      <c r="G152">
        <v>0.7</v>
      </c>
      <c r="I152">
        <v>2.98</v>
      </c>
    </row>
    <row r="153" spans="1:9" x14ac:dyDescent="0.3">
      <c r="A153">
        <v>197501</v>
      </c>
      <c r="B153">
        <v>13.67</v>
      </c>
      <c r="C153">
        <v>12.88</v>
      </c>
      <c r="D153">
        <v>8.26</v>
      </c>
      <c r="E153">
        <v>-0.54</v>
      </c>
      <c r="F153">
        <v>-1.05</v>
      </c>
      <c r="G153">
        <v>0.57999999999999996</v>
      </c>
      <c r="I153">
        <v>-13.8</v>
      </c>
    </row>
    <row r="154" spans="1:9" x14ac:dyDescent="0.3">
      <c r="A154">
        <v>197502</v>
      </c>
      <c r="B154">
        <v>5.56</v>
      </c>
      <c r="C154">
        <v>-0.69</v>
      </c>
      <c r="D154">
        <v>-4.47</v>
      </c>
      <c r="E154">
        <v>1.17</v>
      </c>
      <c r="F154">
        <v>-2.11</v>
      </c>
      <c r="G154">
        <v>0.43</v>
      </c>
      <c r="I154">
        <v>-0.57999999999999996</v>
      </c>
    </row>
    <row r="155" spans="1:9" x14ac:dyDescent="0.3">
      <c r="A155">
        <v>197503</v>
      </c>
      <c r="B155">
        <v>2.66</v>
      </c>
      <c r="C155">
        <v>3.97</v>
      </c>
      <c r="D155">
        <v>2.42</v>
      </c>
      <c r="E155">
        <v>1.25</v>
      </c>
      <c r="F155">
        <v>-1.34</v>
      </c>
      <c r="G155">
        <v>0.41</v>
      </c>
      <c r="I155">
        <v>-2.0699999999999998</v>
      </c>
    </row>
    <row r="156" spans="1:9" x14ac:dyDescent="0.3">
      <c r="A156">
        <v>197504</v>
      </c>
      <c r="B156">
        <v>4.22</v>
      </c>
      <c r="C156">
        <v>-0.69</v>
      </c>
      <c r="D156">
        <v>-1.1299999999999999</v>
      </c>
      <c r="E156">
        <v>1.39</v>
      </c>
      <c r="F156">
        <v>-1.37</v>
      </c>
      <c r="G156">
        <v>0.44</v>
      </c>
      <c r="I156">
        <v>1.51</v>
      </c>
    </row>
    <row r="157" spans="1:9" x14ac:dyDescent="0.3">
      <c r="A157">
        <v>197505</v>
      </c>
      <c r="B157">
        <v>5.2</v>
      </c>
      <c r="C157">
        <v>2.98</v>
      </c>
      <c r="D157">
        <v>-4.05</v>
      </c>
      <c r="E157">
        <v>-1.1299999999999999</v>
      </c>
      <c r="F157">
        <v>-0.56000000000000005</v>
      </c>
      <c r="G157">
        <v>0.44</v>
      </c>
      <c r="I157">
        <v>-0.57999999999999996</v>
      </c>
    </row>
    <row r="158" spans="1:9" x14ac:dyDescent="0.3">
      <c r="A158">
        <v>197506</v>
      </c>
      <c r="B158">
        <v>4.87</v>
      </c>
      <c r="C158">
        <v>1.33</v>
      </c>
      <c r="D158">
        <v>1.35</v>
      </c>
      <c r="E158">
        <v>-2.7</v>
      </c>
      <c r="F158">
        <v>1.07</v>
      </c>
      <c r="G158">
        <v>0.41</v>
      </c>
      <c r="I158">
        <v>-0.04</v>
      </c>
    </row>
    <row r="159" spans="1:9" x14ac:dyDescent="0.3">
      <c r="A159">
        <v>197507</v>
      </c>
      <c r="B159">
        <v>-6.6</v>
      </c>
      <c r="C159">
        <v>3.4</v>
      </c>
      <c r="D159">
        <v>1.76</v>
      </c>
      <c r="E159">
        <v>0.45</v>
      </c>
      <c r="F159">
        <v>1.24</v>
      </c>
      <c r="G159">
        <v>0.48</v>
      </c>
      <c r="I159">
        <v>0.34</v>
      </c>
    </row>
    <row r="160" spans="1:9" x14ac:dyDescent="0.3">
      <c r="A160">
        <v>197508</v>
      </c>
      <c r="B160">
        <v>-2.84</v>
      </c>
      <c r="C160">
        <v>-2.77</v>
      </c>
      <c r="D160">
        <v>-0.91</v>
      </c>
      <c r="E160">
        <v>1.0900000000000001</v>
      </c>
      <c r="F160">
        <v>-0.99</v>
      </c>
      <c r="G160">
        <v>0.48</v>
      </c>
      <c r="I160">
        <v>-0.16</v>
      </c>
    </row>
    <row r="161" spans="1:9" x14ac:dyDescent="0.3">
      <c r="A161">
        <v>197509</v>
      </c>
      <c r="B161">
        <v>-4.26</v>
      </c>
      <c r="C161">
        <v>-0.02</v>
      </c>
      <c r="D161">
        <v>0.33</v>
      </c>
      <c r="E161">
        <v>0.57999999999999996</v>
      </c>
      <c r="F161">
        <v>0.56999999999999995</v>
      </c>
      <c r="G161">
        <v>0.53</v>
      </c>
      <c r="I161">
        <v>0.4</v>
      </c>
    </row>
    <row r="162" spans="1:9" x14ac:dyDescent="0.3">
      <c r="A162">
        <v>197510</v>
      </c>
      <c r="B162">
        <v>5.32</v>
      </c>
      <c r="C162">
        <v>-4.25</v>
      </c>
      <c r="D162">
        <v>0.35</v>
      </c>
      <c r="E162">
        <v>-0.52</v>
      </c>
      <c r="F162">
        <v>2.2799999999999998</v>
      </c>
      <c r="G162">
        <v>0.56000000000000005</v>
      </c>
      <c r="I162">
        <v>-0.22</v>
      </c>
    </row>
    <row r="163" spans="1:9" x14ac:dyDescent="0.3">
      <c r="A163">
        <v>197511</v>
      </c>
      <c r="B163">
        <v>2.65</v>
      </c>
      <c r="C163">
        <v>-1.1000000000000001</v>
      </c>
      <c r="D163">
        <v>2.0299999999999998</v>
      </c>
      <c r="E163">
        <v>-0.66</v>
      </c>
      <c r="F163">
        <v>1.74</v>
      </c>
      <c r="G163">
        <v>0.41</v>
      </c>
      <c r="I163">
        <v>-0.5</v>
      </c>
    </row>
    <row r="164" spans="1:9" x14ac:dyDescent="0.3">
      <c r="A164">
        <v>197512</v>
      </c>
      <c r="B164">
        <v>-1.6</v>
      </c>
      <c r="C164">
        <v>-0.16</v>
      </c>
      <c r="D164">
        <v>1.7</v>
      </c>
      <c r="E164">
        <v>-0.11</v>
      </c>
      <c r="F164">
        <v>0.77</v>
      </c>
      <c r="G164">
        <v>0.48</v>
      </c>
      <c r="I164">
        <v>-0.1</v>
      </c>
    </row>
    <row r="165" spans="1:9" x14ac:dyDescent="0.3">
      <c r="A165">
        <v>197601</v>
      </c>
      <c r="B165">
        <v>12.16</v>
      </c>
      <c r="C165">
        <v>6.39</v>
      </c>
      <c r="D165">
        <v>8.6300000000000008</v>
      </c>
      <c r="E165">
        <v>-1.75</v>
      </c>
      <c r="F165">
        <v>2.33</v>
      </c>
      <c r="G165">
        <v>0.47</v>
      </c>
      <c r="I165">
        <v>4.37</v>
      </c>
    </row>
    <row r="166" spans="1:9" x14ac:dyDescent="0.3">
      <c r="A166">
        <v>197602</v>
      </c>
      <c r="B166">
        <v>0.32</v>
      </c>
      <c r="C166">
        <v>7.91</v>
      </c>
      <c r="D166">
        <v>5.71</v>
      </c>
      <c r="E166">
        <v>-2.5499999999999998</v>
      </c>
      <c r="F166">
        <v>3.7</v>
      </c>
      <c r="G166">
        <v>0.34</v>
      </c>
      <c r="I166">
        <v>0.38</v>
      </c>
    </row>
    <row r="167" spans="1:9" x14ac:dyDescent="0.3">
      <c r="A167">
        <v>197603</v>
      </c>
      <c r="B167">
        <v>2.3199999999999998</v>
      </c>
      <c r="C167">
        <v>-1.38</v>
      </c>
      <c r="D167">
        <v>-0.11</v>
      </c>
      <c r="E167">
        <v>-0.38</v>
      </c>
      <c r="F167">
        <v>0.99</v>
      </c>
      <c r="G167">
        <v>0.4</v>
      </c>
      <c r="I167">
        <v>0.22</v>
      </c>
    </row>
    <row r="168" spans="1:9" x14ac:dyDescent="0.3">
      <c r="A168">
        <v>197604</v>
      </c>
      <c r="B168">
        <v>-1.48</v>
      </c>
      <c r="C168">
        <v>0.1</v>
      </c>
      <c r="D168">
        <v>-0.16</v>
      </c>
      <c r="E168">
        <v>0.45</v>
      </c>
      <c r="F168">
        <v>-1.05</v>
      </c>
      <c r="G168">
        <v>0.42</v>
      </c>
      <c r="I168">
        <v>0.53</v>
      </c>
    </row>
    <row r="169" spans="1:9" x14ac:dyDescent="0.3">
      <c r="A169">
        <v>197605</v>
      </c>
      <c r="B169">
        <v>-1.35</v>
      </c>
      <c r="C169">
        <v>-1.0900000000000001</v>
      </c>
      <c r="D169">
        <v>-1.29</v>
      </c>
      <c r="E169">
        <v>2.4300000000000002</v>
      </c>
      <c r="F169">
        <v>-1.39</v>
      </c>
      <c r="G169">
        <v>0.37</v>
      </c>
      <c r="I169">
        <v>-1.07</v>
      </c>
    </row>
    <row r="170" spans="1:9" x14ac:dyDescent="0.3">
      <c r="A170">
        <v>197606</v>
      </c>
      <c r="B170">
        <v>4.05</v>
      </c>
      <c r="C170">
        <v>-1.07</v>
      </c>
      <c r="D170">
        <v>0.73</v>
      </c>
      <c r="E170">
        <v>-0.67</v>
      </c>
      <c r="F170">
        <v>1.02</v>
      </c>
      <c r="G170">
        <v>0.43</v>
      </c>
      <c r="I170">
        <v>-0.44</v>
      </c>
    </row>
    <row r="171" spans="1:9" x14ac:dyDescent="0.3">
      <c r="A171">
        <v>197607</v>
      </c>
      <c r="B171">
        <v>-1.06</v>
      </c>
      <c r="C171">
        <v>0.61</v>
      </c>
      <c r="D171">
        <v>1.74</v>
      </c>
      <c r="E171">
        <v>-1.03</v>
      </c>
      <c r="F171">
        <v>0.3</v>
      </c>
      <c r="G171">
        <v>0.47</v>
      </c>
      <c r="I171">
        <v>-0.15</v>
      </c>
    </row>
    <row r="172" spans="1:9" x14ac:dyDescent="0.3">
      <c r="A172">
        <v>197608</v>
      </c>
      <c r="B172">
        <v>-0.56999999999999995</v>
      </c>
      <c r="C172">
        <v>-2.02</v>
      </c>
      <c r="D172">
        <v>0.79</v>
      </c>
      <c r="E172">
        <v>-0.4</v>
      </c>
      <c r="F172">
        <v>-0.56999999999999995</v>
      </c>
      <c r="G172">
        <v>0.42</v>
      </c>
      <c r="I172">
        <v>-0.78</v>
      </c>
    </row>
    <row r="173" spans="1:9" x14ac:dyDescent="0.3">
      <c r="A173">
        <v>197609</v>
      </c>
      <c r="B173">
        <v>2.04</v>
      </c>
      <c r="C173">
        <v>0.2</v>
      </c>
      <c r="D173">
        <v>-0.31</v>
      </c>
      <c r="E173">
        <v>0.98</v>
      </c>
      <c r="F173">
        <v>-1.1399999999999999</v>
      </c>
      <c r="G173">
        <v>0.44</v>
      </c>
      <c r="I173">
        <v>0.2</v>
      </c>
    </row>
    <row r="174" spans="1:9" x14ac:dyDescent="0.3">
      <c r="A174">
        <v>197610</v>
      </c>
      <c r="B174">
        <v>-2.42</v>
      </c>
      <c r="C174">
        <v>0.05</v>
      </c>
      <c r="D174">
        <v>-0.17</v>
      </c>
      <c r="E174">
        <v>-0.19</v>
      </c>
      <c r="F174">
        <v>-0.37</v>
      </c>
      <c r="G174">
        <v>0.41</v>
      </c>
      <c r="I174">
        <v>-0.43</v>
      </c>
    </row>
    <row r="175" spans="1:9" x14ac:dyDescent="0.3">
      <c r="A175">
        <v>197611</v>
      </c>
      <c r="B175">
        <v>0.37</v>
      </c>
      <c r="C175">
        <v>2.7</v>
      </c>
      <c r="D175">
        <v>1.53</v>
      </c>
      <c r="E175">
        <v>-1.31</v>
      </c>
      <c r="F175">
        <v>7.0000000000000007E-2</v>
      </c>
      <c r="G175">
        <v>0.4</v>
      </c>
      <c r="I175">
        <v>2.82</v>
      </c>
    </row>
    <row r="176" spans="1:9" x14ac:dyDescent="0.3">
      <c r="A176">
        <v>197612</v>
      </c>
      <c r="B176">
        <v>5.65</v>
      </c>
      <c r="C176">
        <v>3.6</v>
      </c>
      <c r="D176">
        <v>2.23</v>
      </c>
      <c r="E176">
        <v>-0.72</v>
      </c>
      <c r="F176">
        <v>2.41</v>
      </c>
      <c r="G176">
        <v>0.4</v>
      </c>
      <c r="I176">
        <v>0.73</v>
      </c>
    </row>
    <row r="177" spans="1:9" x14ac:dyDescent="0.3">
      <c r="A177">
        <v>197701</v>
      </c>
      <c r="B177">
        <v>-4.04</v>
      </c>
      <c r="C177">
        <v>5.91</v>
      </c>
      <c r="D177">
        <v>4.32</v>
      </c>
      <c r="E177">
        <v>-0.54</v>
      </c>
      <c r="F177">
        <v>1.93</v>
      </c>
      <c r="G177">
        <v>0.36</v>
      </c>
      <c r="I177">
        <v>4.05</v>
      </c>
    </row>
    <row r="178" spans="1:9" x14ac:dyDescent="0.3">
      <c r="A178">
        <v>197702</v>
      </c>
      <c r="B178">
        <v>-1.94</v>
      </c>
      <c r="C178">
        <v>1.05</v>
      </c>
      <c r="D178">
        <v>0.45</v>
      </c>
      <c r="E178">
        <v>-0.21</v>
      </c>
      <c r="F178">
        <v>-0.19</v>
      </c>
      <c r="G178">
        <v>0.35</v>
      </c>
      <c r="I178">
        <v>0.34</v>
      </c>
    </row>
    <row r="179" spans="1:9" x14ac:dyDescent="0.3">
      <c r="A179">
        <v>197703</v>
      </c>
      <c r="B179">
        <v>-1.35</v>
      </c>
      <c r="C179">
        <v>1.29</v>
      </c>
      <c r="D179">
        <v>1.0900000000000001</v>
      </c>
      <c r="E179">
        <v>-0.32</v>
      </c>
      <c r="F179">
        <v>-0.11</v>
      </c>
      <c r="G179">
        <v>0.38</v>
      </c>
      <c r="I179">
        <v>0.68</v>
      </c>
    </row>
    <row r="180" spans="1:9" x14ac:dyDescent="0.3">
      <c r="A180">
        <v>197704</v>
      </c>
      <c r="B180">
        <v>0.15</v>
      </c>
      <c r="C180">
        <v>0.6</v>
      </c>
      <c r="D180">
        <v>3.38</v>
      </c>
      <c r="E180">
        <v>-1.98</v>
      </c>
      <c r="F180">
        <v>1.04</v>
      </c>
      <c r="G180">
        <v>0.38</v>
      </c>
      <c r="I180">
        <v>4.1900000000000004</v>
      </c>
    </row>
    <row r="181" spans="1:9" x14ac:dyDescent="0.3">
      <c r="A181">
        <v>197705</v>
      </c>
      <c r="B181">
        <v>-1.47</v>
      </c>
      <c r="C181">
        <v>1.37</v>
      </c>
      <c r="D181">
        <v>0.81</v>
      </c>
      <c r="E181">
        <v>0.43</v>
      </c>
      <c r="F181">
        <v>0.22</v>
      </c>
      <c r="G181">
        <v>0.37</v>
      </c>
      <c r="I181">
        <v>2.0099999999999998</v>
      </c>
    </row>
    <row r="182" spans="1:9" x14ac:dyDescent="0.3">
      <c r="A182">
        <v>197706</v>
      </c>
      <c r="B182">
        <v>4.72</v>
      </c>
      <c r="C182">
        <v>2.1</v>
      </c>
      <c r="D182">
        <v>-0.62</v>
      </c>
      <c r="E182">
        <v>0.91</v>
      </c>
      <c r="F182">
        <v>-1.27</v>
      </c>
      <c r="G182">
        <v>0.4</v>
      </c>
      <c r="I182">
        <v>1.6</v>
      </c>
    </row>
    <row r="183" spans="1:9" x14ac:dyDescent="0.3">
      <c r="A183">
        <v>197707</v>
      </c>
      <c r="B183">
        <v>-1.69</v>
      </c>
      <c r="C183">
        <v>1.81</v>
      </c>
      <c r="D183">
        <v>-0.6</v>
      </c>
      <c r="E183">
        <v>0.75</v>
      </c>
      <c r="F183">
        <v>0.12</v>
      </c>
      <c r="G183">
        <v>0.42</v>
      </c>
      <c r="I183">
        <v>0.38</v>
      </c>
    </row>
    <row r="184" spans="1:9" x14ac:dyDescent="0.3">
      <c r="A184">
        <v>197708</v>
      </c>
      <c r="B184">
        <v>-1.76</v>
      </c>
      <c r="C184">
        <v>0.93</v>
      </c>
      <c r="D184">
        <v>-2.77</v>
      </c>
      <c r="E184">
        <v>1.04</v>
      </c>
      <c r="F184">
        <v>-0.67</v>
      </c>
      <c r="G184">
        <v>0.44</v>
      </c>
      <c r="I184">
        <v>-1.63</v>
      </c>
    </row>
    <row r="185" spans="1:9" x14ac:dyDescent="0.3">
      <c r="A185">
        <v>197709</v>
      </c>
      <c r="B185">
        <v>-0.27</v>
      </c>
      <c r="C185">
        <v>1.62</v>
      </c>
      <c r="D185">
        <v>-0.26</v>
      </c>
      <c r="E185">
        <v>0.92</v>
      </c>
      <c r="F185">
        <v>-0.65</v>
      </c>
      <c r="G185">
        <v>0.43</v>
      </c>
      <c r="I185">
        <v>2.1</v>
      </c>
    </row>
    <row r="186" spans="1:9" x14ac:dyDescent="0.3">
      <c r="A186">
        <v>197710</v>
      </c>
      <c r="B186">
        <v>-4.3899999999999997</v>
      </c>
      <c r="C186">
        <v>1.41</v>
      </c>
      <c r="D186">
        <v>1.62</v>
      </c>
      <c r="E186">
        <v>-0.09</v>
      </c>
      <c r="F186">
        <v>-0.46</v>
      </c>
      <c r="G186">
        <v>0.49</v>
      </c>
      <c r="I186">
        <v>-0.12</v>
      </c>
    </row>
    <row r="187" spans="1:9" x14ac:dyDescent="0.3">
      <c r="A187">
        <v>197711</v>
      </c>
      <c r="B187">
        <v>4.0199999999999996</v>
      </c>
      <c r="C187">
        <v>3.6</v>
      </c>
      <c r="D187">
        <v>0.23</v>
      </c>
      <c r="E187">
        <v>-0.06</v>
      </c>
      <c r="F187">
        <v>0.68</v>
      </c>
      <c r="G187">
        <v>0.5</v>
      </c>
      <c r="I187">
        <v>2.14</v>
      </c>
    </row>
    <row r="188" spans="1:9" x14ac:dyDescent="0.3">
      <c r="A188">
        <v>197712</v>
      </c>
      <c r="B188">
        <v>0.27</v>
      </c>
      <c r="C188">
        <v>1.61</v>
      </c>
      <c r="D188">
        <v>-0.28999999999999998</v>
      </c>
      <c r="E188">
        <v>0.93</v>
      </c>
      <c r="F188">
        <v>-0.66</v>
      </c>
      <c r="G188">
        <v>0.49</v>
      </c>
      <c r="I188">
        <v>1.59</v>
      </c>
    </row>
    <row r="189" spans="1:9" x14ac:dyDescent="0.3">
      <c r="A189">
        <v>197801</v>
      </c>
      <c r="B189">
        <v>-5.99</v>
      </c>
      <c r="C189">
        <v>2.76</v>
      </c>
      <c r="D189">
        <v>3.38</v>
      </c>
      <c r="E189">
        <v>-1.8</v>
      </c>
      <c r="F189">
        <v>1.56</v>
      </c>
      <c r="G189">
        <v>0.49</v>
      </c>
      <c r="I189">
        <v>-0.57999999999999996</v>
      </c>
    </row>
    <row r="190" spans="1:9" x14ac:dyDescent="0.3">
      <c r="A190">
        <v>197802</v>
      </c>
      <c r="B190">
        <v>-1.39</v>
      </c>
      <c r="C190">
        <v>3.7</v>
      </c>
      <c r="D190">
        <v>0.81</v>
      </c>
      <c r="E190">
        <v>0.3</v>
      </c>
      <c r="F190">
        <v>1.05</v>
      </c>
      <c r="G190">
        <v>0.46</v>
      </c>
      <c r="I190">
        <v>1.96</v>
      </c>
    </row>
    <row r="191" spans="1:9" x14ac:dyDescent="0.3">
      <c r="A191">
        <v>197803</v>
      </c>
      <c r="B191">
        <v>2.85</v>
      </c>
      <c r="C191">
        <v>3.65</v>
      </c>
      <c r="D191">
        <v>1.1499999999999999</v>
      </c>
      <c r="E191">
        <v>-0.56999999999999995</v>
      </c>
      <c r="F191">
        <v>2</v>
      </c>
      <c r="G191">
        <v>0.53</v>
      </c>
      <c r="I191">
        <v>1.45</v>
      </c>
    </row>
    <row r="192" spans="1:9" x14ac:dyDescent="0.3">
      <c r="A192">
        <v>197804</v>
      </c>
      <c r="B192">
        <v>7.87</v>
      </c>
      <c r="C192">
        <v>-0.32</v>
      </c>
      <c r="D192">
        <v>-3.54</v>
      </c>
      <c r="E192">
        <v>2.87</v>
      </c>
      <c r="F192">
        <v>-1.27</v>
      </c>
      <c r="G192">
        <v>0.54</v>
      </c>
      <c r="I192">
        <v>0.49</v>
      </c>
    </row>
    <row r="193" spans="1:9" x14ac:dyDescent="0.3">
      <c r="A193">
        <v>197805</v>
      </c>
      <c r="B193">
        <v>1.76</v>
      </c>
      <c r="C193">
        <v>4.54</v>
      </c>
      <c r="D193">
        <v>-0.55000000000000004</v>
      </c>
      <c r="E193">
        <v>0.2</v>
      </c>
      <c r="F193">
        <v>0.28999999999999998</v>
      </c>
      <c r="G193">
        <v>0.51</v>
      </c>
      <c r="I193">
        <v>2.77</v>
      </c>
    </row>
    <row r="194" spans="1:9" x14ac:dyDescent="0.3">
      <c r="A194">
        <v>197806</v>
      </c>
      <c r="B194">
        <v>-1.69</v>
      </c>
      <c r="C194">
        <v>1.64</v>
      </c>
      <c r="D194">
        <v>0.6</v>
      </c>
      <c r="E194">
        <v>-1.41</v>
      </c>
      <c r="F194">
        <v>-0.12</v>
      </c>
      <c r="G194">
        <v>0.54</v>
      </c>
      <c r="I194">
        <v>2.78</v>
      </c>
    </row>
    <row r="195" spans="1:9" x14ac:dyDescent="0.3">
      <c r="A195">
        <v>197807</v>
      </c>
      <c r="B195">
        <v>5.12</v>
      </c>
      <c r="C195">
        <v>0.17</v>
      </c>
      <c r="D195">
        <v>-1</v>
      </c>
      <c r="E195">
        <v>1.47</v>
      </c>
      <c r="F195">
        <v>-0.73</v>
      </c>
      <c r="G195">
        <v>0.56000000000000005</v>
      </c>
      <c r="I195">
        <v>4.1900000000000004</v>
      </c>
    </row>
    <row r="196" spans="1:9" x14ac:dyDescent="0.3">
      <c r="A196">
        <v>197808</v>
      </c>
      <c r="B196">
        <v>3.79</v>
      </c>
      <c r="C196">
        <v>4.93</v>
      </c>
      <c r="D196">
        <v>-0.66</v>
      </c>
      <c r="E196">
        <v>1.57</v>
      </c>
      <c r="F196">
        <v>0.5</v>
      </c>
      <c r="G196">
        <v>0.56000000000000005</v>
      </c>
      <c r="I196">
        <v>3</v>
      </c>
    </row>
    <row r="197" spans="1:9" x14ac:dyDescent="0.3">
      <c r="A197">
        <v>197809</v>
      </c>
      <c r="B197">
        <v>-1.45</v>
      </c>
      <c r="C197">
        <v>-0.38</v>
      </c>
      <c r="D197">
        <v>1.88</v>
      </c>
      <c r="E197">
        <v>-0.69</v>
      </c>
      <c r="F197">
        <v>1.57</v>
      </c>
      <c r="G197">
        <v>0.62</v>
      </c>
      <c r="I197">
        <v>-3.2</v>
      </c>
    </row>
    <row r="198" spans="1:9" x14ac:dyDescent="0.3">
      <c r="A198">
        <v>197810</v>
      </c>
      <c r="B198">
        <v>-11.91</v>
      </c>
      <c r="C198">
        <v>-10.039999999999999</v>
      </c>
      <c r="D198">
        <v>1.26</v>
      </c>
      <c r="E198">
        <v>0.17</v>
      </c>
      <c r="F198">
        <v>1.1399999999999999</v>
      </c>
      <c r="G198">
        <v>0.68</v>
      </c>
      <c r="I198">
        <v>-8.42</v>
      </c>
    </row>
    <row r="199" spans="1:9" x14ac:dyDescent="0.3">
      <c r="A199">
        <v>197811</v>
      </c>
      <c r="B199">
        <v>2.72</v>
      </c>
      <c r="C199">
        <v>2.9</v>
      </c>
      <c r="D199">
        <v>-2.08</v>
      </c>
      <c r="E199">
        <v>1.0900000000000001</v>
      </c>
      <c r="F199">
        <v>-1.19</v>
      </c>
      <c r="G199">
        <v>0.7</v>
      </c>
      <c r="I199">
        <v>5.45</v>
      </c>
    </row>
    <row r="200" spans="1:9" x14ac:dyDescent="0.3">
      <c r="A200">
        <v>197812</v>
      </c>
      <c r="B200">
        <v>0.88</v>
      </c>
      <c r="C200">
        <v>1.01</v>
      </c>
      <c r="D200">
        <v>-2.14</v>
      </c>
      <c r="E200">
        <v>2.0099999999999998</v>
      </c>
      <c r="F200">
        <v>-1.47</v>
      </c>
      <c r="G200">
        <v>0.78</v>
      </c>
      <c r="I200">
        <v>3.01</v>
      </c>
    </row>
    <row r="201" spans="1:9" x14ac:dyDescent="0.3">
      <c r="A201">
        <v>197901</v>
      </c>
      <c r="B201">
        <v>4.22</v>
      </c>
      <c r="C201">
        <v>3.74</v>
      </c>
      <c r="D201">
        <v>2.19</v>
      </c>
      <c r="E201">
        <v>-2.4</v>
      </c>
      <c r="F201">
        <v>1.58</v>
      </c>
      <c r="G201">
        <v>0.77</v>
      </c>
      <c r="I201">
        <v>-1.43</v>
      </c>
    </row>
    <row r="202" spans="1:9" x14ac:dyDescent="0.3">
      <c r="A202">
        <v>197902</v>
      </c>
      <c r="B202">
        <v>-3.56</v>
      </c>
      <c r="C202">
        <v>0.53</v>
      </c>
      <c r="D202">
        <v>1.17</v>
      </c>
      <c r="E202">
        <v>-1.1100000000000001</v>
      </c>
      <c r="F202">
        <v>0.96</v>
      </c>
      <c r="G202">
        <v>0.73</v>
      </c>
      <c r="I202">
        <v>-0.99</v>
      </c>
    </row>
    <row r="203" spans="1:9" x14ac:dyDescent="0.3">
      <c r="A203">
        <v>197903</v>
      </c>
      <c r="B203">
        <v>5.67</v>
      </c>
      <c r="C203">
        <v>3.17</v>
      </c>
      <c r="D203">
        <v>-0.68</v>
      </c>
      <c r="E203">
        <v>0.54</v>
      </c>
      <c r="F203">
        <v>0.28999999999999998</v>
      </c>
      <c r="G203">
        <v>0.81</v>
      </c>
      <c r="I203">
        <v>2.91</v>
      </c>
    </row>
    <row r="204" spans="1:9" x14ac:dyDescent="0.3">
      <c r="A204">
        <v>197904</v>
      </c>
      <c r="B204">
        <v>-7.0000000000000007E-2</v>
      </c>
      <c r="C204">
        <v>2.4</v>
      </c>
      <c r="D204">
        <v>1.1200000000000001</v>
      </c>
      <c r="E204">
        <v>1.1399999999999999</v>
      </c>
      <c r="F204">
        <v>0.24</v>
      </c>
      <c r="G204">
        <v>0.8</v>
      </c>
      <c r="I204">
        <v>0.87</v>
      </c>
    </row>
    <row r="205" spans="1:9" x14ac:dyDescent="0.3">
      <c r="A205">
        <v>197905</v>
      </c>
      <c r="B205">
        <v>-2.21</v>
      </c>
      <c r="C205">
        <v>0.18</v>
      </c>
      <c r="D205">
        <v>1.32</v>
      </c>
      <c r="E205">
        <v>-1.56</v>
      </c>
      <c r="F205">
        <v>-0.31</v>
      </c>
      <c r="G205">
        <v>0.82</v>
      </c>
      <c r="I205">
        <v>-0.55000000000000004</v>
      </c>
    </row>
    <row r="206" spans="1:9" x14ac:dyDescent="0.3">
      <c r="A206">
        <v>197906</v>
      </c>
      <c r="B206">
        <v>3.84</v>
      </c>
      <c r="C206">
        <v>0.94</v>
      </c>
      <c r="D206">
        <v>1.42</v>
      </c>
      <c r="E206">
        <v>-1.58</v>
      </c>
      <c r="F206">
        <v>-0.56000000000000005</v>
      </c>
      <c r="G206">
        <v>0.81</v>
      </c>
      <c r="I206">
        <v>0.77</v>
      </c>
    </row>
    <row r="207" spans="1:9" x14ac:dyDescent="0.3">
      <c r="A207">
        <v>197907</v>
      </c>
      <c r="B207">
        <v>0.83</v>
      </c>
      <c r="C207">
        <v>1.27</v>
      </c>
      <c r="D207">
        <v>1.79</v>
      </c>
      <c r="E207">
        <v>-0.44</v>
      </c>
      <c r="F207">
        <v>0.52</v>
      </c>
      <c r="G207">
        <v>0.77</v>
      </c>
      <c r="I207">
        <v>-1.07</v>
      </c>
    </row>
    <row r="208" spans="1:9" x14ac:dyDescent="0.3">
      <c r="A208">
        <v>197908</v>
      </c>
      <c r="B208">
        <v>5.54</v>
      </c>
      <c r="C208">
        <v>1.85</v>
      </c>
      <c r="D208">
        <v>-1.58</v>
      </c>
      <c r="E208">
        <v>1.5</v>
      </c>
      <c r="F208">
        <v>-1.46</v>
      </c>
      <c r="G208">
        <v>0.77</v>
      </c>
      <c r="I208">
        <v>-0.28999999999999998</v>
      </c>
    </row>
    <row r="209" spans="1:9" x14ac:dyDescent="0.3">
      <c r="A209">
        <v>197909</v>
      </c>
      <c r="B209">
        <v>-0.83</v>
      </c>
      <c r="C209">
        <v>-0.28000000000000003</v>
      </c>
      <c r="D209">
        <v>-0.94</v>
      </c>
      <c r="E209">
        <v>0.84</v>
      </c>
      <c r="F209">
        <v>0.5</v>
      </c>
      <c r="G209">
        <v>0.83</v>
      </c>
      <c r="I209">
        <v>5.28</v>
      </c>
    </row>
    <row r="210" spans="1:9" x14ac:dyDescent="0.3">
      <c r="A210">
        <v>197910</v>
      </c>
      <c r="B210">
        <v>-8.1</v>
      </c>
      <c r="C210">
        <v>-3.49</v>
      </c>
      <c r="D210">
        <v>-1.83</v>
      </c>
      <c r="E210">
        <v>0.96</v>
      </c>
      <c r="F210">
        <v>0.14000000000000001</v>
      </c>
      <c r="G210">
        <v>0.87</v>
      </c>
      <c r="I210">
        <v>2.04</v>
      </c>
    </row>
    <row r="211" spans="1:9" x14ac:dyDescent="0.3">
      <c r="A211">
        <v>197911</v>
      </c>
      <c r="B211">
        <v>5.23</v>
      </c>
      <c r="C211">
        <v>2.5099999999999998</v>
      </c>
      <c r="D211">
        <v>-3.21</v>
      </c>
      <c r="E211">
        <v>-0.03</v>
      </c>
      <c r="F211">
        <v>-1.83</v>
      </c>
      <c r="G211">
        <v>0.99</v>
      </c>
      <c r="I211">
        <v>8.0299999999999994</v>
      </c>
    </row>
    <row r="212" spans="1:9" x14ac:dyDescent="0.3">
      <c r="A212">
        <v>197912</v>
      </c>
      <c r="B212">
        <v>1.78</v>
      </c>
      <c r="C212">
        <v>4.2699999999999996</v>
      </c>
      <c r="D212">
        <v>-2.13</v>
      </c>
      <c r="E212">
        <v>-0.67</v>
      </c>
      <c r="F212">
        <v>-1.01</v>
      </c>
      <c r="G212">
        <v>0.95</v>
      </c>
      <c r="I212">
        <v>4.72</v>
      </c>
    </row>
    <row r="213" spans="1:9" x14ac:dyDescent="0.3">
      <c r="A213">
        <v>198001</v>
      </c>
      <c r="B213">
        <v>5.5</v>
      </c>
      <c r="C213">
        <v>1.88</v>
      </c>
      <c r="D213">
        <v>1.85</v>
      </c>
      <c r="E213">
        <v>-1.84</v>
      </c>
      <c r="F213">
        <v>1.89</v>
      </c>
      <c r="G213">
        <v>0.8</v>
      </c>
      <c r="I213">
        <v>7.45</v>
      </c>
    </row>
    <row r="214" spans="1:9" x14ac:dyDescent="0.3">
      <c r="A214">
        <v>198002</v>
      </c>
      <c r="B214">
        <v>-1.23</v>
      </c>
      <c r="C214">
        <v>-1.62</v>
      </c>
      <c r="D214">
        <v>0.59</v>
      </c>
      <c r="E214">
        <v>-0.95</v>
      </c>
      <c r="F214">
        <v>2.92</v>
      </c>
      <c r="G214">
        <v>0.89</v>
      </c>
      <c r="I214">
        <v>7.89</v>
      </c>
    </row>
    <row r="215" spans="1:9" x14ac:dyDescent="0.3">
      <c r="A215">
        <v>198003</v>
      </c>
      <c r="B215">
        <v>-12.89</v>
      </c>
      <c r="C215">
        <v>-6.97</v>
      </c>
      <c r="D215">
        <v>-0.96</v>
      </c>
      <c r="E215">
        <v>1.82</v>
      </c>
      <c r="F215">
        <v>-1.05</v>
      </c>
      <c r="G215">
        <v>1.21</v>
      </c>
      <c r="I215">
        <v>-9.58</v>
      </c>
    </row>
    <row r="216" spans="1:9" x14ac:dyDescent="0.3">
      <c r="A216">
        <v>198004</v>
      </c>
      <c r="B216">
        <v>3.96</v>
      </c>
      <c r="C216">
        <v>1.05</v>
      </c>
      <c r="D216">
        <v>1.03</v>
      </c>
      <c r="E216">
        <v>-2.1800000000000002</v>
      </c>
      <c r="F216">
        <v>0.34</v>
      </c>
      <c r="G216">
        <v>1.26</v>
      </c>
      <c r="I216">
        <v>-0.48</v>
      </c>
    </row>
    <row r="217" spans="1:9" x14ac:dyDescent="0.3">
      <c r="A217">
        <v>198005</v>
      </c>
      <c r="B217">
        <v>5.26</v>
      </c>
      <c r="C217">
        <v>2</v>
      </c>
      <c r="D217">
        <v>0.38</v>
      </c>
      <c r="E217">
        <v>0.43</v>
      </c>
      <c r="F217">
        <v>-0.63</v>
      </c>
      <c r="G217">
        <v>0.81</v>
      </c>
      <c r="I217">
        <v>-1.18</v>
      </c>
    </row>
    <row r="218" spans="1:9" x14ac:dyDescent="0.3">
      <c r="A218">
        <v>198006</v>
      </c>
      <c r="B218">
        <v>2.97</v>
      </c>
      <c r="C218">
        <v>1.46</v>
      </c>
      <c r="D218">
        <v>-0.8</v>
      </c>
      <c r="E218">
        <v>-0.2</v>
      </c>
      <c r="F218">
        <v>-0.81</v>
      </c>
      <c r="G218">
        <v>0.61</v>
      </c>
      <c r="I218">
        <v>1.58</v>
      </c>
    </row>
    <row r="219" spans="1:9" x14ac:dyDescent="0.3">
      <c r="A219">
        <v>198007</v>
      </c>
      <c r="B219">
        <v>6.51</v>
      </c>
      <c r="C219">
        <v>3.74</v>
      </c>
      <c r="D219">
        <v>-6.29</v>
      </c>
      <c r="E219">
        <v>4.0599999999999996</v>
      </c>
      <c r="F219">
        <v>-2.44</v>
      </c>
      <c r="G219">
        <v>0.53</v>
      </c>
      <c r="I219">
        <v>0.28999999999999998</v>
      </c>
    </row>
    <row r="220" spans="1:9" x14ac:dyDescent="0.3">
      <c r="A220">
        <v>198008</v>
      </c>
      <c r="B220">
        <v>1.75</v>
      </c>
      <c r="C220">
        <v>4.2300000000000004</v>
      </c>
      <c r="D220">
        <v>-2.46</v>
      </c>
      <c r="E220">
        <v>2.0499999999999998</v>
      </c>
      <c r="F220">
        <v>-0.73</v>
      </c>
      <c r="G220">
        <v>0.64</v>
      </c>
      <c r="I220">
        <v>3.06</v>
      </c>
    </row>
    <row r="221" spans="1:9" x14ac:dyDescent="0.3">
      <c r="A221">
        <v>198009</v>
      </c>
      <c r="B221">
        <v>2.19</v>
      </c>
      <c r="C221">
        <v>0.63</v>
      </c>
      <c r="D221">
        <v>-4.6100000000000003</v>
      </c>
      <c r="E221">
        <v>1.9</v>
      </c>
      <c r="F221">
        <v>-2.86</v>
      </c>
      <c r="G221">
        <v>0.75</v>
      </c>
      <c r="I221">
        <v>5.43</v>
      </c>
    </row>
    <row r="222" spans="1:9" x14ac:dyDescent="0.3">
      <c r="A222">
        <v>198010</v>
      </c>
      <c r="B222">
        <v>1.04</v>
      </c>
      <c r="C222">
        <v>2.21</v>
      </c>
      <c r="D222">
        <v>-2.93</v>
      </c>
      <c r="E222">
        <v>1.77</v>
      </c>
      <c r="F222">
        <v>-1.43</v>
      </c>
      <c r="G222">
        <v>0.95</v>
      </c>
      <c r="I222">
        <v>7.13</v>
      </c>
    </row>
    <row r="223" spans="1:9" x14ac:dyDescent="0.3">
      <c r="A223">
        <v>198011</v>
      </c>
      <c r="B223">
        <v>9.6</v>
      </c>
      <c r="C223">
        <v>-3.27</v>
      </c>
      <c r="D223">
        <v>-8.11</v>
      </c>
      <c r="E223">
        <v>4.26</v>
      </c>
      <c r="F223">
        <v>-5.52</v>
      </c>
      <c r="G223">
        <v>0.96</v>
      </c>
      <c r="I223">
        <v>15.15</v>
      </c>
    </row>
    <row r="224" spans="1:9" x14ac:dyDescent="0.3">
      <c r="A224">
        <v>198012</v>
      </c>
      <c r="B224">
        <v>-4.46</v>
      </c>
      <c r="C224">
        <v>-0.28000000000000003</v>
      </c>
      <c r="D224">
        <v>2.8</v>
      </c>
      <c r="E224">
        <v>-1.27</v>
      </c>
      <c r="F224">
        <v>1.27</v>
      </c>
      <c r="G224">
        <v>1.31</v>
      </c>
      <c r="I224">
        <v>-6.71</v>
      </c>
    </row>
    <row r="225" spans="1:9" x14ac:dyDescent="0.3">
      <c r="A225">
        <v>198101</v>
      </c>
      <c r="B225">
        <v>-5.0599999999999996</v>
      </c>
      <c r="C225">
        <v>3.3</v>
      </c>
      <c r="D225">
        <v>6.74</v>
      </c>
      <c r="E225">
        <v>-3.38</v>
      </c>
      <c r="F225">
        <v>4.2699999999999996</v>
      </c>
      <c r="G225">
        <v>1.04</v>
      </c>
      <c r="I225">
        <v>-7.82</v>
      </c>
    </row>
    <row r="226" spans="1:9" x14ac:dyDescent="0.3">
      <c r="A226">
        <v>198102</v>
      </c>
      <c r="B226">
        <v>0.61</v>
      </c>
      <c r="C226">
        <v>-0.65</v>
      </c>
      <c r="D226">
        <v>0.97</v>
      </c>
      <c r="E226">
        <v>0.26</v>
      </c>
      <c r="F226">
        <v>2.06</v>
      </c>
      <c r="G226">
        <v>1.07</v>
      </c>
      <c r="I226">
        <v>-1.35</v>
      </c>
    </row>
    <row r="227" spans="1:9" x14ac:dyDescent="0.3">
      <c r="A227">
        <v>198103</v>
      </c>
      <c r="B227">
        <v>3.66</v>
      </c>
      <c r="C227">
        <v>2.85</v>
      </c>
      <c r="D227">
        <v>0.61</v>
      </c>
      <c r="E227">
        <v>-2.27</v>
      </c>
      <c r="F227">
        <v>-0.56000000000000005</v>
      </c>
      <c r="G227">
        <v>1.21</v>
      </c>
      <c r="I227">
        <v>0.82</v>
      </c>
    </row>
    <row r="228" spans="1:9" x14ac:dyDescent="0.3">
      <c r="A228">
        <v>198104</v>
      </c>
      <c r="B228">
        <v>-2.16</v>
      </c>
      <c r="C228">
        <v>4.72</v>
      </c>
      <c r="D228">
        <v>2.2799999999999998</v>
      </c>
      <c r="E228">
        <v>0.81</v>
      </c>
      <c r="F228">
        <v>1.54</v>
      </c>
      <c r="G228">
        <v>1.08</v>
      </c>
      <c r="I228">
        <v>-1.08</v>
      </c>
    </row>
    <row r="229" spans="1:9" x14ac:dyDescent="0.3">
      <c r="A229">
        <v>198105</v>
      </c>
      <c r="B229">
        <v>0.13</v>
      </c>
      <c r="C229">
        <v>2.36</v>
      </c>
      <c r="D229">
        <v>-0.43</v>
      </c>
      <c r="E229">
        <v>0.47</v>
      </c>
      <c r="F229">
        <v>-1.78</v>
      </c>
      <c r="G229">
        <v>1.1499999999999999</v>
      </c>
      <c r="I229">
        <v>3.56</v>
      </c>
    </row>
    <row r="230" spans="1:9" x14ac:dyDescent="0.3">
      <c r="A230">
        <v>198106</v>
      </c>
      <c r="B230">
        <v>-2.34</v>
      </c>
      <c r="C230">
        <v>-0.93</v>
      </c>
      <c r="D230">
        <v>5.14</v>
      </c>
      <c r="E230">
        <v>-1.29</v>
      </c>
      <c r="F230">
        <v>2.69</v>
      </c>
      <c r="G230">
        <v>1.35</v>
      </c>
      <c r="I230">
        <v>-5.67</v>
      </c>
    </row>
    <row r="231" spans="1:9" x14ac:dyDescent="0.3">
      <c r="A231">
        <v>198107</v>
      </c>
      <c r="B231">
        <v>-1.55</v>
      </c>
      <c r="C231">
        <v>-1.95</v>
      </c>
      <c r="D231">
        <v>-0.61</v>
      </c>
      <c r="E231">
        <v>1.08</v>
      </c>
      <c r="F231">
        <v>-2.66</v>
      </c>
      <c r="G231">
        <v>1.24</v>
      </c>
      <c r="I231">
        <v>-2.44</v>
      </c>
    </row>
    <row r="232" spans="1:9" x14ac:dyDescent="0.3">
      <c r="A232">
        <v>198108</v>
      </c>
      <c r="B232">
        <v>-7.02</v>
      </c>
      <c r="C232">
        <v>-1.82</v>
      </c>
      <c r="D232">
        <v>4.71</v>
      </c>
      <c r="E232">
        <v>-0.31</v>
      </c>
      <c r="F232">
        <v>1.38</v>
      </c>
      <c r="G232">
        <v>1.28</v>
      </c>
      <c r="I232">
        <v>-1.1000000000000001</v>
      </c>
    </row>
    <row r="233" spans="1:9" x14ac:dyDescent="0.3">
      <c r="A233">
        <v>198109</v>
      </c>
      <c r="B233">
        <v>-7.2</v>
      </c>
      <c r="C233">
        <v>-2.46</v>
      </c>
      <c r="D233">
        <v>5.1100000000000003</v>
      </c>
      <c r="E233">
        <v>0.08</v>
      </c>
      <c r="F233">
        <v>2.5299999999999998</v>
      </c>
      <c r="G233">
        <v>1.24</v>
      </c>
      <c r="I233">
        <v>2.13</v>
      </c>
    </row>
    <row r="234" spans="1:9" x14ac:dyDescent="0.3">
      <c r="A234">
        <v>198110</v>
      </c>
      <c r="B234">
        <v>4.92</v>
      </c>
      <c r="C234">
        <v>2.2799999999999998</v>
      </c>
      <c r="D234">
        <v>-4.09</v>
      </c>
      <c r="E234">
        <v>3.12</v>
      </c>
      <c r="F234">
        <v>-2.79</v>
      </c>
      <c r="G234">
        <v>1.21</v>
      </c>
      <c r="I234">
        <v>3.83</v>
      </c>
    </row>
    <row r="235" spans="1:9" x14ac:dyDescent="0.3">
      <c r="A235">
        <v>198111</v>
      </c>
      <c r="B235">
        <v>3.4</v>
      </c>
      <c r="C235">
        <v>-1.58</v>
      </c>
      <c r="D235">
        <v>1.91</v>
      </c>
      <c r="E235">
        <v>0.14000000000000001</v>
      </c>
      <c r="F235">
        <v>1</v>
      </c>
      <c r="G235">
        <v>1.07</v>
      </c>
      <c r="I235">
        <v>-0.21</v>
      </c>
    </row>
    <row r="236" spans="1:9" x14ac:dyDescent="0.3">
      <c r="A236">
        <v>198112</v>
      </c>
      <c r="B236">
        <v>-3.63</v>
      </c>
      <c r="C236">
        <v>1.18</v>
      </c>
      <c r="D236">
        <v>0.79</v>
      </c>
      <c r="E236">
        <v>0.21</v>
      </c>
      <c r="F236">
        <v>2.4500000000000002</v>
      </c>
      <c r="G236">
        <v>0.87</v>
      </c>
      <c r="I236">
        <v>1.28</v>
      </c>
    </row>
    <row r="237" spans="1:9" x14ac:dyDescent="0.3">
      <c r="A237">
        <v>198201</v>
      </c>
      <c r="B237">
        <v>-3.23</v>
      </c>
      <c r="C237">
        <v>-1.1000000000000001</v>
      </c>
      <c r="D237">
        <v>3.19</v>
      </c>
      <c r="E237">
        <v>-1.43</v>
      </c>
      <c r="F237">
        <v>1.95</v>
      </c>
      <c r="G237">
        <v>0.8</v>
      </c>
      <c r="I237">
        <v>1.77</v>
      </c>
    </row>
    <row r="238" spans="1:9" x14ac:dyDescent="0.3">
      <c r="A238">
        <v>198202</v>
      </c>
      <c r="B238">
        <v>-5.86</v>
      </c>
      <c r="C238">
        <v>0.4</v>
      </c>
      <c r="D238">
        <v>6.09</v>
      </c>
      <c r="E238">
        <v>-3.55</v>
      </c>
      <c r="F238">
        <v>4.57</v>
      </c>
      <c r="G238">
        <v>0.92</v>
      </c>
      <c r="I238">
        <v>4.87</v>
      </c>
    </row>
    <row r="239" spans="1:9" x14ac:dyDescent="0.3">
      <c r="A239">
        <v>198203</v>
      </c>
      <c r="B239">
        <v>-1.82</v>
      </c>
      <c r="C239">
        <v>0.02</v>
      </c>
      <c r="D239">
        <v>3.76</v>
      </c>
      <c r="E239">
        <v>-1.28</v>
      </c>
      <c r="F239">
        <v>2.37</v>
      </c>
      <c r="G239">
        <v>0.98</v>
      </c>
      <c r="I239">
        <v>2.9</v>
      </c>
    </row>
    <row r="240" spans="1:9" x14ac:dyDescent="0.3">
      <c r="A240">
        <v>198204</v>
      </c>
      <c r="B240">
        <v>3.24</v>
      </c>
      <c r="C240">
        <v>1.21</v>
      </c>
      <c r="D240">
        <v>-3.08</v>
      </c>
      <c r="E240">
        <v>1.5</v>
      </c>
      <c r="F240">
        <v>-0.05</v>
      </c>
      <c r="G240">
        <v>1.1299999999999999</v>
      </c>
      <c r="I240">
        <v>-0.46</v>
      </c>
    </row>
    <row r="241" spans="1:9" x14ac:dyDescent="0.3">
      <c r="A241">
        <v>198205</v>
      </c>
      <c r="B241">
        <v>-3.93</v>
      </c>
      <c r="C241">
        <v>0.41</v>
      </c>
      <c r="D241">
        <v>1.78</v>
      </c>
      <c r="E241">
        <v>0.96</v>
      </c>
      <c r="F241">
        <v>-0.12</v>
      </c>
      <c r="G241">
        <v>1.06</v>
      </c>
      <c r="I241">
        <v>2.5099999999999998</v>
      </c>
    </row>
    <row r="242" spans="1:9" x14ac:dyDescent="0.3">
      <c r="A242">
        <v>198206</v>
      </c>
      <c r="B242">
        <v>-3.08</v>
      </c>
      <c r="C242">
        <v>-0.51</v>
      </c>
      <c r="D242">
        <v>1.56</v>
      </c>
      <c r="E242">
        <v>0.09</v>
      </c>
      <c r="F242">
        <v>2.5299999999999998</v>
      </c>
      <c r="G242">
        <v>0.96</v>
      </c>
      <c r="I242">
        <v>4.8899999999999997</v>
      </c>
    </row>
    <row r="243" spans="1:9" x14ac:dyDescent="0.3">
      <c r="A243">
        <v>198207</v>
      </c>
      <c r="B243">
        <v>-3.2</v>
      </c>
      <c r="C243">
        <v>1.01</v>
      </c>
      <c r="D243">
        <v>7.0000000000000007E-2</v>
      </c>
      <c r="E243">
        <v>1</v>
      </c>
      <c r="F243">
        <v>1.44</v>
      </c>
      <c r="G243">
        <v>1.05</v>
      </c>
      <c r="I243">
        <v>4.4000000000000004</v>
      </c>
    </row>
    <row r="244" spans="1:9" x14ac:dyDescent="0.3">
      <c r="A244">
        <v>198208</v>
      </c>
      <c r="B244">
        <v>11.15</v>
      </c>
      <c r="C244">
        <v>-4.46</v>
      </c>
      <c r="D244">
        <v>1.0900000000000001</v>
      </c>
      <c r="E244">
        <v>-1.85</v>
      </c>
      <c r="F244">
        <v>0.17</v>
      </c>
      <c r="G244">
        <v>0.76</v>
      </c>
      <c r="I244">
        <v>-3.6</v>
      </c>
    </row>
    <row r="245" spans="1:9" x14ac:dyDescent="0.3">
      <c r="A245">
        <v>198209</v>
      </c>
      <c r="B245">
        <v>1.32</v>
      </c>
      <c r="C245">
        <v>2.5499999999999998</v>
      </c>
      <c r="D245">
        <v>0.23</v>
      </c>
      <c r="E245">
        <v>2.16</v>
      </c>
      <c r="F245">
        <v>-0.02</v>
      </c>
      <c r="G245">
        <v>0.51</v>
      </c>
      <c r="I245">
        <v>4.1399999999999997</v>
      </c>
    </row>
    <row r="246" spans="1:9" x14ac:dyDescent="0.3">
      <c r="A246">
        <v>198210</v>
      </c>
      <c r="B246">
        <v>11.24</v>
      </c>
      <c r="C246">
        <v>1.96</v>
      </c>
      <c r="D246">
        <v>-3.62</v>
      </c>
      <c r="E246">
        <v>0.2</v>
      </c>
      <c r="F246">
        <v>-0.3</v>
      </c>
      <c r="G246">
        <v>0.59</v>
      </c>
      <c r="I246">
        <v>0.01</v>
      </c>
    </row>
    <row r="247" spans="1:9" x14ac:dyDescent="0.3">
      <c r="A247">
        <v>198211</v>
      </c>
      <c r="B247">
        <v>4.68</v>
      </c>
      <c r="C247">
        <v>4.3899999999999997</v>
      </c>
      <c r="D247">
        <v>-1.8</v>
      </c>
      <c r="E247">
        <v>-1.02</v>
      </c>
      <c r="F247">
        <v>0.28999999999999998</v>
      </c>
      <c r="G247">
        <v>0.63</v>
      </c>
      <c r="I247">
        <v>5.92</v>
      </c>
    </row>
    <row r="248" spans="1:9" x14ac:dyDescent="0.3">
      <c r="A248">
        <v>198212</v>
      </c>
      <c r="B248">
        <v>0.56000000000000005</v>
      </c>
      <c r="C248">
        <v>-0.14000000000000001</v>
      </c>
      <c r="D248">
        <v>-0.06</v>
      </c>
      <c r="E248">
        <v>0</v>
      </c>
      <c r="F248">
        <v>1</v>
      </c>
      <c r="G248">
        <v>0.67</v>
      </c>
      <c r="I248">
        <v>-0.02</v>
      </c>
    </row>
    <row r="249" spans="1:9" x14ac:dyDescent="0.3">
      <c r="A249">
        <v>198301</v>
      </c>
      <c r="B249">
        <v>3.59</v>
      </c>
      <c r="C249">
        <v>3.41</v>
      </c>
      <c r="D249">
        <v>-0.72</v>
      </c>
      <c r="E249">
        <v>-1.52</v>
      </c>
      <c r="F249">
        <v>-0.56000000000000005</v>
      </c>
      <c r="G249">
        <v>0.69</v>
      </c>
      <c r="I249">
        <v>-1.63</v>
      </c>
    </row>
    <row r="250" spans="1:9" x14ac:dyDescent="0.3">
      <c r="A250">
        <v>198302</v>
      </c>
      <c r="B250">
        <v>2.59</v>
      </c>
      <c r="C250">
        <v>2.88</v>
      </c>
      <c r="D250">
        <v>0.66</v>
      </c>
      <c r="E250">
        <v>-0.36</v>
      </c>
      <c r="F250">
        <v>1.01</v>
      </c>
      <c r="G250">
        <v>0.62</v>
      </c>
      <c r="I250">
        <v>3.69</v>
      </c>
    </row>
    <row r="251" spans="1:9" x14ac:dyDescent="0.3">
      <c r="A251">
        <v>198303</v>
      </c>
      <c r="B251">
        <v>2.81</v>
      </c>
      <c r="C251">
        <v>1.37</v>
      </c>
      <c r="D251">
        <v>2.06</v>
      </c>
      <c r="E251">
        <v>-0.19</v>
      </c>
      <c r="F251">
        <v>2.8</v>
      </c>
      <c r="G251">
        <v>0.63</v>
      </c>
      <c r="I251">
        <v>0.88</v>
      </c>
    </row>
    <row r="252" spans="1:9" x14ac:dyDescent="0.3">
      <c r="A252">
        <v>198304</v>
      </c>
      <c r="B252">
        <v>6.65</v>
      </c>
      <c r="C252">
        <v>0.43</v>
      </c>
      <c r="D252">
        <v>0.43</v>
      </c>
      <c r="E252">
        <v>-7.0000000000000007E-2</v>
      </c>
      <c r="F252">
        <v>1.51</v>
      </c>
      <c r="G252">
        <v>0.71</v>
      </c>
      <c r="I252">
        <v>1.63</v>
      </c>
    </row>
    <row r="253" spans="1:9" x14ac:dyDescent="0.3">
      <c r="A253">
        <v>198305</v>
      </c>
      <c r="B253">
        <v>0.51</v>
      </c>
      <c r="C253">
        <v>6.26</v>
      </c>
      <c r="D253">
        <v>-1.4</v>
      </c>
      <c r="E253">
        <v>-1.81</v>
      </c>
      <c r="F253">
        <v>-1.43</v>
      </c>
      <c r="G253">
        <v>0.69</v>
      </c>
      <c r="I253">
        <v>-1.55</v>
      </c>
    </row>
    <row r="254" spans="1:9" x14ac:dyDescent="0.3">
      <c r="A254">
        <v>198306</v>
      </c>
      <c r="B254">
        <v>3.07</v>
      </c>
      <c r="C254">
        <v>1.1599999999999999</v>
      </c>
      <c r="D254">
        <v>-3.89</v>
      </c>
      <c r="E254">
        <v>2.5499999999999998</v>
      </c>
      <c r="F254">
        <v>-0.78</v>
      </c>
      <c r="G254">
        <v>0.67</v>
      </c>
      <c r="I254">
        <v>1.83</v>
      </c>
    </row>
    <row r="255" spans="1:9" x14ac:dyDescent="0.3">
      <c r="A255">
        <v>198307</v>
      </c>
      <c r="B255">
        <v>-4.0599999999999996</v>
      </c>
      <c r="C255">
        <v>1.05</v>
      </c>
      <c r="D255">
        <v>5.54</v>
      </c>
      <c r="E255">
        <v>-7.0000000000000007E-2</v>
      </c>
      <c r="F255">
        <v>2.88</v>
      </c>
      <c r="G255">
        <v>0.74</v>
      </c>
      <c r="I255">
        <v>-3.08</v>
      </c>
    </row>
    <row r="256" spans="1:9" x14ac:dyDescent="0.3">
      <c r="A256">
        <v>198308</v>
      </c>
      <c r="B256">
        <v>-0.5</v>
      </c>
      <c r="C256">
        <v>-4.32</v>
      </c>
      <c r="D256">
        <v>5.59</v>
      </c>
      <c r="E256">
        <v>0.52</v>
      </c>
      <c r="F256">
        <v>1.85</v>
      </c>
      <c r="G256">
        <v>0.76</v>
      </c>
      <c r="I256">
        <v>-5.38</v>
      </c>
    </row>
    <row r="257" spans="1:9" x14ac:dyDescent="0.3">
      <c r="A257">
        <v>198309</v>
      </c>
      <c r="B257">
        <v>0.91</v>
      </c>
      <c r="C257">
        <v>0.3</v>
      </c>
      <c r="D257">
        <v>0.99</v>
      </c>
      <c r="E257">
        <v>1.21</v>
      </c>
      <c r="F257">
        <v>0.5</v>
      </c>
      <c r="G257">
        <v>0.76</v>
      </c>
      <c r="I257">
        <v>-0.01</v>
      </c>
    </row>
    <row r="258" spans="1:9" x14ac:dyDescent="0.3">
      <c r="A258">
        <v>198310</v>
      </c>
      <c r="B258">
        <v>-3.43</v>
      </c>
      <c r="C258">
        <v>-3.75</v>
      </c>
      <c r="D258">
        <v>4.96</v>
      </c>
      <c r="E258">
        <v>-0.82</v>
      </c>
      <c r="F258">
        <v>3</v>
      </c>
      <c r="G258">
        <v>0.76</v>
      </c>
      <c r="I258">
        <v>-4.46</v>
      </c>
    </row>
    <row r="259" spans="1:9" x14ac:dyDescent="0.3">
      <c r="A259">
        <v>198311</v>
      </c>
      <c r="B259">
        <v>2.16</v>
      </c>
      <c r="C259">
        <v>1.87</v>
      </c>
      <c r="D259">
        <v>-0.73</v>
      </c>
      <c r="E259">
        <v>-0.68</v>
      </c>
      <c r="F259">
        <v>0.64</v>
      </c>
      <c r="G259">
        <v>0.7</v>
      </c>
      <c r="I259">
        <v>-0.14000000000000001</v>
      </c>
    </row>
    <row r="260" spans="1:9" x14ac:dyDescent="0.3">
      <c r="A260">
        <v>198312</v>
      </c>
      <c r="B260">
        <v>-1.77</v>
      </c>
      <c r="C260">
        <v>-0.42</v>
      </c>
      <c r="D260">
        <v>1.75</v>
      </c>
      <c r="E260">
        <v>1.55</v>
      </c>
      <c r="F260">
        <v>1.33</v>
      </c>
      <c r="G260">
        <v>0.73</v>
      </c>
      <c r="I260">
        <v>0.81</v>
      </c>
    </row>
    <row r="261" spans="1:9" x14ac:dyDescent="0.3">
      <c r="A261">
        <v>198401</v>
      </c>
      <c r="B261">
        <v>-1.92</v>
      </c>
      <c r="C261">
        <v>0</v>
      </c>
      <c r="D261">
        <v>7.48</v>
      </c>
      <c r="E261">
        <v>-0.88</v>
      </c>
      <c r="F261">
        <v>2.88</v>
      </c>
      <c r="G261">
        <v>0.76</v>
      </c>
      <c r="I261">
        <v>-2.57</v>
      </c>
    </row>
    <row r="262" spans="1:9" x14ac:dyDescent="0.3">
      <c r="A262">
        <v>198402</v>
      </c>
      <c r="B262">
        <v>-4.76</v>
      </c>
      <c r="C262">
        <v>-1.58</v>
      </c>
      <c r="D262">
        <v>3.41</v>
      </c>
      <c r="E262">
        <v>1.04</v>
      </c>
      <c r="F262">
        <v>1.51</v>
      </c>
      <c r="G262">
        <v>0.71</v>
      </c>
      <c r="I262">
        <v>0.45</v>
      </c>
    </row>
    <row r="263" spans="1:9" x14ac:dyDescent="0.3">
      <c r="A263">
        <v>198403</v>
      </c>
      <c r="B263">
        <v>0.65</v>
      </c>
      <c r="C263">
        <v>-0.25</v>
      </c>
      <c r="D263">
        <v>0.53</v>
      </c>
      <c r="E263">
        <v>-0.97</v>
      </c>
      <c r="F263">
        <v>1.1499999999999999</v>
      </c>
      <c r="G263">
        <v>0.73</v>
      </c>
      <c r="I263">
        <v>1.0900000000000001</v>
      </c>
    </row>
    <row r="264" spans="1:9" x14ac:dyDescent="0.3">
      <c r="A264">
        <v>198404</v>
      </c>
      <c r="B264">
        <v>-0.51</v>
      </c>
      <c r="C264">
        <v>-0.94</v>
      </c>
      <c r="D264">
        <v>1.19</v>
      </c>
      <c r="E264">
        <v>3.3</v>
      </c>
      <c r="F264">
        <v>0.77</v>
      </c>
      <c r="G264">
        <v>0.81</v>
      </c>
      <c r="I264">
        <v>2.14</v>
      </c>
    </row>
    <row r="265" spans="1:9" x14ac:dyDescent="0.3">
      <c r="A265">
        <v>198405</v>
      </c>
      <c r="B265">
        <v>-5.98</v>
      </c>
      <c r="C265">
        <v>0.14000000000000001</v>
      </c>
      <c r="D265">
        <v>0.26</v>
      </c>
      <c r="E265">
        <v>2.41</v>
      </c>
      <c r="F265">
        <v>-0.51</v>
      </c>
      <c r="G265">
        <v>0.78</v>
      </c>
      <c r="I265">
        <v>1.54</v>
      </c>
    </row>
    <row r="266" spans="1:9" x14ac:dyDescent="0.3">
      <c r="A266">
        <v>198406</v>
      </c>
      <c r="B266">
        <v>1.81</v>
      </c>
      <c r="C266">
        <v>0.16</v>
      </c>
      <c r="D266">
        <v>-2.75</v>
      </c>
      <c r="E266">
        <v>3.08</v>
      </c>
      <c r="F266">
        <v>-1.57</v>
      </c>
      <c r="G266">
        <v>0.75</v>
      </c>
      <c r="I266">
        <v>-0.53</v>
      </c>
    </row>
    <row r="267" spans="1:9" x14ac:dyDescent="0.3">
      <c r="A267">
        <v>198407</v>
      </c>
      <c r="B267">
        <v>-2.72</v>
      </c>
      <c r="C267">
        <v>-2.21</v>
      </c>
      <c r="D267">
        <v>0.39</v>
      </c>
      <c r="E267">
        <v>3.52</v>
      </c>
      <c r="F267">
        <v>-2.16</v>
      </c>
      <c r="G267">
        <v>0.82</v>
      </c>
      <c r="I267">
        <v>2.77</v>
      </c>
    </row>
    <row r="268" spans="1:9" x14ac:dyDescent="0.3">
      <c r="A268">
        <v>198408</v>
      </c>
      <c r="B268">
        <v>10.27</v>
      </c>
      <c r="C268">
        <v>-0.28000000000000003</v>
      </c>
      <c r="D268">
        <v>-1.74</v>
      </c>
      <c r="E268">
        <v>-0.73</v>
      </c>
      <c r="F268">
        <v>-0.91</v>
      </c>
      <c r="G268">
        <v>0.83</v>
      </c>
      <c r="I268">
        <v>-5.62</v>
      </c>
    </row>
    <row r="269" spans="1:9" x14ac:dyDescent="0.3">
      <c r="A269">
        <v>198409</v>
      </c>
      <c r="B269">
        <v>-0.8</v>
      </c>
      <c r="C269">
        <v>-0.04</v>
      </c>
      <c r="D269">
        <v>5.25</v>
      </c>
      <c r="E269">
        <v>1.37</v>
      </c>
      <c r="F269">
        <v>2.39</v>
      </c>
      <c r="G269">
        <v>0.86</v>
      </c>
      <c r="I269">
        <v>3.66</v>
      </c>
    </row>
    <row r="270" spans="1:9" x14ac:dyDescent="0.3">
      <c r="A270">
        <v>198410</v>
      </c>
      <c r="B270">
        <v>-0.84</v>
      </c>
      <c r="C270">
        <v>-1.34</v>
      </c>
      <c r="D270">
        <v>0.59</v>
      </c>
      <c r="E270">
        <v>1.1399999999999999</v>
      </c>
      <c r="F270">
        <v>-1.04</v>
      </c>
      <c r="G270">
        <v>1</v>
      </c>
      <c r="I270">
        <v>3.28</v>
      </c>
    </row>
    <row r="271" spans="1:9" x14ac:dyDescent="0.3">
      <c r="A271">
        <v>198411</v>
      </c>
      <c r="B271">
        <v>-1.77</v>
      </c>
      <c r="C271">
        <v>-1.06</v>
      </c>
      <c r="D271">
        <v>3.87</v>
      </c>
      <c r="E271">
        <v>0.8</v>
      </c>
      <c r="F271">
        <v>1.95</v>
      </c>
      <c r="G271">
        <v>0.73</v>
      </c>
      <c r="I271">
        <v>1.56</v>
      </c>
    </row>
    <row r="272" spans="1:9" x14ac:dyDescent="0.3">
      <c r="A272">
        <v>198412</v>
      </c>
      <c r="B272">
        <v>1.84</v>
      </c>
      <c r="C272">
        <v>-0.6</v>
      </c>
      <c r="D272">
        <v>-0.03</v>
      </c>
      <c r="E272">
        <v>1.08</v>
      </c>
      <c r="F272">
        <v>-1.41</v>
      </c>
      <c r="G272">
        <v>0.64</v>
      </c>
      <c r="I272">
        <v>1.46</v>
      </c>
    </row>
    <row r="273" spans="1:9" x14ac:dyDescent="0.3">
      <c r="A273">
        <v>198501</v>
      </c>
      <c r="B273">
        <v>7.97</v>
      </c>
      <c r="C273">
        <v>3.45</v>
      </c>
      <c r="D273">
        <v>-5.2</v>
      </c>
      <c r="E273">
        <v>-0.99</v>
      </c>
      <c r="F273">
        <v>-3.46</v>
      </c>
      <c r="G273">
        <v>0.65</v>
      </c>
      <c r="I273">
        <v>-6.82</v>
      </c>
    </row>
    <row r="274" spans="1:9" x14ac:dyDescent="0.3">
      <c r="A274">
        <v>198502</v>
      </c>
      <c r="B274">
        <v>1.22</v>
      </c>
      <c r="C274">
        <v>0.91</v>
      </c>
      <c r="D274">
        <v>-0.36</v>
      </c>
      <c r="E274">
        <v>1.52</v>
      </c>
      <c r="F274">
        <v>1.1599999999999999</v>
      </c>
      <c r="G274">
        <v>0.57999999999999996</v>
      </c>
      <c r="I274">
        <v>1.9</v>
      </c>
    </row>
    <row r="275" spans="1:9" x14ac:dyDescent="0.3">
      <c r="A275">
        <v>198503</v>
      </c>
      <c r="B275">
        <v>-0.84</v>
      </c>
      <c r="C275">
        <v>-1.38</v>
      </c>
      <c r="D275">
        <v>4.01</v>
      </c>
      <c r="E275">
        <v>1.23</v>
      </c>
      <c r="F275">
        <v>2.86</v>
      </c>
      <c r="G275">
        <v>0.62</v>
      </c>
      <c r="I275">
        <v>1.78</v>
      </c>
    </row>
    <row r="276" spans="1:9" x14ac:dyDescent="0.3">
      <c r="A276">
        <v>198504</v>
      </c>
      <c r="B276">
        <v>-0.96</v>
      </c>
      <c r="C276">
        <v>-0.14000000000000001</v>
      </c>
      <c r="D276">
        <v>3.6</v>
      </c>
      <c r="E276">
        <v>1.62</v>
      </c>
      <c r="F276">
        <v>0.71</v>
      </c>
      <c r="G276">
        <v>0.72</v>
      </c>
      <c r="I276">
        <v>2.95</v>
      </c>
    </row>
    <row r="277" spans="1:9" x14ac:dyDescent="0.3">
      <c r="A277">
        <v>198505</v>
      </c>
      <c r="B277">
        <v>5.07</v>
      </c>
      <c r="C277">
        <v>-2.36</v>
      </c>
      <c r="D277">
        <v>-0.98</v>
      </c>
      <c r="E277">
        <v>1.27</v>
      </c>
      <c r="F277">
        <v>-1.43</v>
      </c>
      <c r="G277">
        <v>0.66</v>
      </c>
      <c r="I277">
        <v>4.05</v>
      </c>
    </row>
    <row r="278" spans="1:9" x14ac:dyDescent="0.3">
      <c r="A278">
        <v>198506</v>
      </c>
      <c r="B278">
        <v>1.27</v>
      </c>
      <c r="C278">
        <v>0.21</v>
      </c>
      <c r="D278">
        <v>0.38</v>
      </c>
      <c r="E278">
        <v>1.69</v>
      </c>
      <c r="F278">
        <v>-1.02</v>
      </c>
      <c r="G278">
        <v>0.55000000000000004</v>
      </c>
      <c r="I278">
        <v>3.37</v>
      </c>
    </row>
    <row r="279" spans="1:9" x14ac:dyDescent="0.3">
      <c r="A279">
        <v>198507</v>
      </c>
      <c r="B279">
        <v>-0.72</v>
      </c>
      <c r="C279">
        <v>2.85</v>
      </c>
      <c r="D279">
        <v>-1.62</v>
      </c>
      <c r="E279">
        <v>-0.36</v>
      </c>
      <c r="F279">
        <v>-0.37</v>
      </c>
      <c r="G279">
        <v>0.62</v>
      </c>
      <c r="I279">
        <v>-3.69</v>
      </c>
    </row>
    <row r="280" spans="1:9" x14ac:dyDescent="0.3">
      <c r="A280">
        <v>198508</v>
      </c>
      <c r="B280">
        <v>-1.01</v>
      </c>
      <c r="C280">
        <v>-0.3</v>
      </c>
      <c r="D280">
        <v>2.34</v>
      </c>
      <c r="E280">
        <v>-0.16</v>
      </c>
      <c r="F280">
        <v>1.93</v>
      </c>
      <c r="G280">
        <v>0.55000000000000004</v>
      </c>
      <c r="I280">
        <v>1.77</v>
      </c>
    </row>
    <row r="281" spans="1:9" x14ac:dyDescent="0.3">
      <c r="A281">
        <v>198509</v>
      </c>
      <c r="B281">
        <v>-4.5</v>
      </c>
      <c r="C281">
        <v>-1.84</v>
      </c>
      <c r="D281">
        <v>1.21</v>
      </c>
      <c r="E281">
        <v>1.1100000000000001</v>
      </c>
      <c r="F281">
        <v>1.58</v>
      </c>
      <c r="G281">
        <v>0.6</v>
      </c>
      <c r="I281">
        <v>1.6</v>
      </c>
    </row>
    <row r="282" spans="1:9" x14ac:dyDescent="0.3">
      <c r="A282">
        <v>198510</v>
      </c>
      <c r="B282">
        <v>4</v>
      </c>
      <c r="C282">
        <v>-1.47</v>
      </c>
      <c r="D282">
        <v>0.77</v>
      </c>
      <c r="E282">
        <v>0.88</v>
      </c>
      <c r="F282">
        <v>-1.06</v>
      </c>
      <c r="G282">
        <v>0.65</v>
      </c>
      <c r="I282">
        <v>4.87</v>
      </c>
    </row>
    <row r="283" spans="1:9" x14ac:dyDescent="0.3">
      <c r="A283">
        <v>198511</v>
      </c>
      <c r="B283">
        <v>6.46</v>
      </c>
      <c r="C283">
        <v>-0.05</v>
      </c>
      <c r="D283">
        <v>-2.91</v>
      </c>
      <c r="E283">
        <v>0.32</v>
      </c>
      <c r="F283">
        <v>-2.35</v>
      </c>
      <c r="G283">
        <v>0.61</v>
      </c>
      <c r="I283">
        <v>-0.55000000000000004</v>
      </c>
    </row>
    <row r="284" spans="1:9" x14ac:dyDescent="0.3">
      <c r="A284">
        <v>198512</v>
      </c>
      <c r="B284">
        <v>3.88</v>
      </c>
      <c r="C284">
        <v>-0.41</v>
      </c>
      <c r="D284">
        <v>-1.46</v>
      </c>
      <c r="E284">
        <v>0.96</v>
      </c>
      <c r="F284">
        <v>-1.77</v>
      </c>
      <c r="G284">
        <v>0.65</v>
      </c>
      <c r="I284">
        <v>-0.23</v>
      </c>
    </row>
    <row r="285" spans="1:9" x14ac:dyDescent="0.3">
      <c r="A285">
        <v>198601</v>
      </c>
      <c r="B285">
        <v>0.65</v>
      </c>
      <c r="C285">
        <v>0.95</v>
      </c>
      <c r="D285">
        <v>0.46</v>
      </c>
      <c r="E285">
        <v>-1.99</v>
      </c>
      <c r="F285">
        <v>-1.99</v>
      </c>
      <c r="G285">
        <v>0.56000000000000005</v>
      </c>
      <c r="I285">
        <v>2.95</v>
      </c>
    </row>
    <row r="286" spans="1:9" x14ac:dyDescent="0.3">
      <c r="A286">
        <v>198602</v>
      </c>
      <c r="B286">
        <v>7.14</v>
      </c>
      <c r="C286">
        <v>-0.72</v>
      </c>
      <c r="D286">
        <v>-0.63</v>
      </c>
      <c r="E286">
        <v>1.1599999999999999</v>
      </c>
      <c r="F286">
        <v>-1.23</v>
      </c>
      <c r="G286">
        <v>0.53</v>
      </c>
      <c r="I286">
        <v>2.56</v>
      </c>
    </row>
    <row r="287" spans="1:9" x14ac:dyDescent="0.3">
      <c r="A287">
        <v>198603</v>
      </c>
      <c r="B287">
        <v>4.91</v>
      </c>
      <c r="C287">
        <v>-0.63</v>
      </c>
      <c r="D287">
        <v>-0.39</v>
      </c>
      <c r="E287">
        <v>1</v>
      </c>
      <c r="F287">
        <v>0.81</v>
      </c>
      <c r="G287">
        <v>0.6</v>
      </c>
      <c r="I287">
        <v>2.38</v>
      </c>
    </row>
    <row r="288" spans="1:9" x14ac:dyDescent="0.3">
      <c r="A288">
        <v>198604</v>
      </c>
      <c r="B288">
        <v>-1.28</v>
      </c>
      <c r="C288">
        <v>2.81</v>
      </c>
      <c r="D288">
        <v>-2.81</v>
      </c>
      <c r="E288">
        <v>2.9</v>
      </c>
      <c r="F288">
        <v>-0.1</v>
      </c>
      <c r="G288">
        <v>0.52</v>
      </c>
      <c r="I288">
        <v>-0.35</v>
      </c>
    </row>
    <row r="289" spans="1:9" x14ac:dyDescent="0.3">
      <c r="A289">
        <v>198605</v>
      </c>
      <c r="B289">
        <v>4.63</v>
      </c>
      <c r="C289">
        <v>-1.29</v>
      </c>
      <c r="D289">
        <v>-0.14000000000000001</v>
      </c>
      <c r="E289">
        <v>2.0699999999999998</v>
      </c>
      <c r="F289">
        <v>1.1000000000000001</v>
      </c>
      <c r="G289">
        <v>0.49</v>
      </c>
      <c r="I289">
        <v>2.06</v>
      </c>
    </row>
    <row r="290" spans="1:9" x14ac:dyDescent="0.3">
      <c r="A290">
        <v>198606</v>
      </c>
      <c r="B290">
        <v>1.06</v>
      </c>
      <c r="C290">
        <v>-0.87</v>
      </c>
      <c r="D290">
        <v>1.2</v>
      </c>
      <c r="E290">
        <v>1.85</v>
      </c>
      <c r="F290">
        <v>0.83</v>
      </c>
      <c r="G290">
        <v>0.52</v>
      </c>
      <c r="I290">
        <v>4.9400000000000004</v>
      </c>
    </row>
    <row r="291" spans="1:9" x14ac:dyDescent="0.3">
      <c r="A291">
        <v>198607</v>
      </c>
      <c r="B291">
        <v>-6.43</v>
      </c>
      <c r="C291">
        <v>-3.53</v>
      </c>
      <c r="D291">
        <v>4.66</v>
      </c>
      <c r="E291">
        <v>-0.55000000000000004</v>
      </c>
      <c r="F291">
        <v>0.81</v>
      </c>
      <c r="G291">
        <v>0.52</v>
      </c>
      <c r="I291">
        <v>1.89</v>
      </c>
    </row>
    <row r="292" spans="1:9" x14ac:dyDescent="0.3">
      <c r="A292">
        <v>198608</v>
      </c>
      <c r="B292">
        <v>6.07</v>
      </c>
      <c r="C292">
        <v>-4.34</v>
      </c>
      <c r="D292">
        <v>3.54</v>
      </c>
      <c r="E292">
        <v>-1.71</v>
      </c>
      <c r="F292">
        <v>3.32</v>
      </c>
      <c r="G292">
        <v>0.46</v>
      </c>
      <c r="I292">
        <v>-5.17</v>
      </c>
    </row>
    <row r="293" spans="1:9" x14ac:dyDescent="0.3">
      <c r="A293">
        <v>198609</v>
      </c>
      <c r="B293">
        <v>-8.59</v>
      </c>
      <c r="C293">
        <v>2.1</v>
      </c>
      <c r="D293">
        <v>3.23</v>
      </c>
      <c r="E293">
        <v>-0.17</v>
      </c>
      <c r="F293">
        <v>3.71</v>
      </c>
      <c r="G293">
        <v>0.45</v>
      </c>
      <c r="I293">
        <v>-5.68</v>
      </c>
    </row>
    <row r="294" spans="1:9" x14ac:dyDescent="0.3">
      <c r="A294">
        <v>198610</v>
      </c>
      <c r="B294">
        <v>4.6399999999999997</v>
      </c>
      <c r="C294">
        <v>-2.37</v>
      </c>
      <c r="D294">
        <v>-1.42</v>
      </c>
      <c r="E294">
        <v>-0.01</v>
      </c>
      <c r="F294">
        <v>1.01</v>
      </c>
      <c r="G294">
        <v>0.46</v>
      </c>
      <c r="I294">
        <v>4.4800000000000004</v>
      </c>
    </row>
    <row r="295" spans="1:9" x14ac:dyDescent="0.3">
      <c r="A295">
        <v>198611</v>
      </c>
      <c r="B295">
        <v>1.1599999999999999</v>
      </c>
      <c r="C295">
        <v>-1.86</v>
      </c>
      <c r="D295">
        <v>-0.02</v>
      </c>
      <c r="E295">
        <v>0.98</v>
      </c>
      <c r="F295">
        <v>0.7</v>
      </c>
      <c r="G295">
        <v>0.39</v>
      </c>
      <c r="I295">
        <v>-0.27</v>
      </c>
    </row>
    <row r="296" spans="1:9" x14ac:dyDescent="0.3">
      <c r="A296">
        <v>198612</v>
      </c>
      <c r="B296">
        <v>-3.26</v>
      </c>
      <c r="C296">
        <v>0.19</v>
      </c>
      <c r="D296">
        <v>0.36</v>
      </c>
      <c r="E296">
        <v>0.87</v>
      </c>
      <c r="F296">
        <v>0.09</v>
      </c>
      <c r="G296">
        <v>0.49</v>
      </c>
      <c r="I296">
        <v>0.45</v>
      </c>
    </row>
    <row r="297" spans="1:9" x14ac:dyDescent="0.3">
      <c r="A297">
        <v>198701</v>
      </c>
      <c r="B297">
        <v>12.44</v>
      </c>
      <c r="C297">
        <v>-1.61</v>
      </c>
      <c r="D297">
        <v>-3.18</v>
      </c>
      <c r="E297">
        <v>0.17</v>
      </c>
      <c r="F297">
        <v>-1.03</v>
      </c>
      <c r="G297">
        <v>0.42</v>
      </c>
      <c r="I297">
        <v>2.0299999999999998</v>
      </c>
    </row>
    <row r="298" spans="1:9" x14ac:dyDescent="0.3">
      <c r="A298">
        <v>198702</v>
      </c>
      <c r="B298">
        <v>4.37</v>
      </c>
      <c r="C298">
        <v>3.36</v>
      </c>
      <c r="D298">
        <v>-5.86</v>
      </c>
      <c r="E298">
        <v>-0.79</v>
      </c>
      <c r="F298">
        <v>-2.5499999999999998</v>
      </c>
      <c r="G298">
        <v>0.43</v>
      </c>
      <c r="I298">
        <v>-2.2200000000000002</v>
      </c>
    </row>
    <row r="299" spans="1:9" x14ac:dyDescent="0.3">
      <c r="A299">
        <v>198703</v>
      </c>
      <c r="B299">
        <v>1.63</v>
      </c>
      <c r="C299">
        <v>0.32</v>
      </c>
      <c r="D299">
        <v>1.66</v>
      </c>
      <c r="E299">
        <v>1.3</v>
      </c>
      <c r="F299">
        <v>4.17</v>
      </c>
      <c r="G299">
        <v>0.47</v>
      </c>
      <c r="I299">
        <v>1.66</v>
      </c>
    </row>
    <row r="300" spans="1:9" x14ac:dyDescent="0.3">
      <c r="A300">
        <v>198704</v>
      </c>
      <c r="B300">
        <v>-2.09</v>
      </c>
      <c r="C300">
        <v>-1.58</v>
      </c>
      <c r="D300">
        <v>-0.36</v>
      </c>
      <c r="E300">
        <v>-0.52</v>
      </c>
      <c r="F300">
        <v>1.1599999999999999</v>
      </c>
      <c r="G300">
        <v>0.44</v>
      </c>
      <c r="I300">
        <v>0.2</v>
      </c>
    </row>
    <row r="301" spans="1:9" x14ac:dyDescent="0.3">
      <c r="A301">
        <v>198705</v>
      </c>
      <c r="B301">
        <v>0.11</v>
      </c>
      <c r="C301">
        <v>-0.57999999999999996</v>
      </c>
      <c r="D301">
        <v>0.22</v>
      </c>
      <c r="E301">
        <v>0.49</v>
      </c>
      <c r="F301">
        <v>1.1299999999999999</v>
      </c>
      <c r="G301">
        <v>0.38</v>
      </c>
      <c r="I301">
        <v>-0.77</v>
      </c>
    </row>
    <row r="302" spans="1:9" x14ac:dyDescent="0.3">
      <c r="A302">
        <v>198706</v>
      </c>
      <c r="B302">
        <v>3.91</v>
      </c>
      <c r="C302">
        <v>-2.11</v>
      </c>
      <c r="D302">
        <v>1.1299999999999999</v>
      </c>
      <c r="E302">
        <v>1.56</v>
      </c>
      <c r="F302">
        <v>1.07</v>
      </c>
      <c r="G302">
        <v>0.48</v>
      </c>
      <c r="I302">
        <v>-0.22</v>
      </c>
    </row>
    <row r="303" spans="1:9" x14ac:dyDescent="0.3">
      <c r="A303">
        <v>198707</v>
      </c>
      <c r="B303">
        <v>3.84</v>
      </c>
      <c r="C303">
        <v>-1.07</v>
      </c>
      <c r="D303">
        <v>0.94</v>
      </c>
      <c r="E303">
        <v>-0.65</v>
      </c>
      <c r="F303">
        <v>1.58</v>
      </c>
      <c r="G303">
        <v>0.46</v>
      </c>
      <c r="I303">
        <v>2.57</v>
      </c>
    </row>
    <row r="304" spans="1:9" x14ac:dyDescent="0.3">
      <c r="A304">
        <v>198708</v>
      </c>
      <c r="B304">
        <v>3.52</v>
      </c>
      <c r="C304">
        <v>-1.01</v>
      </c>
      <c r="D304">
        <v>-0.98</v>
      </c>
      <c r="E304">
        <v>2.11</v>
      </c>
      <c r="F304">
        <v>-1.55</v>
      </c>
      <c r="G304">
        <v>0.47</v>
      </c>
      <c r="I304">
        <v>-0.95</v>
      </c>
    </row>
    <row r="305" spans="1:9" x14ac:dyDescent="0.3">
      <c r="A305">
        <v>198709</v>
      </c>
      <c r="B305">
        <v>-2.58</v>
      </c>
      <c r="C305">
        <v>0.45</v>
      </c>
      <c r="D305">
        <v>0.26</v>
      </c>
      <c r="E305">
        <v>-0.88</v>
      </c>
      <c r="F305">
        <v>1.82</v>
      </c>
      <c r="G305">
        <v>0.45</v>
      </c>
      <c r="I305">
        <v>0.8</v>
      </c>
    </row>
    <row r="306" spans="1:9" x14ac:dyDescent="0.3">
      <c r="A306">
        <v>198710</v>
      </c>
      <c r="B306">
        <v>-23.19</v>
      </c>
      <c r="C306">
        <v>-7.91</v>
      </c>
      <c r="D306">
        <v>4.18</v>
      </c>
      <c r="E306">
        <v>2.29</v>
      </c>
      <c r="F306">
        <v>2.2400000000000002</v>
      </c>
      <c r="G306">
        <v>0.6</v>
      </c>
      <c r="I306">
        <v>-7.75</v>
      </c>
    </row>
    <row r="307" spans="1:9" x14ac:dyDescent="0.3">
      <c r="A307">
        <v>198711</v>
      </c>
      <c r="B307">
        <v>-7.76</v>
      </c>
      <c r="C307">
        <v>2.78</v>
      </c>
      <c r="D307">
        <v>3.14</v>
      </c>
      <c r="E307">
        <v>-1.93</v>
      </c>
      <c r="F307">
        <v>0.6</v>
      </c>
      <c r="G307">
        <v>0.35</v>
      </c>
      <c r="I307">
        <v>-1.21</v>
      </c>
    </row>
    <row r="308" spans="1:9" x14ac:dyDescent="0.3">
      <c r="A308">
        <v>198712</v>
      </c>
      <c r="B308">
        <v>6.82</v>
      </c>
      <c r="C308">
        <v>-0.01</v>
      </c>
      <c r="D308">
        <v>-4.42</v>
      </c>
      <c r="E308">
        <v>3.13</v>
      </c>
      <c r="F308">
        <v>-2.46</v>
      </c>
      <c r="G308">
        <v>0.39</v>
      </c>
      <c r="I308">
        <v>5.88</v>
      </c>
    </row>
    <row r="309" spans="1:9" x14ac:dyDescent="0.3">
      <c r="A309">
        <v>198801</v>
      </c>
      <c r="B309">
        <v>4.21</v>
      </c>
      <c r="C309">
        <v>-0.56000000000000005</v>
      </c>
      <c r="D309">
        <v>4.93</v>
      </c>
      <c r="E309">
        <v>-1.19</v>
      </c>
      <c r="F309">
        <v>2.1</v>
      </c>
      <c r="G309">
        <v>0.28999999999999998</v>
      </c>
      <c r="I309">
        <v>-7.35</v>
      </c>
    </row>
    <row r="310" spans="1:9" x14ac:dyDescent="0.3">
      <c r="A310">
        <v>198802</v>
      </c>
      <c r="B310">
        <v>4.7699999999999996</v>
      </c>
      <c r="C310">
        <v>3.3</v>
      </c>
      <c r="D310">
        <v>-1.53</v>
      </c>
      <c r="E310">
        <v>1.51</v>
      </c>
      <c r="F310">
        <v>0.06</v>
      </c>
      <c r="G310">
        <v>0.46</v>
      </c>
      <c r="I310">
        <v>-1.45</v>
      </c>
    </row>
    <row r="311" spans="1:9" x14ac:dyDescent="0.3">
      <c r="A311">
        <v>198803</v>
      </c>
      <c r="B311">
        <v>-2.2599999999999998</v>
      </c>
      <c r="C311">
        <v>6.11</v>
      </c>
      <c r="D311">
        <v>0.86</v>
      </c>
      <c r="E311">
        <v>-0.23</v>
      </c>
      <c r="F311">
        <v>1.78</v>
      </c>
      <c r="G311">
        <v>0.44</v>
      </c>
      <c r="I311">
        <v>0.61</v>
      </c>
    </row>
    <row r="312" spans="1:9" x14ac:dyDescent="0.3">
      <c r="A312">
        <v>198804</v>
      </c>
      <c r="B312">
        <v>0.56000000000000005</v>
      </c>
      <c r="C312">
        <v>1.0900000000000001</v>
      </c>
      <c r="D312">
        <v>1.51</v>
      </c>
      <c r="E312">
        <v>-0.09</v>
      </c>
      <c r="F312">
        <v>1.9</v>
      </c>
      <c r="G312">
        <v>0.46</v>
      </c>
      <c r="I312">
        <v>2.2000000000000002</v>
      </c>
    </row>
    <row r="313" spans="1:9" x14ac:dyDescent="0.3">
      <c r="A313">
        <v>198805</v>
      </c>
      <c r="B313">
        <v>-0.27</v>
      </c>
      <c r="C313">
        <v>-2.52</v>
      </c>
      <c r="D313">
        <v>2.44</v>
      </c>
      <c r="E313">
        <v>-0.77</v>
      </c>
      <c r="F313">
        <v>0.3</v>
      </c>
      <c r="G313">
        <v>0.51</v>
      </c>
      <c r="I313">
        <v>0.66</v>
      </c>
    </row>
    <row r="314" spans="1:9" x14ac:dyDescent="0.3">
      <c r="A314">
        <v>198806</v>
      </c>
      <c r="B314">
        <v>4.78</v>
      </c>
      <c r="C314">
        <v>2.0699999999999998</v>
      </c>
      <c r="D314">
        <v>-1.35</v>
      </c>
      <c r="E314">
        <v>1.52</v>
      </c>
      <c r="F314">
        <v>-3.52</v>
      </c>
      <c r="G314">
        <v>0.49</v>
      </c>
      <c r="I314">
        <v>-3.02</v>
      </c>
    </row>
    <row r="315" spans="1:9" x14ac:dyDescent="0.3">
      <c r="A315">
        <v>198807</v>
      </c>
      <c r="B315">
        <v>-1.25</v>
      </c>
      <c r="C315">
        <v>-0.18</v>
      </c>
      <c r="D315">
        <v>2.1800000000000002</v>
      </c>
      <c r="E315">
        <v>-0.49</v>
      </c>
      <c r="F315">
        <v>1.53</v>
      </c>
      <c r="G315">
        <v>0.51</v>
      </c>
      <c r="I315">
        <v>0.66</v>
      </c>
    </row>
    <row r="316" spans="1:9" x14ac:dyDescent="0.3">
      <c r="A316">
        <v>198808</v>
      </c>
      <c r="B316">
        <v>-3.31</v>
      </c>
      <c r="C316">
        <v>-0.02</v>
      </c>
      <c r="D316">
        <v>2.14</v>
      </c>
      <c r="E316">
        <v>-0.85</v>
      </c>
      <c r="F316">
        <v>1.65</v>
      </c>
      <c r="G316">
        <v>0.59</v>
      </c>
      <c r="I316">
        <v>0.36</v>
      </c>
    </row>
    <row r="317" spans="1:9" x14ac:dyDescent="0.3">
      <c r="A317">
        <v>198809</v>
      </c>
      <c r="B317">
        <v>3.31</v>
      </c>
      <c r="C317">
        <v>-1.38</v>
      </c>
      <c r="D317">
        <v>-0.75</v>
      </c>
      <c r="E317">
        <v>1.76</v>
      </c>
      <c r="F317">
        <v>-0.55000000000000004</v>
      </c>
      <c r="G317">
        <v>0.62</v>
      </c>
      <c r="I317">
        <v>0.28999999999999998</v>
      </c>
    </row>
    <row r="318" spans="1:9" x14ac:dyDescent="0.3">
      <c r="A318">
        <v>198810</v>
      </c>
      <c r="B318">
        <v>1.1599999999999999</v>
      </c>
      <c r="C318">
        <v>-2.97</v>
      </c>
      <c r="D318">
        <v>2.0299999999999998</v>
      </c>
      <c r="E318">
        <v>1.39</v>
      </c>
      <c r="F318">
        <v>0.99</v>
      </c>
      <c r="G318">
        <v>0.61</v>
      </c>
      <c r="I318">
        <v>1.3</v>
      </c>
    </row>
    <row r="319" spans="1:9" x14ac:dyDescent="0.3">
      <c r="A319">
        <v>198811</v>
      </c>
      <c r="B319">
        <v>-2.27</v>
      </c>
      <c r="C319">
        <v>-1.58</v>
      </c>
      <c r="D319">
        <v>1.47</v>
      </c>
      <c r="E319">
        <v>-0.36</v>
      </c>
      <c r="F319">
        <v>1.64</v>
      </c>
      <c r="G319">
        <v>0.56999999999999995</v>
      </c>
      <c r="I319">
        <v>0.18</v>
      </c>
    </row>
    <row r="320" spans="1:9" x14ac:dyDescent="0.3">
      <c r="A320">
        <v>198812</v>
      </c>
      <c r="B320">
        <v>1.48</v>
      </c>
      <c r="C320">
        <v>1.94</v>
      </c>
      <c r="D320">
        <v>-1.83</v>
      </c>
      <c r="E320">
        <v>0.69</v>
      </c>
      <c r="F320">
        <v>-0.38</v>
      </c>
      <c r="G320">
        <v>0.63</v>
      </c>
      <c r="I320">
        <v>0.31</v>
      </c>
    </row>
    <row r="321" spans="1:9" x14ac:dyDescent="0.3">
      <c r="A321">
        <v>198901</v>
      </c>
      <c r="B321">
        <v>6.06</v>
      </c>
      <c r="C321">
        <v>-2.2599999999999998</v>
      </c>
      <c r="D321">
        <v>0.61</v>
      </c>
      <c r="E321">
        <v>-0.97</v>
      </c>
      <c r="F321">
        <v>0.11</v>
      </c>
      <c r="G321">
        <v>0.55000000000000004</v>
      </c>
      <c r="I321">
        <v>-0.25</v>
      </c>
    </row>
    <row r="322" spans="1:9" x14ac:dyDescent="0.3">
      <c r="A322">
        <v>198902</v>
      </c>
      <c r="B322">
        <v>-2.23</v>
      </c>
      <c r="C322">
        <v>2.7</v>
      </c>
      <c r="D322">
        <v>0.99</v>
      </c>
      <c r="E322">
        <v>-0.84</v>
      </c>
      <c r="F322">
        <v>1.88</v>
      </c>
      <c r="G322">
        <v>0.61</v>
      </c>
      <c r="I322">
        <v>0.99</v>
      </c>
    </row>
    <row r="323" spans="1:9" x14ac:dyDescent="0.3">
      <c r="A323">
        <v>198903</v>
      </c>
      <c r="B323">
        <v>1.57</v>
      </c>
      <c r="C323">
        <v>0.68</v>
      </c>
      <c r="D323">
        <v>0.47</v>
      </c>
      <c r="E323">
        <v>-0.01</v>
      </c>
      <c r="F323">
        <v>0.65</v>
      </c>
      <c r="G323">
        <v>0.67</v>
      </c>
      <c r="I323">
        <v>3.51</v>
      </c>
    </row>
    <row r="324" spans="1:9" x14ac:dyDescent="0.3">
      <c r="A324">
        <v>198904</v>
      </c>
      <c r="B324">
        <v>4.3499999999999996</v>
      </c>
      <c r="C324">
        <v>-0.75</v>
      </c>
      <c r="D324">
        <v>-1.48</v>
      </c>
      <c r="E324">
        <v>0.73</v>
      </c>
      <c r="F324">
        <v>-0.48</v>
      </c>
      <c r="G324">
        <v>0.67</v>
      </c>
      <c r="I324">
        <v>1.71</v>
      </c>
    </row>
    <row r="325" spans="1:9" x14ac:dyDescent="0.3">
      <c r="A325">
        <v>198905</v>
      </c>
      <c r="B325">
        <v>3.28</v>
      </c>
      <c r="C325">
        <v>-0.06</v>
      </c>
      <c r="D325">
        <v>-0.9</v>
      </c>
      <c r="E325">
        <v>0.45</v>
      </c>
      <c r="F325">
        <v>-0.26</v>
      </c>
      <c r="G325">
        <v>0.79</v>
      </c>
      <c r="I325">
        <v>1.42</v>
      </c>
    </row>
    <row r="326" spans="1:9" x14ac:dyDescent="0.3">
      <c r="A326">
        <v>198906</v>
      </c>
      <c r="B326">
        <v>-1.33</v>
      </c>
      <c r="C326">
        <v>-1.04</v>
      </c>
      <c r="D326">
        <v>2.21</v>
      </c>
      <c r="E326">
        <v>0.13</v>
      </c>
      <c r="F326">
        <v>1.52</v>
      </c>
      <c r="G326">
        <v>0.71</v>
      </c>
      <c r="I326">
        <v>0.4</v>
      </c>
    </row>
    <row r="327" spans="1:9" x14ac:dyDescent="0.3">
      <c r="A327">
        <v>198907</v>
      </c>
      <c r="B327">
        <v>7.18</v>
      </c>
      <c r="C327">
        <v>-4.1100000000000003</v>
      </c>
      <c r="D327">
        <v>-2.8</v>
      </c>
      <c r="E327">
        <v>2.0499999999999998</v>
      </c>
      <c r="F327">
        <v>-0.56000000000000005</v>
      </c>
      <c r="G327">
        <v>0.7</v>
      </c>
      <c r="I327">
        <v>5.32</v>
      </c>
    </row>
    <row r="328" spans="1:9" x14ac:dyDescent="0.3">
      <c r="A328">
        <v>198908</v>
      </c>
      <c r="B328">
        <v>1.43</v>
      </c>
      <c r="C328">
        <v>0.48</v>
      </c>
      <c r="D328">
        <v>0.62</v>
      </c>
      <c r="E328">
        <v>0.36</v>
      </c>
      <c r="F328">
        <v>-0.61</v>
      </c>
      <c r="G328">
        <v>0.74</v>
      </c>
      <c r="I328">
        <v>-0.49</v>
      </c>
    </row>
    <row r="329" spans="1:9" x14ac:dyDescent="0.3">
      <c r="A329">
        <v>198909</v>
      </c>
      <c r="B329">
        <v>-0.76</v>
      </c>
      <c r="C329">
        <v>0.47</v>
      </c>
      <c r="D329">
        <v>-1.27</v>
      </c>
      <c r="E329">
        <v>1.39</v>
      </c>
      <c r="F329">
        <v>0.57999999999999996</v>
      </c>
      <c r="G329">
        <v>0.65</v>
      </c>
      <c r="I329">
        <v>3.51</v>
      </c>
    </row>
    <row r="330" spans="1:9" x14ac:dyDescent="0.3">
      <c r="A330">
        <v>198910</v>
      </c>
      <c r="B330">
        <v>-3.65</v>
      </c>
      <c r="C330">
        <v>-3.3</v>
      </c>
      <c r="D330">
        <v>-1.1599999999999999</v>
      </c>
      <c r="E330">
        <v>0.08</v>
      </c>
      <c r="F330">
        <v>-0.11</v>
      </c>
      <c r="G330">
        <v>0.68</v>
      </c>
      <c r="I330">
        <v>1.35</v>
      </c>
    </row>
    <row r="331" spans="1:9" x14ac:dyDescent="0.3">
      <c r="A331">
        <v>198911</v>
      </c>
      <c r="B331">
        <v>1.04</v>
      </c>
      <c r="C331">
        <v>-1.26</v>
      </c>
      <c r="D331">
        <v>-1.1299999999999999</v>
      </c>
      <c r="E331">
        <v>-0.74</v>
      </c>
      <c r="F331">
        <v>1.38</v>
      </c>
      <c r="G331">
        <v>0.69</v>
      </c>
      <c r="I331">
        <v>2.7</v>
      </c>
    </row>
    <row r="332" spans="1:9" x14ac:dyDescent="0.3">
      <c r="A332">
        <v>198912</v>
      </c>
      <c r="B332">
        <v>1.18</v>
      </c>
      <c r="C332">
        <v>-2.2799999999999998</v>
      </c>
      <c r="D332">
        <v>0.15</v>
      </c>
      <c r="E332">
        <v>-7.0000000000000007E-2</v>
      </c>
      <c r="F332">
        <v>1.31</v>
      </c>
      <c r="G332">
        <v>0.61</v>
      </c>
      <c r="I332">
        <v>2.79</v>
      </c>
    </row>
    <row r="333" spans="1:9" x14ac:dyDescent="0.3">
      <c r="A333">
        <v>199001</v>
      </c>
      <c r="B333">
        <v>-7.8</v>
      </c>
      <c r="C333">
        <v>-1.21</v>
      </c>
      <c r="D333">
        <v>0.83</v>
      </c>
      <c r="E333">
        <v>-1.1200000000000001</v>
      </c>
      <c r="F333">
        <v>1.4</v>
      </c>
      <c r="G333">
        <v>0.56999999999999995</v>
      </c>
      <c r="I333">
        <v>-2.98</v>
      </c>
    </row>
    <row r="334" spans="1:9" x14ac:dyDescent="0.3">
      <c r="A334">
        <v>199002</v>
      </c>
      <c r="B334">
        <v>1.1100000000000001</v>
      </c>
      <c r="C334">
        <v>1.1499999999999999</v>
      </c>
      <c r="D334">
        <v>0.65</v>
      </c>
      <c r="E334">
        <v>-0.04</v>
      </c>
      <c r="F334">
        <v>-0.61</v>
      </c>
      <c r="G334">
        <v>0.56999999999999995</v>
      </c>
      <c r="I334">
        <v>-0.51</v>
      </c>
    </row>
    <row r="335" spans="1:9" x14ac:dyDescent="0.3">
      <c r="A335">
        <v>199003</v>
      </c>
      <c r="B335">
        <v>1.83</v>
      </c>
      <c r="C335">
        <v>1.59</v>
      </c>
      <c r="D335">
        <v>-2.9</v>
      </c>
      <c r="E335">
        <v>1.99</v>
      </c>
      <c r="F335">
        <v>-0.94</v>
      </c>
      <c r="G335">
        <v>0.64</v>
      </c>
      <c r="I335">
        <v>1.72</v>
      </c>
    </row>
    <row r="336" spans="1:9" x14ac:dyDescent="0.3">
      <c r="A336">
        <v>199004</v>
      </c>
      <c r="B336">
        <v>-3.36</v>
      </c>
      <c r="C336">
        <v>-0.35</v>
      </c>
      <c r="D336">
        <v>-2.57</v>
      </c>
      <c r="E336">
        <v>1.78</v>
      </c>
      <c r="F336">
        <v>-1</v>
      </c>
      <c r="G336">
        <v>0.69</v>
      </c>
      <c r="I336">
        <v>2.2799999999999998</v>
      </c>
    </row>
    <row r="337" spans="1:9" x14ac:dyDescent="0.3">
      <c r="A337">
        <v>199005</v>
      </c>
      <c r="B337">
        <v>8.44</v>
      </c>
      <c r="C337">
        <v>-2.41</v>
      </c>
      <c r="D337">
        <v>-3.89</v>
      </c>
      <c r="E337">
        <v>1.68</v>
      </c>
      <c r="F337">
        <v>-1.63</v>
      </c>
      <c r="G337">
        <v>0.68</v>
      </c>
      <c r="I337">
        <v>3.14</v>
      </c>
    </row>
    <row r="338" spans="1:9" x14ac:dyDescent="0.3">
      <c r="A338">
        <v>199006</v>
      </c>
      <c r="B338">
        <v>-1.0900000000000001</v>
      </c>
      <c r="C338">
        <v>1.31</v>
      </c>
      <c r="D338">
        <v>-2</v>
      </c>
      <c r="E338">
        <v>-0.99</v>
      </c>
      <c r="F338">
        <v>-0.39</v>
      </c>
      <c r="G338">
        <v>0.63</v>
      </c>
      <c r="I338">
        <v>2.4900000000000002</v>
      </c>
    </row>
    <row r="339" spans="1:9" x14ac:dyDescent="0.3">
      <c r="A339">
        <v>199007</v>
      </c>
      <c r="B339">
        <v>-1.9</v>
      </c>
      <c r="C339">
        <v>-3.15</v>
      </c>
      <c r="D339">
        <v>-0.06</v>
      </c>
      <c r="E339">
        <v>-0.1</v>
      </c>
      <c r="F339">
        <v>3.21</v>
      </c>
      <c r="G339">
        <v>0.68</v>
      </c>
      <c r="I339">
        <v>6.04</v>
      </c>
    </row>
    <row r="340" spans="1:9" x14ac:dyDescent="0.3">
      <c r="A340">
        <v>199008</v>
      </c>
      <c r="B340">
        <v>-10.130000000000001</v>
      </c>
      <c r="C340">
        <v>-3.79</v>
      </c>
      <c r="D340">
        <v>1.56</v>
      </c>
      <c r="E340">
        <v>-0.48</v>
      </c>
      <c r="F340">
        <v>2.99</v>
      </c>
      <c r="G340">
        <v>0.66</v>
      </c>
      <c r="I340">
        <v>1.97</v>
      </c>
    </row>
    <row r="341" spans="1:9" x14ac:dyDescent="0.3">
      <c r="A341">
        <v>199009</v>
      </c>
      <c r="B341">
        <v>-6.11</v>
      </c>
      <c r="C341">
        <v>-3.72</v>
      </c>
      <c r="D341">
        <v>0.59</v>
      </c>
      <c r="E341">
        <v>0.03</v>
      </c>
      <c r="F341">
        <v>3.62</v>
      </c>
      <c r="G341">
        <v>0.6</v>
      </c>
      <c r="I341">
        <v>5.71</v>
      </c>
    </row>
    <row r="342" spans="1:9" x14ac:dyDescent="0.3">
      <c r="A342">
        <v>199010</v>
      </c>
      <c r="B342">
        <v>-1.91</v>
      </c>
      <c r="C342">
        <v>-5.0599999999999996</v>
      </c>
      <c r="D342">
        <v>0.08</v>
      </c>
      <c r="E342">
        <v>3.17</v>
      </c>
      <c r="F342">
        <v>-0.25</v>
      </c>
      <c r="G342">
        <v>0.68</v>
      </c>
      <c r="I342">
        <v>6.74</v>
      </c>
    </row>
    <row r="343" spans="1:9" x14ac:dyDescent="0.3">
      <c r="A343">
        <v>199011</v>
      </c>
      <c r="B343">
        <v>6.35</v>
      </c>
      <c r="C343">
        <v>0.02</v>
      </c>
      <c r="D343">
        <v>-2.97</v>
      </c>
      <c r="E343">
        <v>0.57999999999999996</v>
      </c>
      <c r="F343">
        <v>-4.71</v>
      </c>
      <c r="G343">
        <v>0.56999999999999995</v>
      </c>
      <c r="I343">
        <v>-5.36</v>
      </c>
    </row>
    <row r="344" spans="1:9" x14ac:dyDescent="0.3">
      <c r="A344">
        <v>199012</v>
      </c>
      <c r="B344">
        <v>2.48</v>
      </c>
      <c r="C344">
        <v>0.6</v>
      </c>
      <c r="D344">
        <v>-1.57</v>
      </c>
      <c r="E344">
        <v>2.66</v>
      </c>
      <c r="F344">
        <v>-1.98</v>
      </c>
      <c r="G344">
        <v>0.6</v>
      </c>
      <c r="I344">
        <v>0.25</v>
      </c>
    </row>
    <row r="345" spans="1:9" x14ac:dyDescent="0.3">
      <c r="A345">
        <v>199101</v>
      </c>
      <c r="B345">
        <v>4.6900000000000004</v>
      </c>
      <c r="C345">
        <v>3.87</v>
      </c>
      <c r="D345">
        <v>-1.48</v>
      </c>
      <c r="E345">
        <v>1.34</v>
      </c>
      <c r="F345">
        <v>-4.07</v>
      </c>
      <c r="G345">
        <v>0.52</v>
      </c>
      <c r="I345">
        <v>-6.47</v>
      </c>
    </row>
    <row r="346" spans="1:9" x14ac:dyDescent="0.3">
      <c r="A346">
        <v>199102</v>
      </c>
      <c r="B346">
        <v>7.21</v>
      </c>
      <c r="C346">
        <v>4.0199999999999996</v>
      </c>
      <c r="D346">
        <v>-0.62</v>
      </c>
      <c r="E346">
        <v>-0.06</v>
      </c>
      <c r="F346">
        <v>-0.34</v>
      </c>
      <c r="G346">
        <v>0.48</v>
      </c>
      <c r="I346">
        <v>-4.9400000000000004</v>
      </c>
    </row>
    <row r="347" spans="1:9" x14ac:dyDescent="0.3">
      <c r="A347">
        <v>199103</v>
      </c>
      <c r="B347">
        <v>2.67</v>
      </c>
      <c r="C347">
        <v>3.81</v>
      </c>
      <c r="D347">
        <v>-1.3</v>
      </c>
      <c r="E347">
        <v>-0.52</v>
      </c>
      <c r="F347">
        <v>-0.99</v>
      </c>
      <c r="G347">
        <v>0.44</v>
      </c>
      <c r="I347">
        <v>2.71</v>
      </c>
    </row>
    <row r="348" spans="1:9" x14ac:dyDescent="0.3">
      <c r="A348">
        <v>199104</v>
      </c>
      <c r="B348">
        <v>-0.28999999999999998</v>
      </c>
      <c r="C348">
        <v>0.35</v>
      </c>
      <c r="D348">
        <v>1.49</v>
      </c>
      <c r="E348">
        <v>0.67</v>
      </c>
      <c r="F348">
        <v>0.81</v>
      </c>
      <c r="G348">
        <v>0.53</v>
      </c>
      <c r="I348">
        <v>-2.3199999999999998</v>
      </c>
    </row>
    <row r="349" spans="1:9" x14ac:dyDescent="0.3">
      <c r="A349">
        <v>199105</v>
      </c>
      <c r="B349">
        <v>3.66</v>
      </c>
      <c r="C349">
        <v>0.14000000000000001</v>
      </c>
      <c r="D349">
        <v>-0.52</v>
      </c>
      <c r="E349">
        <v>2.0699999999999998</v>
      </c>
      <c r="F349">
        <v>-2.36</v>
      </c>
      <c r="G349">
        <v>0.47</v>
      </c>
      <c r="I349">
        <v>-0.09</v>
      </c>
    </row>
    <row r="350" spans="1:9" x14ac:dyDescent="0.3">
      <c r="A350">
        <v>199106</v>
      </c>
      <c r="B350">
        <v>-4.9400000000000004</v>
      </c>
      <c r="C350">
        <v>0.3</v>
      </c>
      <c r="D350">
        <v>1.08</v>
      </c>
      <c r="E350">
        <v>1.75</v>
      </c>
      <c r="F350">
        <v>0.68</v>
      </c>
      <c r="G350">
        <v>0.42</v>
      </c>
      <c r="I350">
        <v>0.42</v>
      </c>
    </row>
    <row r="351" spans="1:9" x14ac:dyDescent="0.3">
      <c r="A351">
        <v>199107</v>
      </c>
      <c r="B351">
        <v>4.24</v>
      </c>
      <c r="C351">
        <v>-1</v>
      </c>
      <c r="D351">
        <v>-1.3</v>
      </c>
      <c r="E351">
        <v>1.6</v>
      </c>
      <c r="F351">
        <v>-1.44</v>
      </c>
      <c r="G351">
        <v>0.49</v>
      </c>
      <c r="I351">
        <v>4.26</v>
      </c>
    </row>
    <row r="352" spans="1:9" x14ac:dyDescent="0.3">
      <c r="A352">
        <v>199108</v>
      </c>
      <c r="B352">
        <v>2.3199999999999998</v>
      </c>
      <c r="C352">
        <v>1.42</v>
      </c>
      <c r="D352">
        <v>-0.79</v>
      </c>
      <c r="E352">
        <v>0.85</v>
      </c>
      <c r="F352">
        <v>-0.32</v>
      </c>
      <c r="G352">
        <v>0.46</v>
      </c>
      <c r="I352">
        <v>1.58</v>
      </c>
    </row>
    <row r="353" spans="1:9" x14ac:dyDescent="0.3">
      <c r="A353">
        <v>199109</v>
      </c>
      <c r="B353">
        <v>-1.59</v>
      </c>
      <c r="C353">
        <v>1.58</v>
      </c>
      <c r="D353">
        <v>-1.23</v>
      </c>
      <c r="E353">
        <v>-1.77</v>
      </c>
      <c r="F353">
        <v>-0.04</v>
      </c>
      <c r="G353">
        <v>0.46</v>
      </c>
      <c r="I353">
        <v>1.75</v>
      </c>
    </row>
    <row r="354" spans="1:9" x14ac:dyDescent="0.3">
      <c r="A354">
        <v>199110</v>
      </c>
      <c r="B354">
        <v>1.29</v>
      </c>
      <c r="C354">
        <v>0.85</v>
      </c>
      <c r="D354">
        <v>-0.43</v>
      </c>
      <c r="E354">
        <v>-1.65</v>
      </c>
      <c r="F354">
        <v>-0.3</v>
      </c>
      <c r="G354">
        <v>0.42</v>
      </c>
      <c r="I354">
        <v>3.18</v>
      </c>
    </row>
    <row r="355" spans="1:9" x14ac:dyDescent="0.3">
      <c r="A355">
        <v>199111</v>
      </c>
      <c r="B355">
        <v>-4.2</v>
      </c>
      <c r="C355">
        <v>-0.88</v>
      </c>
      <c r="D355">
        <v>-1.77</v>
      </c>
      <c r="E355">
        <v>1.1000000000000001</v>
      </c>
      <c r="F355">
        <v>-0.12</v>
      </c>
      <c r="G355">
        <v>0.39</v>
      </c>
      <c r="I355">
        <v>1.18</v>
      </c>
    </row>
    <row r="356" spans="1:9" x14ac:dyDescent="0.3">
      <c r="A356">
        <v>199112</v>
      </c>
      <c r="B356">
        <v>10.86</v>
      </c>
      <c r="C356">
        <v>-2.41</v>
      </c>
      <c r="D356">
        <v>-4.2300000000000004</v>
      </c>
      <c r="E356">
        <v>3.67</v>
      </c>
      <c r="F356">
        <v>-3.14</v>
      </c>
      <c r="G356">
        <v>0.38</v>
      </c>
      <c r="I356">
        <v>8.2899999999999991</v>
      </c>
    </row>
    <row r="357" spans="1:9" x14ac:dyDescent="0.3">
      <c r="A357">
        <v>199201</v>
      </c>
      <c r="B357">
        <v>-0.59</v>
      </c>
      <c r="C357">
        <v>9.19</v>
      </c>
      <c r="D357">
        <v>4.67</v>
      </c>
      <c r="E357">
        <v>-1.17</v>
      </c>
      <c r="F357">
        <v>3.25</v>
      </c>
      <c r="G357">
        <v>0.34</v>
      </c>
      <c r="I357">
        <v>-2.5</v>
      </c>
    </row>
    <row r="358" spans="1:9" x14ac:dyDescent="0.3">
      <c r="A358">
        <v>199202</v>
      </c>
      <c r="B358">
        <v>1.0900000000000001</v>
      </c>
      <c r="C358">
        <v>1.3</v>
      </c>
      <c r="D358">
        <v>6.51</v>
      </c>
      <c r="E358">
        <v>7.0000000000000007E-2</v>
      </c>
      <c r="F358">
        <v>2.25</v>
      </c>
      <c r="G358">
        <v>0.28000000000000003</v>
      </c>
      <c r="I358">
        <v>-0.7</v>
      </c>
    </row>
    <row r="359" spans="1:9" x14ac:dyDescent="0.3">
      <c r="A359">
        <v>199203</v>
      </c>
      <c r="B359">
        <v>-2.66</v>
      </c>
      <c r="C359">
        <v>-0.89</v>
      </c>
      <c r="D359">
        <v>3.49</v>
      </c>
      <c r="E359">
        <v>-0.06</v>
      </c>
      <c r="F359">
        <v>1.82</v>
      </c>
      <c r="G359">
        <v>0.34</v>
      </c>
      <c r="I359">
        <v>-0.21</v>
      </c>
    </row>
    <row r="360" spans="1:9" x14ac:dyDescent="0.3">
      <c r="A360">
        <v>199204</v>
      </c>
      <c r="B360">
        <v>1.0900000000000001</v>
      </c>
      <c r="C360">
        <v>-5.75</v>
      </c>
      <c r="D360">
        <v>4.3600000000000003</v>
      </c>
      <c r="E360">
        <v>1.65</v>
      </c>
      <c r="F360">
        <v>2.4</v>
      </c>
      <c r="G360">
        <v>0.32</v>
      </c>
      <c r="I360">
        <v>-2.5499999999999998</v>
      </c>
    </row>
    <row r="361" spans="1:9" x14ac:dyDescent="0.3">
      <c r="A361">
        <v>199205</v>
      </c>
      <c r="B361">
        <v>0.3</v>
      </c>
      <c r="C361">
        <v>0.2</v>
      </c>
      <c r="D361">
        <v>1.1100000000000001</v>
      </c>
      <c r="E361">
        <v>-0.91</v>
      </c>
      <c r="F361">
        <v>0.49</v>
      </c>
      <c r="G361">
        <v>0.28000000000000003</v>
      </c>
      <c r="I361">
        <v>0.06</v>
      </c>
    </row>
    <row r="362" spans="1:9" x14ac:dyDescent="0.3">
      <c r="A362">
        <v>199206</v>
      </c>
      <c r="B362">
        <v>-2.33</v>
      </c>
      <c r="C362">
        <v>-2.76</v>
      </c>
      <c r="D362">
        <v>3.24</v>
      </c>
      <c r="E362">
        <v>-0.06</v>
      </c>
      <c r="F362">
        <v>0.95</v>
      </c>
      <c r="G362">
        <v>0.32</v>
      </c>
      <c r="I362">
        <v>-0.56999999999999995</v>
      </c>
    </row>
    <row r="363" spans="1:9" x14ac:dyDescent="0.3">
      <c r="A363">
        <v>199207</v>
      </c>
      <c r="B363">
        <v>3.78</v>
      </c>
      <c r="C363">
        <v>-0.65</v>
      </c>
      <c r="D363">
        <v>-0.51</v>
      </c>
      <c r="E363">
        <v>1.24</v>
      </c>
      <c r="F363">
        <v>-0.97</v>
      </c>
      <c r="G363">
        <v>0.31</v>
      </c>
      <c r="I363">
        <v>1.47</v>
      </c>
    </row>
    <row r="364" spans="1:9" x14ac:dyDescent="0.3">
      <c r="A364">
        <v>199208</v>
      </c>
      <c r="B364">
        <v>-2.38</v>
      </c>
      <c r="C364">
        <v>-0.39</v>
      </c>
      <c r="D364">
        <v>-1.0900000000000001</v>
      </c>
      <c r="E364">
        <v>3.66</v>
      </c>
      <c r="F364">
        <v>-1.64</v>
      </c>
      <c r="G364">
        <v>0.26</v>
      </c>
      <c r="I364">
        <v>-0.47</v>
      </c>
    </row>
    <row r="365" spans="1:9" x14ac:dyDescent="0.3">
      <c r="A365">
        <v>199209</v>
      </c>
      <c r="B365">
        <v>1.19</v>
      </c>
      <c r="C365">
        <v>0.47</v>
      </c>
      <c r="D365">
        <v>-0.19</v>
      </c>
      <c r="E365">
        <v>1.61</v>
      </c>
      <c r="F365">
        <v>-0.68</v>
      </c>
      <c r="G365">
        <v>0.26</v>
      </c>
      <c r="I365">
        <v>1.44</v>
      </c>
    </row>
    <row r="366" spans="1:9" x14ac:dyDescent="0.3">
      <c r="A366">
        <v>199210</v>
      </c>
      <c r="B366">
        <v>1.02</v>
      </c>
      <c r="C366">
        <v>2.09</v>
      </c>
      <c r="D366">
        <v>-1.98</v>
      </c>
      <c r="E366">
        <v>1.19</v>
      </c>
      <c r="F366">
        <v>-0.91</v>
      </c>
      <c r="G366">
        <v>0.23</v>
      </c>
      <c r="I366">
        <v>2.5</v>
      </c>
    </row>
    <row r="367" spans="1:9" x14ac:dyDescent="0.3">
      <c r="A367">
        <v>199211</v>
      </c>
      <c r="B367">
        <v>4.1399999999999997</v>
      </c>
      <c r="C367">
        <v>3.88</v>
      </c>
      <c r="D367">
        <v>-1.52</v>
      </c>
      <c r="E367">
        <v>-0.54</v>
      </c>
      <c r="F367">
        <v>-1.58</v>
      </c>
      <c r="G367">
        <v>0.23</v>
      </c>
      <c r="I367">
        <v>-0.25</v>
      </c>
    </row>
    <row r="368" spans="1:9" x14ac:dyDescent="0.3">
      <c r="A368">
        <v>199212</v>
      </c>
      <c r="B368">
        <v>1.53</v>
      </c>
      <c r="C368">
        <v>1.65</v>
      </c>
      <c r="D368">
        <v>2.64</v>
      </c>
      <c r="E368">
        <v>-0.52</v>
      </c>
      <c r="F368">
        <v>0.83</v>
      </c>
      <c r="G368">
        <v>0.28000000000000003</v>
      </c>
      <c r="I368">
        <v>4.33</v>
      </c>
    </row>
    <row r="369" spans="1:9" x14ac:dyDescent="0.3">
      <c r="A369">
        <v>199301</v>
      </c>
      <c r="B369">
        <v>0.93</v>
      </c>
      <c r="C369">
        <v>1.94</v>
      </c>
      <c r="D369">
        <v>5.9</v>
      </c>
      <c r="E369">
        <v>-1.9</v>
      </c>
      <c r="F369">
        <v>2.94</v>
      </c>
      <c r="G369">
        <v>0.23</v>
      </c>
      <c r="I369">
        <v>4.8499999999999996</v>
      </c>
    </row>
    <row r="370" spans="1:9" x14ac:dyDescent="0.3">
      <c r="A370">
        <v>199302</v>
      </c>
      <c r="B370">
        <v>0.12</v>
      </c>
      <c r="C370">
        <v>-3.37</v>
      </c>
      <c r="D370">
        <v>6.48</v>
      </c>
      <c r="E370">
        <v>-0.47</v>
      </c>
      <c r="F370">
        <v>4.1500000000000004</v>
      </c>
      <c r="G370">
        <v>0.22</v>
      </c>
      <c r="I370">
        <v>3.18</v>
      </c>
    </row>
    <row r="371" spans="1:9" x14ac:dyDescent="0.3">
      <c r="A371">
        <v>199303</v>
      </c>
      <c r="B371">
        <v>2.3199999999999998</v>
      </c>
      <c r="C371">
        <v>0.09</v>
      </c>
      <c r="D371">
        <v>1.26</v>
      </c>
      <c r="E371">
        <v>-0.22</v>
      </c>
      <c r="F371">
        <v>0.82</v>
      </c>
      <c r="G371">
        <v>0.25</v>
      </c>
      <c r="I371">
        <v>3.7</v>
      </c>
    </row>
    <row r="372" spans="1:9" x14ac:dyDescent="0.3">
      <c r="A372">
        <v>199304</v>
      </c>
      <c r="B372">
        <v>-3.05</v>
      </c>
      <c r="C372">
        <v>-0.81</v>
      </c>
      <c r="D372">
        <v>2.5499999999999998</v>
      </c>
      <c r="E372">
        <v>-3.69</v>
      </c>
      <c r="F372">
        <v>1.38</v>
      </c>
      <c r="G372">
        <v>0.24</v>
      </c>
      <c r="I372">
        <v>0.36</v>
      </c>
    </row>
    <row r="373" spans="1:9" x14ac:dyDescent="0.3">
      <c r="A373">
        <v>199305</v>
      </c>
      <c r="B373">
        <v>2.89</v>
      </c>
      <c r="C373">
        <v>1.94</v>
      </c>
      <c r="D373">
        <v>-3.46</v>
      </c>
      <c r="E373">
        <v>-0.14000000000000001</v>
      </c>
      <c r="F373">
        <v>-1.03</v>
      </c>
      <c r="G373">
        <v>0.22</v>
      </c>
      <c r="I373">
        <v>0.21</v>
      </c>
    </row>
    <row r="374" spans="1:9" x14ac:dyDescent="0.3">
      <c r="A374">
        <v>199306</v>
      </c>
      <c r="B374">
        <v>0.3</v>
      </c>
      <c r="C374">
        <v>0.12</v>
      </c>
      <c r="D374">
        <v>2.64</v>
      </c>
      <c r="E374">
        <v>-0.91</v>
      </c>
      <c r="F374">
        <v>1.1599999999999999</v>
      </c>
      <c r="G374">
        <v>0.25</v>
      </c>
      <c r="I374">
        <v>4.57</v>
      </c>
    </row>
    <row r="375" spans="1:9" x14ac:dyDescent="0.3">
      <c r="A375">
        <v>199307</v>
      </c>
      <c r="B375">
        <v>-0.34</v>
      </c>
      <c r="C375">
        <v>0.96</v>
      </c>
      <c r="D375">
        <v>2.87</v>
      </c>
      <c r="E375">
        <v>-1.84</v>
      </c>
      <c r="F375">
        <v>2.0499999999999998</v>
      </c>
      <c r="G375">
        <v>0.24</v>
      </c>
      <c r="I375">
        <v>3.22</v>
      </c>
    </row>
    <row r="376" spans="1:9" x14ac:dyDescent="0.3">
      <c r="A376">
        <v>199308</v>
      </c>
      <c r="B376">
        <v>3.72</v>
      </c>
      <c r="C376">
        <v>0.08</v>
      </c>
      <c r="D376">
        <v>0.18</v>
      </c>
      <c r="E376">
        <v>-1.52</v>
      </c>
      <c r="F376">
        <v>0.04</v>
      </c>
      <c r="G376">
        <v>0.25</v>
      </c>
      <c r="I376">
        <v>2.54</v>
      </c>
    </row>
    <row r="377" spans="1:9" x14ac:dyDescent="0.3">
      <c r="A377">
        <v>199309</v>
      </c>
      <c r="B377">
        <v>-0.12</v>
      </c>
      <c r="C377">
        <v>3.02</v>
      </c>
      <c r="D377">
        <v>-0.24</v>
      </c>
      <c r="E377">
        <v>0.25</v>
      </c>
      <c r="F377">
        <v>-0.19</v>
      </c>
      <c r="G377">
        <v>0.26</v>
      </c>
      <c r="I377">
        <v>3.39</v>
      </c>
    </row>
    <row r="378" spans="1:9" x14ac:dyDescent="0.3">
      <c r="A378">
        <v>199310</v>
      </c>
      <c r="B378">
        <v>1.41</v>
      </c>
      <c r="C378">
        <v>1.86</v>
      </c>
      <c r="D378">
        <v>-2.78</v>
      </c>
      <c r="E378">
        <v>0.61</v>
      </c>
      <c r="F378">
        <v>0.56000000000000005</v>
      </c>
      <c r="G378">
        <v>0.22</v>
      </c>
      <c r="I378">
        <v>-2.67</v>
      </c>
    </row>
    <row r="379" spans="1:9" x14ac:dyDescent="0.3">
      <c r="A379">
        <v>199311</v>
      </c>
      <c r="B379">
        <v>-1.86</v>
      </c>
      <c r="C379">
        <v>-1.31</v>
      </c>
      <c r="D379">
        <v>-0.78</v>
      </c>
      <c r="E379">
        <v>2.19</v>
      </c>
      <c r="F379">
        <v>-1.03</v>
      </c>
      <c r="G379">
        <v>0.25</v>
      </c>
      <c r="I379">
        <v>-4.7699999999999996</v>
      </c>
    </row>
    <row r="380" spans="1:9" x14ac:dyDescent="0.3">
      <c r="A380">
        <v>199312</v>
      </c>
      <c r="B380">
        <v>1.65</v>
      </c>
      <c r="C380">
        <v>1.35</v>
      </c>
      <c r="D380">
        <v>0.25</v>
      </c>
      <c r="E380">
        <v>1.1399999999999999</v>
      </c>
      <c r="F380">
        <v>-0.35</v>
      </c>
      <c r="G380">
        <v>0.23</v>
      </c>
      <c r="I380">
        <v>2.33</v>
      </c>
    </row>
    <row r="381" spans="1:9" x14ac:dyDescent="0.3">
      <c r="A381">
        <v>199401</v>
      </c>
      <c r="B381">
        <v>2.87</v>
      </c>
      <c r="C381">
        <v>-0.05</v>
      </c>
      <c r="D381">
        <v>1.1000000000000001</v>
      </c>
      <c r="E381">
        <v>-1.54</v>
      </c>
      <c r="F381">
        <v>1.39</v>
      </c>
      <c r="G381">
        <v>0.25</v>
      </c>
      <c r="I381">
        <v>0.11</v>
      </c>
    </row>
    <row r="382" spans="1:9" x14ac:dyDescent="0.3">
      <c r="A382">
        <v>199402</v>
      </c>
      <c r="B382">
        <v>-2.5499999999999998</v>
      </c>
      <c r="C382">
        <v>2.62</v>
      </c>
      <c r="D382">
        <v>-1.52</v>
      </c>
      <c r="E382">
        <v>2.08</v>
      </c>
      <c r="F382">
        <v>-0.94</v>
      </c>
      <c r="G382">
        <v>0.21</v>
      </c>
      <c r="I382">
        <v>-0.34</v>
      </c>
    </row>
    <row r="383" spans="1:9" x14ac:dyDescent="0.3">
      <c r="A383">
        <v>199403</v>
      </c>
      <c r="B383">
        <v>-4.79</v>
      </c>
      <c r="C383">
        <v>-1.03</v>
      </c>
      <c r="D383">
        <v>1.67</v>
      </c>
      <c r="E383">
        <v>0.65</v>
      </c>
      <c r="F383">
        <v>1.39</v>
      </c>
      <c r="G383">
        <v>0.27</v>
      </c>
      <c r="I383">
        <v>-1.32</v>
      </c>
    </row>
    <row r="384" spans="1:9" x14ac:dyDescent="0.3">
      <c r="A384">
        <v>199404</v>
      </c>
      <c r="B384">
        <v>0.68</v>
      </c>
      <c r="C384">
        <v>-1</v>
      </c>
      <c r="D384">
        <v>1.66</v>
      </c>
      <c r="E384">
        <v>1.05</v>
      </c>
      <c r="F384">
        <v>1.1399999999999999</v>
      </c>
      <c r="G384">
        <v>0.27</v>
      </c>
      <c r="I384">
        <v>0.33</v>
      </c>
    </row>
    <row r="385" spans="1:9" x14ac:dyDescent="0.3">
      <c r="A385">
        <v>199405</v>
      </c>
      <c r="B385">
        <v>0.57999999999999996</v>
      </c>
      <c r="C385">
        <v>-2.4900000000000002</v>
      </c>
      <c r="D385">
        <v>0.6</v>
      </c>
      <c r="E385">
        <v>0.64</v>
      </c>
      <c r="F385">
        <v>0.6</v>
      </c>
      <c r="G385">
        <v>0.32</v>
      </c>
      <c r="I385">
        <v>-2.0499999999999998</v>
      </c>
    </row>
    <row r="386" spans="1:9" x14ac:dyDescent="0.3">
      <c r="A386">
        <v>199406</v>
      </c>
      <c r="B386">
        <v>-3.04</v>
      </c>
      <c r="C386">
        <v>-0.52</v>
      </c>
      <c r="D386">
        <v>1.77</v>
      </c>
      <c r="E386">
        <v>1.05</v>
      </c>
      <c r="F386">
        <v>1.5</v>
      </c>
      <c r="G386">
        <v>0.31</v>
      </c>
      <c r="I386">
        <v>-0.9</v>
      </c>
    </row>
    <row r="387" spans="1:9" x14ac:dyDescent="0.3">
      <c r="A387">
        <v>199407</v>
      </c>
      <c r="B387">
        <v>2.82</v>
      </c>
      <c r="C387">
        <v>-1.87</v>
      </c>
      <c r="D387">
        <v>0.61</v>
      </c>
      <c r="E387">
        <v>-0.66</v>
      </c>
      <c r="F387">
        <v>0.1</v>
      </c>
      <c r="G387">
        <v>0.28000000000000003</v>
      </c>
      <c r="I387">
        <v>0.11</v>
      </c>
    </row>
    <row r="388" spans="1:9" x14ac:dyDescent="0.3">
      <c r="A388">
        <v>199408</v>
      </c>
      <c r="B388">
        <v>4.0199999999999996</v>
      </c>
      <c r="C388">
        <v>1.44</v>
      </c>
      <c r="D388">
        <v>-2.5499999999999998</v>
      </c>
      <c r="E388">
        <v>0.98</v>
      </c>
      <c r="F388">
        <v>-1.52</v>
      </c>
      <c r="G388">
        <v>0.37</v>
      </c>
      <c r="I388">
        <v>1.54</v>
      </c>
    </row>
    <row r="389" spans="1:9" x14ac:dyDescent="0.3">
      <c r="A389">
        <v>199409</v>
      </c>
      <c r="B389">
        <v>-2.2799999999999998</v>
      </c>
      <c r="C389">
        <v>2.71</v>
      </c>
      <c r="D389">
        <v>-1.81</v>
      </c>
      <c r="E389">
        <v>0.56000000000000005</v>
      </c>
      <c r="F389">
        <v>1.06</v>
      </c>
      <c r="G389">
        <v>0.37</v>
      </c>
      <c r="I389">
        <v>1.32</v>
      </c>
    </row>
    <row r="390" spans="1:9" x14ac:dyDescent="0.3">
      <c r="A390">
        <v>199410</v>
      </c>
      <c r="B390">
        <v>1.35</v>
      </c>
      <c r="C390">
        <v>-2.2200000000000002</v>
      </c>
      <c r="D390">
        <v>-1.66</v>
      </c>
      <c r="E390">
        <v>0.18</v>
      </c>
      <c r="F390">
        <v>-0.73</v>
      </c>
      <c r="G390">
        <v>0.38</v>
      </c>
      <c r="I390">
        <v>1.31</v>
      </c>
    </row>
    <row r="391" spans="1:9" x14ac:dyDescent="0.3">
      <c r="A391">
        <v>199411</v>
      </c>
      <c r="B391">
        <v>-4.03</v>
      </c>
      <c r="C391">
        <v>0.09</v>
      </c>
      <c r="D391">
        <v>-0.73</v>
      </c>
      <c r="E391">
        <v>0.48</v>
      </c>
      <c r="F391">
        <v>-0.53</v>
      </c>
      <c r="G391">
        <v>0.37</v>
      </c>
      <c r="I391">
        <v>-0.12</v>
      </c>
    </row>
    <row r="392" spans="1:9" x14ac:dyDescent="0.3">
      <c r="A392">
        <v>199412</v>
      </c>
      <c r="B392">
        <v>0.86</v>
      </c>
      <c r="C392">
        <v>-0.05</v>
      </c>
      <c r="D392">
        <v>-0.09</v>
      </c>
      <c r="E392">
        <v>0.4</v>
      </c>
      <c r="F392">
        <v>0.36</v>
      </c>
      <c r="G392">
        <v>0.44</v>
      </c>
      <c r="I392">
        <v>3.45</v>
      </c>
    </row>
    <row r="393" spans="1:9" x14ac:dyDescent="0.3">
      <c r="A393">
        <v>199501</v>
      </c>
      <c r="B393">
        <v>1.8</v>
      </c>
      <c r="C393">
        <v>-3.07</v>
      </c>
      <c r="D393">
        <v>2.59</v>
      </c>
      <c r="E393">
        <v>0.15</v>
      </c>
      <c r="F393">
        <v>-0.65</v>
      </c>
      <c r="G393">
        <v>0.42</v>
      </c>
      <c r="I393">
        <v>-1.84</v>
      </c>
    </row>
    <row r="394" spans="1:9" x14ac:dyDescent="0.3">
      <c r="A394">
        <v>199502</v>
      </c>
      <c r="B394">
        <v>3.63</v>
      </c>
      <c r="C394">
        <v>-0.49</v>
      </c>
      <c r="D394">
        <v>0.99</v>
      </c>
      <c r="E394">
        <v>0.61</v>
      </c>
      <c r="F394">
        <v>-0.4</v>
      </c>
      <c r="G394">
        <v>0.4</v>
      </c>
      <c r="I394">
        <v>-0.47</v>
      </c>
    </row>
    <row r="395" spans="1:9" x14ac:dyDescent="0.3">
      <c r="A395">
        <v>199503</v>
      </c>
      <c r="B395">
        <v>2.19</v>
      </c>
      <c r="C395">
        <v>-0.53</v>
      </c>
      <c r="D395">
        <v>-2.13</v>
      </c>
      <c r="E395">
        <v>-0.13</v>
      </c>
      <c r="F395">
        <v>0.23</v>
      </c>
      <c r="G395">
        <v>0.46</v>
      </c>
      <c r="I395">
        <v>0.45</v>
      </c>
    </row>
    <row r="396" spans="1:9" x14ac:dyDescent="0.3">
      <c r="A396">
        <v>199504</v>
      </c>
      <c r="B396">
        <v>2.11</v>
      </c>
      <c r="C396">
        <v>-0.26</v>
      </c>
      <c r="D396">
        <v>1.67</v>
      </c>
      <c r="E396">
        <v>0.43</v>
      </c>
      <c r="F396">
        <v>0.82</v>
      </c>
      <c r="G396">
        <v>0.44</v>
      </c>
      <c r="I396">
        <v>1.8</v>
      </c>
    </row>
    <row r="397" spans="1:9" x14ac:dyDescent="0.3">
      <c r="A397">
        <v>199505</v>
      </c>
      <c r="B397">
        <v>2.9</v>
      </c>
      <c r="C397">
        <v>-2.17</v>
      </c>
      <c r="D397">
        <v>2.2799999999999998</v>
      </c>
      <c r="E397">
        <v>0.41</v>
      </c>
      <c r="F397">
        <v>0.01</v>
      </c>
      <c r="G397">
        <v>0.54</v>
      </c>
      <c r="I397">
        <v>-0.55000000000000004</v>
      </c>
    </row>
    <row r="398" spans="1:9" x14ac:dyDescent="0.3">
      <c r="A398">
        <v>199506</v>
      </c>
      <c r="B398">
        <v>2.72</v>
      </c>
      <c r="C398">
        <v>3.05</v>
      </c>
      <c r="D398">
        <v>-2.54</v>
      </c>
      <c r="E398">
        <v>-0.23</v>
      </c>
      <c r="F398">
        <v>-2.39</v>
      </c>
      <c r="G398">
        <v>0.47</v>
      </c>
      <c r="I398">
        <v>3.01</v>
      </c>
    </row>
    <row r="399" spans="1:9" x14ac:dyDescent="0.3">
      <c r="A399">
        <v>199507</v>
      </c>
      <c r="B399">
        <v>3.71</v>
      </c>
      <c r="C399">
        <v>2.12</v>
      </c>
      <c r="D399">
        <v>-1.58</v>
      </c>
      <c r="E399">
        <v>0.22</v>
      </c>
      <c r="F399">
        <v>-1.58</v>
      </c>
      <c r="G399">
        <v>0.45</v>
      </c>
      <c r="I399">
        <v>2.6</v>
      </c>
    </row>
    <row r="400" spans="1:9" x14ac:dyDescent="0.3">
      <c r="A400">
        <v>199508</v>
      </c>
      <c r="B400">
        <v>0.55000000000000004</v>
      </c>
      <c r="C400">
        <v>1.7</v>
      </c>
      <c r="D400">
        <v>2.68</v>
      </c>
      <c r="E400">
        <v>-1.17</v>
      </c>
      <c r="F400">
        <v>1.49</v>
      </c>
      <c r="G400">
        <v>0.47</v>
      </c>
      <c r="I400">
        <v>0.05</v>
      </c>
    </row>
    <row r="401" spans="1:9" x14ac:dyDescent="0.3">
      <c r="A401">
        <v>199509</v>
      </c>
      <c r="B401">
        <v>3.36</v>
      </c>
      <c r="C401">
        <v>-1.86</v>
      </c>
      <c r="D401">
        <v>-0.11</v>
      </c>
      <c r="E401">
        <v>0.99</v>
      </c>
      <c r="F401">
        <v>0.4</v>
      </c>
      <c r="G401">
        <v>0.43</v>
      </c>
      <c r="I401">
        <v>2.86</v>
      </c>
    </row>
    <row r="402" spans="1:9" x14ac:dyDescent="0.3">
      <c r="A402">
        <v>199510</v>
      </c>
      <c r="B402">
        <v>-1.51</v>
      </c>
      <c r="C402">
        <v>-4.07</v>
      </c>
      <c r="D402">
        <v>-0.49</v>
      </c>
      <c r="E402">
        <v>1.93</v>
      </c>
      <c r="F402">
        <v>-0.1</v>
      </c>
      <c r="G402">
        <v>0.47</v>
      </c>
      <c r="I402">
        <v>4.17</v>
      </c>
    </row>
    <row r="403" spans="1:9" x14ac:dyDescent="0.3">
      <c r="A403">
        <v>199511</v>
      </c>
      <c r="B403">
        <v>3.96</v>
      </c>
      <c r="C403">
        <v>-1.06</v>
      </c>
      <c r="D403">
        <v>0.52</v>
      </c>
      <c r="E403">
        <v>-0.56999999999999995</v>
      </c>
      <c r="F403">
        <v>1</v>
      </c>
      <c r="G403">
        <v>0.42</v>
      </c>
      <c r="I403">
        <v>-0.72</v>
      </c>
    </row>
    <row r="404" spans="1:9" x14ac:dyDescent="0.3">
      <c r="A404">
        <v>199512</v>
      </c>
      <c r="B404">
        <v>1.04</v>
      </c>
      <c r="C404">
        <v>0.65</v>
      </c>
      <c r="D404">
        <v>0.24</v>
      </c>
      <c r="E404">
        <v>-1.44</v>
      </c>
      <c r="F404">
        <v>3.02</v>
      </c>
      <c r="G404">
        <v>0.49</v>
      </c>
      <c r="I404">
        <v>2.48</v>
      </c>
    </row>
    <row r="405" spans="1:9" x14ac:dyDescent="0.3">
      <c r="A405">
        <v>199601</v>
      </c>
      <c r="B405">
        <v>2.2599999999999998</v>
      </c>
      <c r="C405">
        <v>-2.64</v>
      </c>
      <c r="D405">
        <v>0.46</v>
      </c>
      <c r="E405">
        <v>0.26</v>
      </c>
      <c r="F405">
        <v>2.2999999999999998</v>
      </c>
      <c r="G405">
        <v>0.43</v>
      </c>
      <c r="I405">
        <v>0.56999999999999995</v>
      </c>
    </row>
    <row r="406" spans="1:9" x14ac:dyDescent="0.3">
      <c r="A406">
        <v>199602</v>
      </c>
      <c r="B406">
        <v>1.33</v>
      </c>
      <c r="C406">
        <v>1.77</v>
      </c>
      <c r="D406">
        <v>-1.05</v>
      </c>
      <c r="E406">
        <v>0.16</v>
      </c>
      <c r="F406">
        <v>-1.89</v>
      </c>
      <c r="G406">
        <v>0.39</v>
      </c>
      <c r="I406">
        <v>0.56999999999999995</v>
      </c>
    </row>
    <row r="407" spans="1:9" x14ac:dyDescent="0.3">
      <c r="A407">
        <v>199603</v>
      </c>
      <c r="B407">
        <v>0.74</v>
      </c>
      <c r="C407">
        <v>1.56</v>
      </c>
      <c r="D407">
        <v>0.42</v>
      </c>
      <c r="E407">
        <v>1.44</v>
      </c>
      <c r="F407">
        <v>-0.95</v>
      </c>
      <c r="G407">
        <v>0.39</v>
      </c>
      <c r="I407">
        <v>-1.85</v>
      </c>
    </row>
    <row r="408" spans="1:9" x14ac:dyDescent="0.3">
      <c r="A408">
        <v>199604</v>
      </c>
      <c r="B408">
        <v>2.0499999999999998</v>
      </c>
      <c r="C408">
        <v>4.7</v>
      </c>
      <c r="D408">
        <v>-3.97</v>
      </c>
      <c r="E408">
        <v>-0.2</v>
      </c>
      <c r="F408">
        <v>-2.0299999999999998</v>
      </c>
      <c r="G408">
        <v>0.46</v>
      </c>
      <c r="I408">
        <v>-0.94</v>
      </c>
    </row>
    <row r="409" spans="1:9" x14ac:dyDescent="0.3">
      <c r="A409">
        <v>199605</v>
      </c>
      <c r="B409">
        <v>2.36</v>
      </c>
      <c r="C409">
        <v>3.23</v>
      </c>
      <c r="D409">
        <v>-0.9</v>
      </c>
      <c r="E409">
        <v>0.03</v>
      </c>
      <c r="F409">
        <v>-0.33</v>
      </c>
      <c r="G409">
        <v>0.42</v>
      </c>
      <c r="I409">
        <v>1.62</v>
      </c>
    </row>
    <row r="410" spans="1:9" x14ac:dyDescent="0.3">
      <c r="A410">
        <v>199606</v>
      </c>
      <c r="B410">
        <v>-1.1299999999999999</v>
      </c>
      <c r="C410">
        <v>-3.67</v>
      </c>
      <c r="D410">
        <v>2.33</v>
      </c>
      <c r="E410">
        <v>3.5</v>
      </c>
      <c r="F410">
        <v>1.2</v>
      </c>
      <c r="G410">
        <v>0.4</v>
      </c>
      <c r="I410">
        <v>1.02</v>
      </c>
    </row>
    <row r="411" spans="1:9" x14ac:dyDescent="0.3">
      <c r="A411">
        <v>199607</v>
      </c>
      <c r="B411">
        <v>-5.96</v>
      </c>
      <c r="C411">
        <v>-3.78</v>
      </c>
      <c r="D411">
        <v>5.19</v>
      </c>
      <c r="E411">
        <v>2.9</v>
      </c>
      <c r="F411">
        <v>2.68</v>
      </c>
      <c r="G411">
        <v>0.45</v>
      </c>
      <c r="I411">
        <v>-0.15</v>
      </c>
    </row>
    <row r="412" spans="1:9" x14ac:dyDescent="0.3">
      <c r="A412">
        <v>199608</v>
      </c>
      <c r="B412">
        <v>2.77</v>
      </c>
      <c r="C412">
        <v>2.58</v>
      </c>
      <c r="D412">
        <v>-0.82</v>
      </c>
      <c r="E412">
        <v>-0.38</v>
      </c>
      <c r="F412">
        <v>-2.4700000000000002</v>
      </c>
      <c r="G412">
        <v>0.41</v>
      </c>
      <c r="I412">
        <v>-0.02</v>
      </c>
    </row>
    <row r="413" spans="1:9" x14ac:dyDescent="0.3">
      <c r="A413">
        <v>199609</v>
      </c>
      <c r="B413">
        <v>5.01</v>
      </c>
      <c r="C413">
        <v>-1.41</v>
      </c>
      <c r="D413">
        <v>-2.74</v>
      </c>
      <c r="E413">
        <v>1.3</v>
      </c>
      <c r="F413">
        <v>-2.13</v>
      </c>
      <c r="G413">
        <v>0.44</v>
      </c>
      <c r="I413">
        <v>2.67</v>
      </c>
    </row>
    <row r="414" spans="1:9" x14ac:dyDescent="0.3">
      <c r="A414">
        <v>199610</v>
      </c>
      <c r="B414">
        <v>0.87</v>
      </c>
      <c r="C414">
        <v>-3.79</v>
      </c>
      <c r="D414">
        <v>4.88</v>
      </c>
      <c r="E414">
        <v>1.38</v>
      </c>
      <c r="F414">
        <v>2.97</v>
      </c>
      <c r="G414">
        <v>0.42</v>
      </c>
      <c r="I414">
        <v>3.72</v>
      </c>
    </row>
    <row r="415" spans="1:9" x14ac:dyDescent="0.3">
      <c r="A415">
        <v>199611</v>
      </c>
      <c r="B415">
        <v>6.25</v>
      </c>
      <c r="C415">
        <v>-3.82</v>
      </c>
      <c r="D415">
        <v>1.4</v>
      </c>
      <c r="E415">
        <v>2.06</v>
      </c>
      <c r="F415">
        <v>-0.69</v>
      </c>
      <c r="G415">
        <v>0.41</v>
      </c>
      <c r="I415">
        <v>-2.35</v>
      </c>
    </row>
    <row r="416" spans="1:9" x14ac:dyDescent="0.3">
      <c r="A416">
        <v>199612</v>
      </c>
      <c r="B416">
        <v>-1.7</v>
      </c>
      <c r="C416">
        <v>3.19</v>
      </c>
      <c r="D416">
        <v>1.28</v>
      </c>
      <c r="E416">
        <v>0.23</v>
      </c>
      <c r="F416">
        <v>1.49</v>
      </c>
      <c r="G416">
        <v>0.46</v>
      </c>
      <c r="I416">
        <v>0.53</v>
      </c>
    </row>
    <row r="417" spans="1:9" x14ac:dyDescent="0.3">
      <c r="A417">
        <v>199701</v>
      </c>
      <c r="B417">
        <v>4.97</v>
      </c>
      <c r="C417">
        <v>-1.82</v>
      </c>
      <c r="D417">
        <v>-1.44</v>
      </c>
      <c r="E417">
        <v>1.22</v>
      </c>
      <c r="F417">
        <v>-7.0000000000000007E-2</v>
      </c>
      <c r="G417">
        <v>0.45</v>
      </c>
      <c r="I417">
        <v>1.87</v>
      </c>
    </row>
    <row r="418" spans="1:9" x14ac:dyDescent="0.3">
      <c r="A418">
        <v>199702</v>
      </c>
      <c r="B418">
        <v>-0.48</v>
      </c>
      <c r="C418">
        <v>-2.54</v>
      </c>
      <c r="D418">
        <v>5.61</v>
      </c>
      <c r="E418">
        <v>0.72</v>
      </c>
      <c r="F418">
        <v>3.47</v>
      </c>
      <c r="G418">
        <v>0.39</v>
      </c>
      <c r="I418">
        <v>-2.1800000000000002</v>
      </c>
    </row>
    <row r="419" spans="1:9" x14ac:dyDescent="0.3">
      <c r="A419">
        <v>199703</v>
      </c>
      <c r="B419">
        <v>-5.0199999999999996</v>
      </c>
      <c r="C419">
        <v>-0.41</v>
      </c>
      <c r="D419">
        <v>3.39</v>
      </c>
      <c r="E419">
        <v>0.39</v>
      </c>
      <c r="F419">
        <v>1.53</v>
      </c>
      <c r="G419">
        <v>0.43</v>
      </c>
      <c r="I419">
        <v>0.88</v>
      </c>
    </row>
    <row r="420" spans="1:9" x14ac:dyDescent="0.3">
      <c r="A420">
        <v>199704</v>
      </c>
      <c r="B420">
        <v>4.04</v>
      </c>
      <c r="C420">
        <v>-5.7</v>
      </c>
      <c r="D420">
        <v>0</v>
      </c>
      <c r="E420">
        <v>3.36</v>
      </c>
      <c r="F420">
        <v>-1.02</v>
      </c>
      <c r="G420">
        <v>0.43</v>
      </c>
      <c r="I420">
        <v>4.83</v>
      </c>
    </row>
    <row r="421" spans="1:9" x14ac:dyDescent="0.3">
      <c r="A421">
        <v>199705</v>
      </c>
      <c r="B421">
        <v>6.73</v>
      </c>
      <c r="C421">
        <v>4.68</v>
      </c>
      <c r="D421">
        <v>-4.1100000000000003</v>
      </c>
      <c r="E421">
        <v>-1.04</v>
      </c>
      <c r="F421">
        <v>-2.76</v>
      </c>
      <c r="G421">
        <v>0.49</v>
      </c>
      <c r="I421">
        <v>-5.19</v>
      </c>
    </row>
    <row r="422" spans="1:9" x14ac:dyDescent="0.3">
      <c r="A422">
        <v>199706</v>
      </c>
      <c r="B422">
        <v>4.0999999999999996</v>
      </c>
      <c r="C422">
        <v>1.17</v>
      </c>
      <c r="D422">
        <v>1.44</v>
      </c>
      <c r="E422">
        <v>0.56000000000000005</v>
      </c>
      <c r="F422">
        <v>0.45</v>
      </c>
      <c r="G422">
        <v>0.37</v>
      </c>
      <c r="I422">
        <v>2.59</v>
      </c>
    </row>
    <row r="423" spans="1:9" x14ac:dyDescent="0.3">
      <c r="A423">
        <v>199707</v>
      </c>
      <c r="B423">
        <v>7.31</v>
      </c>
      <c r="C423">
        <v>-2.74</v>
      </c>
      <c r="D423">
        <v>0.13</v>
      </c>
      <c r="E423">
        <v>0.18</v>
      </c>
      <c r="F423">
        <v>-2.56</v>
      </c>
      <c r="G423">
        <v>0.43</v>
      </c>
      <c r="I423">
        <v>3.7</v>
      </c>
    </row>
    <row r="424" spans="1:9" x14ac:dyDescent="0.3">
      <c r="A424">
        <v>199708</v>
      </c>
      <c r="B424">
        <v>-4.09</v>
      </c>
      <c r="C424">
        <v>7.5</v>
      </c>
      <c r="D424">
        <v>1.1299999999999999</v>
      </c>
      <c r="E424">
        <v>-1.02</v>
      </c>
      <c r="F424">
        <v>-0.17</v>
      </c>
      <c r="G424">
        <v>0.41</v>
      </c>
      <c r="I424">
        <v>-2.57</v>
      </c>
    </row>
    <row r="425" spans="1:9" x14ac:dyDescent="0.3">
      <c r="A425">
        <v>199709</v>
      </c>
      <c r="B425">
        <v>5.34</v>
      </c>
      <c r="C425">
        <v>2.48</v>
      </c>
      <c r="D425">
        <v>0.24</v>
      </c>
      <c r="E425">
        <v>-1.58</v>
      </c>
      <c r="F425">
        <v>-0.93</v>
      </c>
      <c r="G425">
        <v>0.44</v>
      </c>
      <c r="I425">
        <v>1.46</v>
      </c>
    </row>
    <row r="426" spans="1:9" x14ac:dyDescent="0.3">
      <c r="A426">
        <v>199710</v>
      </c>
      <c r="B426">
        <v>-3.81</v>
      </c>
      <c r="C426">
        <v>-0.56000000000000005</v>
      </c>
      <c r="D426">
        <v>2.33</v>
      </c>
      <c r="E426">
        <v>0.75</v>
      </c>
      <c r="F426">
        <v>2.0099999999999998</v>
      </c>
      <c r="G426">
        <v>0.42</v>
      </c>
      <c r="I426">
        <v>-0.53</v>
      </c>
    </row>
    <row r="427" spans="1:9" x14ac:dyDescent="0.3">
      <c r="A427">
        <v>199711</v>
      </c>
      <c r="B427">
        <v>2.99</v>
      </c>
      <c r="C427">
        <v>-5.01</v>
      </c>
      <c r="D427">
        <v>1.22</v>
      </c>
      <c r="E427">
        <v>3.08</v>
      </c>
      <c r="F427">
        <v>1.73</v>
      </c>
      <c r="G427">
        <v>0.39</v>
      </c>
      <c r="I427">
        <v>0.38</v>
      </c>
    </row>
    <row r="428" spans="1:9" x14ac:dyDescent="0.3">
      <c r="A428">
        <v>199712</v>
      </c>
      <c r="B428">
        <v>1.36</v>
      </c>
      <c r="C428">
        <v>-2.09</v>
      </c>
      <c r="D428">
        <v>3.74</v>
      </c>
      <c r="E428">
        <v>0.64</v>
      </c>
      <c r="F428">
        <v>1.95</v>
      </c>
      <c r="G428">
        <v>0.48</v>
      </c>
      <c r="I428">
        <v>3.91</v>
      </c>
    </row>
    <row r="429" spans="1:9" x14ac:dyDescent="0.3">
      <c r="A429">
        <v>199801</v>
      </c>
      <c r="B429">
        <v>0.14000000000000001</v>
      </c>
      <c r="C429">
        <v>-1.28</v>
      </c>
      <c r="D429">
        <v>-1.68</v>
      </c>
      <c r="E429">
        <v>0.91</v>
      </c>
      <c r="F429">
        <v>-0.62</v>
      </c>
      <c r="G429">
        <v>0.43</v>
      </c>
      <c r="I429">
        <v>0.05</v>
      </c>
    </row>
    <row r="430" spans="1:9" x14ac:dyDescent="0.3">
      <c r="A430">
        <v>199802</v>
      </c>
      <c r="B430">
        <v>7.04</v>
      </c>
      <c r="C430">
        <v>0.05</v>
      </c>
      <c r="D430">
        <v>-0.93</v>
      </c>
      <c r="E430">
        <v>-0.37</v>
      </c>
      <c r="F430">
        <v>-2.58</v>
      </c>
      <c r="G430">
        <v>0.39</v>
      </c>
      <c r="I430">
        <v>-1.19</v>
      </c>
    </row>
    <row r="431" spans="1:9" x14ac:dyDescent="0.3">
      <c r="A431">
        <v>199803</v>
      </c>
      <c r="B431">
        <v>4.76</v>
      </c>
      <c r="C431">
        <v>-0.73</v>
      </c>
      <c r="D431">
        <v>1.38</v>
      </c>
      <c r="E431">
        <v>-0.55000000000000004</v>
      </c>
      <c r="F431">
        <v>-0.23</v>
      </c>
      <c r="G431">
        <v>0.39</v>
      </c>
      <c r="I431">
        <v>2.13</v>
      </c>
    </row>
    <row r="432" spans="1:9" x14ac:dyDescent="0.3">
      <c r="A432">
        <v>199804</v>
      </c>
      <c r="B432">
        <v>0.74</v>
      </c>
      <c r="C432">
        <v>0.01</v>
      </c>
      <c r="D432">
        <v>1.03</v>
      </c>
      <c r="E432">
        <v>-1.68</v>
      </c>
      <c r="F432">
        <v>-0.36</v>
      </c>
      <c r="G432">
        <v>0.43</v>
      </c>
      <c r="I432">
        <v>0.76</v>
      </c>
    </row>
    <row r="433" spans="1:9" x14ac:dyDescent="0.3">
      <c r="A433">
        <v>199805</v>
      </c>
      <c r="B433">
        <v>-3.05</v>
      </c>
      <c r="C433">
        <v>-3</v>
      </c>
      <c r="D433">
        <v>3.41</v>
      </c>
      <c r="E433">
        <v>1.03</v>
      </c>
      <c r="F433">
        <v>2.4700000000000002</v>
      </c>
      <c r="G433">
        <v>0.4</v>
      </c>
      <c r="I433">
        <v>1.91</v>
      </c>
    </row>
    <row r="434" spans="1:9" x14ac:dyDescent="0.3">
      <c r="A434">
        <v>199806</v>
      </c>
      <c r="B434">
        <v>3.21</v>
      </c>
      <c r="C434">
        <v>-3.61</v>
      </c>
      <c r="D434">
        <v>-2.0299999999999998</v>
      </c>
      <c r="E434">
        <v>-0.26</v>
      </c>
      <c r="F434">
        <v>-3.03</v>
      </c>
      <c r="G434">
        <v>0.41</v>
      </c>
      <c r="I434">
        <v>7.26</v>
      </c>
    </row>
    <row r="435" spans="1:9" x14ac:dyDescent="0.3">
      <c r="A435">
        <v>199807</v>
      </c>
      <c r="B435">
        <v>-2.42</v>
      </c>
      <c r="C435">
        <v>-5.2</v>
      </c>
      <c r="D435">
        <v>-1.83</v>
      </c>
      <c r="E435">
        <v>1.64</v>
      </c>
      <c r="F435">
        <v>0.76</v>
      </c>
      <c r="G435">
        <v>0.4</v>
      </c>
      <c r="I435">
        <v>3.79</v>
      </c>
    </row>
    <row r="436" spans="1:9" x14ac:dyDescent="0.3">
      <c r="A436">
        <v>199808</v>
      </c>
      <c r="B436">
        <v>-16.05</v>
      </c>
      <c r="C436">
        <v>-4.97</v>
      </c>
      <c r="D436">
        <v>3.57</v>
      </c>
      <c r="E436">
        <v>3.35</v>
      </c>
      <c r="F436">
        <v>5.78</v>
      </c>
      <c r="G436">
        <v>0.43</v>
      </c>
      <c r="I436">
        <v>1.9</v>
      </c>
    </row>
    <row r="437" spans="1:9" x14ac:dyDescent="0.3">
      <c r="A437">
        <v>199809</v>
      </c>
      <c r="B437">
        <v>6.19</v>
      </c>
      <c r="C437">
        <v>-0.89</v>
      </c>
      <c r="D437">
        <v>-3.51</v>
      </c>
      <c r="E437">
        <v>-1.84</v>
      </c>
      <c r="F437">
        <v>-2.84</v>
      </c>
      <c r="G437">
        <v>0.46</v>
      </c>
      <c r="I437">
        <v>-0.65</v>
      </c>
    </row>
    <row r="438" spans="1:9" x14ac:dyDescent="0.3">
      <c r="A438">
        <v>199810</v>
      </c>
      <c r="B438">
        <v>6.98</v>
      </c>
      <c r="C438">
        <v>-3.36</v>
      </c>
      <c r="D438">
        <v>-2.33</v>
      </c>
      <c r="E438">
        <v>0.88</v>
      </c>
      <c r="F438">
        <v>0.18</v>
      </c>
      <c r="G438">
        <v>0.32</v>
      </c>
      <c r="I438">
        <v>-5.33</v>
      </c>
    </row>
    <row r="439" spans="1:9" x14ac:dyDescent="0.3">
      <c r="A439">
        <v>199811</v>
      </c>
      <c r="B439">
        <v>6.07</v>
      </c>
      <c r="C439">
        <v>0.76</v>
      </c>
      <c r="D439">
        <v>-3.24</v>
      </c>
      <c r="E439">
        <v>-0.92</v>
      </c>
      <c r="F439">
        <v>-0.92</v>
      </c>
      <c r="G439">
        <v>0.31</v>
      </c>
      <c r="I439">
        <v>1.1299999999999999</v>
      </c>
    </row>
    <row r="440" spans="1:9" x14ac:dyDescent="0.3">
      <c r="A440">
        <v>199812</v>
      </c>
      <c r="B440">
        <v>6.15</v>
      </c>
      <c r="C440">
        <v>-1.5</v>
      </c>
      <c r="D440">
        <v>-4.25</v>
      </c>
      <c r="E440">
        <v>-0.69</v>
      </c>
      <c r="F440">
        <v>-3.26</v>
      </c>
      <c r="G440">
        <v>0.38</v>
      </c>
      <c r="I440">
        <v>8.8699999999999992</v>
      </c>
    </row>
    <row r="441" spans="1:9" x14ac:dyDescent="0.3">
      <c r="A441">
        <v>199901</v>
      </c>
      <c r="B441">
        <v>3.47</v>
      </c>
      <c r="C441">
        <v>-0.82</v>
      </c>
      <c r="D441">
        <v>-4.46</v>
      </c>
      <c r="E441">
        <v>-2.8</v>
      </c>
      <c r="F441">
        <v>-6.41</v>
      </c>
      <c r="G441">
        <v>0.35</v>
      </c>
      <c r="I441">
        <v>2.84</v>
      </c>
    </row>
    <row r="442" spans="1:9" x14ac:dyDescent="0.3">
      <c r="A442">
        <v>199902</v>
      </c>
      <c r="B442">
        <v>-4.08</v>
      </c>
      <c r="C442">
        <v>-5.15</v>
      </c>
      <c r="D442">
        <v>1.95</v>
      </c>
      <c r="E442">
        <v>-1.23</v>
      </c>
      <c r="F442">
        <v>4.08</v>
      </c>
      <c r="G442">
        <v>0.35</v>
      </c>
      <c r="I442">
        <v>-0.14000000000000001</v>
      </c>
    </row>
    <row r="443" spans="1:9" x14ac:dyDescent="0.3">
      <c r="A443">
        <v>199903</v>
      </c>
      <c r="B443">
        <v>3.48</v>
      </c>
      <c r="C443">
        <v>-4.37</v>
      </c>
      <c r="D443">
        <v>-2.61</v>
      </c>
      <c r="E443">
        <v>-4.05</v>
      </c>
      <c r="F443">
        <v>-1.07</v>
      </c>
      <c r="G443">
        <v>0.43</v>
      </c>
      <c r="I443">
        <v>-1.21</v>
      </c>
    </row>
    <row r="444" spans="1:9" x14ac:dyDescent="0.3">
      <c r="A444">
        <v>199904</v>
      </c>
      <c r="B444">
        <v>4.34</v>
      </c>
      <c r="C444">
        <v>4.5199999999999996</v>
      </c>
      <c r="D444">
        <v>2.4</v>
      </c>
      <c r="E444">
        <v>-2.4700000000000002</v>
      </c>
      <c r="F444">
        <v>0.84</v>
      </c>
      <c r="G444">
        <v>0.37</v>
      </c>
      <c r="I444">
        <v>-8.98</v>
      </c>
    </row>
    <row r="445" spans="1:9" x14ac:dyDescent="0.3">
      <c r="A445">
        <v>199905</v>
      </c>
      <c r="B445">
        <v>-2.46</v>
      </c>
      <c r="C445">
        <v>3.75</v>
      </c>
      <c r="D445">
        <v>2.4900000000000002</v>
      </c>
      <c r="E445">
        <v>0.95</v>
      </c>
      <c r="F445">
        <v>3.18</v>
      </c>
      <c r="G445">
        <v>0.34</v>
      </c>
      <c r="I445">
        <v>-5.25</v>
      </c>
    </row>
    <row r="446" spans="1:9" x14ac:dyDescent="0.3">
      <c r="A446">
        <v>199906</v>
      </c>
      <c r="B446">
        <v>4.7699999999999996</v>
      </c>
      <c r="C446">
        <v>2.34</v>
      </c>
      <c r="D446">
        <v>-3.22</v>
      </c>
      <c r="E446">
        <v>0.93</v>
      </c>
      <c r="F446">
        <v>-2.91</v>
      </c>
      <c r="G446">
        <v>0.4</v>
      </c>
      <c r="I446">
        <v>4.66</v>
      </c>
    </row>
    <row r="447" spans="1:9" x14ac:dyDescent="0.3">
      <c r="A447">
        <v>199907</v>
      </c>
      <c r="B447">
        <v>-3.49</v>
      </c>
      <c r="C447">
        <v>2.54</v>
      </c>
      <c r="D447">
        <v>-0.18</v>
      </c>
      <c r="E447">
        <v>0.28999999999999998</v>
      </c>
      <c r="F447">
        <v>3.27</v>
      </c>
      <c r="G447">
        <v>0.38</v>
      </c>
      <c r="I447">
        <v>1.7</v>
      </c>
    </row>
    <row r="448" spans="1:9" x14ac:dyDescent="0.3">
      <c r="A448">
        <v>199908</v>
      </c>
      <c r="B448">
        <v>-1.37</v>
      </c>
      <c r="C448">
        <v>-1.67</v>
      </c>
      <c r="D448">
        <v>-1.93</v>
      </c>
      <c r="E448">
        <v>-0.24</v>
      </c>
      <c r="F448">
        <v>0.72</v>
      </c>
      <c r="G448">
        <v>0.39</v>
      </c>
      <c r="I448">
        <v>2.98</v>
      </c>
    </row>
    <row r="449" spans="1:9" x14ac:dyDescent="0.3">
      <c r="A449">
        <v>199909</v>
      </c>
      <c r="B449">
        <v>-2.77</v>
      </c>
      <c r="C449">
        <v>2.48</v>
      </c>
      <c r="D449">
        <v>-2.9</v>
      </c>
      <c r="E449">
        <v>-0.96</v>
      </c>
      <c r="F449">
        <v>-0.99</v>
      </c>
      <c r="G449">
        <v>0.39</v>
      </c>
      <c r="I449">
        <v>6.38</v>
      </c>
    </row>
    <row r="450" spans="1:9" x14ac:dyDescent="0.3">
      <c r="A450">
        <v>199910</v>
      </c>
      <c r="B450">
        <v>6.09</v>
      </c>
      <c r="C450">
        <v>-7.13</v>
      </c>
      <c r="D450">
        <v>-2.88</v>
      </c>
      <c r="E450">
        <v>-1.75</v>
      </c>
      <c r="F450">
        <v>-0.87</v>
      </c>
      <c r="G450">
        <v>0.39</v>
      </c>
      <c r="I450">
        <v>5.45</v>
      </c>
    </row>
    <row r="451" spans="1:9" x14ac:dyDescent="0.3">
      <c r="A451">
        <v>199911</v>
      </c>
      <c r="B451">
        <v>3.41</v>
      </c>
      <c r="C451">
        <v>5.69</v>
      </c>
      <c r="D451">
        <v>-5.65</v>
      </c>
      <c r="E451">
        <v>-4.18</v>
      </c>
      <c r="F451">
        <v>-1.84</v>
      </c>
      <c r="G451">
        <v>0.36</v>
      </c>
      <c r="I451">
        <v>5.49</v>
      </c>
    </row>
    <row r="452" spans="1:9" x14ac:dyDescent="0.3">
      <c r="A452">
        <v>199912</v>
      </c>
      <c r="B452">
        <v>7.66</v>
      </c>
      <c r="C452">
        <v>5.0999999999999996</v>
      </c>
      <c r="D452">
        <v>-7.66</v>
      </c>
      <c r="E452">
        <v>-8</v>
      </c>
      <c r="F452">
        <v>-5.87</v>
      </c>
      <c r="G452">
        <v>0.44</v>
      </c>
      <c r="I452">
        <v>13.14</v>
      </c>
    </row>
    <row r="453" spans="1:9" x14ac:dyDescent="0.3">
      <c r="A453">
        <v>200001</v>
      </c>
      <c r="B453">
        <v>-4.74</v>
      </c>
      <c r="C453">
        <v>4.21</v>
      </c>
      <c r="D453">
        <v>-1.1200000000000001</v>
      </c>
      <c r="E453">
        <v>-6.15</v>
      </c>
      <c r="F453">
        <v>4.5599999999999996</v>
      </c>
      <c r="G453">
        <v>0.41</v>
      </c>
      <c r="I453">
        <v>1.86</v>
      </c>
    </row>
    <row r="454" spans="1:9" x14ac:dyDescent="0.3">
      <c r="A454">
        <v>200002</v>
      </c>
      <c r="B454">
        <v>2.4500000000000002</v>
      </c>
      <c r="C454">
        <v>18.46</v>
      </c>
      <c r="D454">
        <v>-9.77</v>
      </c>
      <c r="E454">
        <v>-18.95</v>
      </c>
      <c r="F454">
        <v>-1.1299999999999999</v>
      </c>
      <c r="G454">
        <v>0.43</v>
      </c>
      <c r="I454">
        <v>18.02</v>
      </c>
    </row>
    <row r="455" spans="1:9" x14ac:dyDescent="0.3">
      <c r="A455">
        <v>200003</v>
      </c>
      <c r="B455">
        <v>5.21</v>
      </c>
      <c r="C455">
        <v>-15.54</v>
      </c>
      <c r="D455">
        <v>8.5</v>
      </c>
      <c r="E455">
        <v>11.65</v>
      </c>
      <c r="F455">
        <v>-1.2</v>
      </c>
      <c r="G455">
        <v>0.47</v>
      </c>
      <c r="I455">
        <v>-6.85</v>
      </c>
    </row>
    <row r="456" spans="1:9" x14ac:dyDescent="0.3">
      <c r="A456">
        <v>200004</v>
      </c>
      <c r="B456">
        <v>-6.35</v>
      </c>
      <c r="C456">
        <v>-4.75</v>
      </c>
      <c r="D456">
        <v>6.45</v>
      </c>
      <c r="E456">
        <v>8.07</v>
      </c>
      <c r="F456">
        <v>5.63</v>
      </c>
      <c r="G456">
        <v>0.46</v>
      </c>
      <c r="I456">
        <v>-8.6</v>
      </c>
    </row>
    <row r="457" spans="1:9" x14ac:dyDescent="0.3">
      <c r="A457">
        <v>200005</v>
      </c>
      <c r="B457">
        <v>-4.3899999999999997</v>
      </c>
      <c r="C457">
        <v>-3.86</v>
      </c>
      <c r="D457">
        <v>4.59</v>
      </c>
      <c r="E457">
        <v>4.05</v>
      </c>
      <c r="F457">
        <v>1.47</v>
      </c>
      <c r="G457">
        <v>0.5</v>
      </c>
      <c r="I457">
        <v>-8.99</v>
      </c>
    </row>
    <row r="458" spans="1:9" x14ac:dyDescent="0.3">
      <c r="A458">
        <v>200006</v>
      </c>
      <c r="B458">
        <v>4.68</v>
      </c>
      <c r="C458">
        <v>9.9499999999999993</v>
      </c>
      <c r="D458">
        <v>-8.0399999999999991</v>
      </c>
      <c r="E458">
        <v>-8.31</v>
      </c>
      <c r="F458">
        <v>-3.17</v>
      </c>
      <c r="G458">
        <v>0.4</v>
      </c>
      <c r="I458">
        <v>16.63</v>
      </c>
    </row>
    <row r="459" spans="1:9" x14ac:dyDescent="0.3">
      <c r="A459">
        <v>200007</v>
      </c>
      <c r="B459">
        <v>-2.48</v>
      </c>
      <c r="C459">
        <v>-0.94</v>
      </c>
      <c r="D459">
        <v>8.06</v>
      </c>
      <c r="E459">
        <v>5.72</v>
      </c>
      <c r="F459">
        <v>2.98</v>
      </c>
      <c r="G459">
        <v>0.48</v>
      </c>
      <c r="I459">
        <v>-0.16</v>
      </c>
    </row>
    <row r="460" spans="1:9" x14ac:dyDescent="0.3">
      <c r="A460">
        <v>200008</v>
      </c>
      <c r="B460">
        <v>7.03</v>
      </c>
      <c r="C460">
        <v>-0.95</v>
      </c>
      <c r="D460">
        <v>-1.37</v>
      </c>
      <c r="E460">
        <v>-3.06</v>
      </c>
      <c r="F460">
        <v>1.21</v>
      </c>
      <c r="G460">
        <v>0.5</v>
      </c>
      <c r="I460">
        <v>5.59</v>
      </c>
    </row>
    <row r="461" spans="1:9" x14ac:dyDescent="0.3">
      <c r="A461">
        <v>200009</v>
      </c>
      <c r="B461">
        <v>-5.44</v>
      </c>
      <c r="C461">
        <v>0.27</v>
      </c>
      <c r="D461">
        <v>7.24</v>
      </c>
      <c r="E461">
        <v>2.7</v>
      </c>
      <c r="F461">
        <v>5.54</v>
      </c>
      <c r="G461">
        <v>0.51</v>
      </c>
      <c r="I461">
        <v>1.89</v>
      </c>
    </row>
    <row r="462" spans="1:9" x14ac:dyDescent="0.3">
      <c r="A462">
        <v>200010</v>
      </c>
      <c r="B462">
        <v>-2.78</v>
      </c>
      <c r="C462">
        <v>-2.58</v>
      </c>
      <c r="D462">
        <v>5.58</v>
      </c>
      <c r="E462">
        <v>9.5399999999999991</v>
      </c>
      <c r="F462">
        <v>3.71</v>
      </c>
      <c r="G462">
        <v>0.56000000000000005</v>
      </c>
      <c r="I462">
        <v>-4.5599999999999996</v>
      </c>
    </row>
    <row r="463" spans="1:9" x14ac:dyDescent="0.3">
      <c r="A463">
        <v>200011</v>
      </c>
      <c r="B463">
        <v>-10.7</v>
      </c>
      <c r="C463">
        <v>-0.35</v>
      </c>
      <c r="D463">
        <v>12.24</v>
      </c>
      <c r="E463">
        <v>13.05</v>
      </c>
      <c r="F463">
        <v>8.35</v>
      </c>
      <c r="G463">
        <v>0.51</v>
      </c>
      <c r="I463">
        <v>-2.17</v>
      </c>
    </row>
    <row r="464" spans="1:9" x14ac:dyDescent="0.3">
      <c r="A464">
        <v>200012</v>
      </c>
      <c r="B464">
        <v>1.18</v>
      </c>
      <c r="C464">
        <v>3.26</v>
      </c>
      <c r="D464">
        <v>7.55</v>
      </c>
      <c r="E464">
        <v>1.92</v>
      </c>
      <c r="F464">
        <v>4.82</v>
      </c>
      <c r="G464">
        <v>0.5</v>
      </c>
      <c r="I464">
        <v>6.59</v>
      </c>
    </row>
    <row r="465" spans="1:9" x14ac:dyDescent="0.3">
      <c r="A465">
        <v>200101</v>
      </c>
      <c r="B465">
        <v>3.25</v>
      </c>
      <c r="C465">
        <v>5.23</v>
      </c>
      <c r="D465">
        <v>-5.05</v>
      </c>
      <c r="E465">
        <v>-5.2</v>
      </c>
      <c r="F465">
        <v>-5.21</v>
      </c>
      <c r="G465">
        <v>0.54</v>
      </c>
      <c r="I465">
        <v>-25.35</v>
      </c>
    </row>
    <row r="466" spans="1:9" x14ac:dyDescent="0.3">
      <c r="A466">
        <v>200102</v>
      </c>
      <c r="B466">
        <v>-10.029999999999999</v>
      </c>
      <c r="C466">
        <v>2.87</v>
      </c>
      <c r="D466">
        <v>12.23</v>
      </c>
      <c r="E466">
        <v>9.1199999999999992</v>
      </c>
      <c r="F466">
        <v>9.01</v>
      </c>
      <c r="G466">
        <v>0.38</v>
      </c>
      <c r="I466">
        <v>12.6</v>
      </c>
    </row>
    <row r="467" spans="1:9" x14ac:dyDescent="0.3">
      <c r="A467">
        <v>200103</v>
      </c>
      <c r="B467">
        <v>-7.25</v>
      </c>
      <c r="C467">
        <v>2.33</v>
      </c>
      <c r="D467">
        <v>6.47</v>
      </c>
      <c r="E467">
        <v>3.34</v>
      </c>
      <c r="F467">
        <v>3.72</v>
      </c>
      <c r="G467">
        <v>0.42</v>
      </c>
      <c r="I467">
        <v>8.65</v>
      </c>
    </row>
    <row r="468" spans="1:9" x14ac:dyDescent="0.3">
      <c r="A468">
        <v>200104</v>
      </c>
      <c r="B468">
        <v>7.94</v>
      </c>
      <c r="C468">
        <v>-0.88</v>
      </c>
      <c r="D468">
        <v>-4.6399999999999997</v>
      </c>
      <c r="E468">
        <v>-3.18</v>
      </c>
      <c r="F468">
        <v>-3.19</v>
      </c>
      <c r="G468">
        <v>0.39</v>
      </c>
      <c r="I468">
        <v>-8.01</v>
      </c>
    </row>
    <row r="469" spans="1:9" x14ac:dyDescent="0.3">
      <c r="A469">
        <v>200105</v>
      </c>
      <c r="B469">
        <v>0.68</v>
      </c>
      <c r="C469">
        <v>3.55</v>
      </c>
      <c r="D469">
        <v>3.38</v>
      </c>
      <c r="E469">
        <v>0.28999999999999998</v>
      </c>
      <c r="F469">
        <v>1.95</v>
      </c>
      <c r="G469">
        <v>0.32</v>
      </c>
      <c r="I469">
        <v>2.15</v>
      </c>
    </row>
    <row r="470" spans="1:9" x14ac:dyDescent="0.3">
      <c r="A470">
        <v>200106</v>
      </c>
      <c r="B470">
        <v>-1.94</v>
      </c>
      <c r="C470">
        <v>6.69</v>
      </c>
      <c r="D470">
        <v>-1.26</v>
      </c>
      <c r="E470">
        <v>1.57</v>
      </c>
      <c r="F470">
        <v>-1.67</v>
      </c>
      <c r="G470">
        <v>0.28000000000000003</v>
      </c>
      <c r="I470">
        <v>0.62</v>
      </c>
    </row>
    <row r="471" spans="1:9" x14ac:dyDescent="0.3">
      <c r="A471">
        <v>200107</v>
      </c>
      <c r="B471">
        <v>-2.13</v>
      </c>
      <c r="C471">
        <v>-2.86</v>
      </c>
      <c r="D471">
        <v>4.95</v>
      </c>
      <c r="E471">
        <v>7.29</v>
      </c>
      <c r="F471">
        <v>2.9</v>
      </c>
      <c r="G471">
        <v>0.3</v>
      </c>
      <c r="I471">
        <v>5.48</v>
      </c>
    </row>
    <row r="472" spans="1:9" x14ac:dyDescent="0.3">
      <c r="A472">
        <v>200108</v>
      </c>
      <c r="B472">
        <v>-6.4</v>
      </c>
      <c r="C472">
        <v>2.54</v>
      </c>
      <c r="D472">
        <v>2.86</v>
      </c>
      <c r="E472">
        <v>3.81</v>
      </c>
      <c r="F472">
        <v>6.53</v>
      </c>
      <c r="G472">
        <v>0.31</v>
      </c>
      <c r="I472">
        <v>5.46</v>
      </c>
    </row>
    <row r="473" spans="1:9" x14ac:dyDescent="0.3">
      <c r="A473">
        <v>200109</v>
      </c>
      <c r="B473">
        <v>-9.24</v>
      </c>
      <c r="C473">
        <v>-5.74</v>
      </c>
      <c r="D473">
        <v>1.52</v>
      </c>
      <c r="E473">
        <v>5.03</v>
      </c>
      <c r="F473">
        <v>3.35</v>
      </c>
      <c r="G473">
        <v>0.28000000000000003</v>
      </c>
      <c r="I473">
        <v>11.38</v>
      </c>
    </row>
    <row r="474" spans="1:9" x14ac:dyDescent="0.3">
      <c r="A474">
        <v>200110</v>
      </c>
      <c r="B474">
        <v>2.48</v>
      </c>
      <c r="C474">
        <v>5.34</v>
      </c>
      <c r="D474">
        <v>-7.31</v>
      </c>
      <c r="E474">
        <v>-2.98</v>
      </c>
      <c r="F474">
        <v>-4.3600000000000003</v>
      </c>
      <c r="G474">
        <v>0.22</v>
      </c>
      <c r="I474">
        <v>-8.32</v>
      </c>
    </row>
    <row r="475" spans="1:9" x14ac:dyDescent="0.3">
      <c r="A475">
        <v>200111</v>
      </c>
      <c r="B475">
        <v>7.53</v>
      </c>
      <c r="C475">
        <v>-0.36</v>
      </c>
      <c r="D475">
        <v>2.17</v>
      </c>
      <c r="E475">
        <v>-3.49</v>
      </c>
      <c r="F475">
        <v>-1.68</v>
      </c>
      <c r="G475">
        <v>0.17</v>
      </c>
      <c r="I475">
        <v>-8.61</v>
      </c>
    </row>
    <row r="476" spans="1:9" x14ac:dyDescent="0.3">
      <c r="A476">
        <v>200112</v>
      </c>
      <c r="B476">
        <v>1.61</v>
      </c>
      <c r="C476">
        <v>5.1100000000000003</v>
      </c>
      <c r="D476">
        <v>0.83</v>
      </c>
      <c r="E476">
        <v>0.26</v>
      </c>
      <c r="F476">
        <v>-0.28000000000000003</v>
      </c>
      <c r="G476">
        <v>0.15</v>
      </c>
      <c r="I476">
        <v>0.02</v>
      </c>
    </row>
    <row r="477" spans="1:9" x14ac:dyDescent="0.3">
      <c r="A477">
        <v>200201</v>
      </c>
      <c r="B477">
        <v>-1.44</v>
      </c>
      <c r="C477">
        <v>1.28</v>
      </c>
      <c r="D477">
        <v>3.42</v>
      </c>
      <c r="E477">
        <v>4.7300000000000004</v>
      </c>
      <c r="F477">
        <v>2.83</v>
      </c>
      <c r="G477">
        <v>0.14000000000000001</v>
      </c>
      <c r="I477">
        <v>3.65</v>
      </c>
    </row>
    <row r="478" spans="1:9" x14ac:dyDescent="0.3">
      <c r="A478">
        <v>200202</v>
      </c>
      <c r="B478">
        <v>-2.2799999999999998</v>
      </c>
      <c r="C478">
        <v>-0.38</v>
      </c>
      <c r="D478">
        <v>2.34</v>
      </c>
      <c r="E478">
        <v>8.0299999999999994</v>
      </c>
      <c r="F478">
        <v>5.0999999999999996</v>
      </c>
      <c r="G478">
        <v>0.13</v>
      </c>
      <c r="I478">
        <v>6.83</v>
      </c>
    </row>
    <row r="479" spans="1:9" x14ac:dyDescent="0.3">
      <c r="A479">
        <v>200203</v>
      </c>
      <c r="B479">
        <v>4.24</v>
      </c>
      <c r="C479">
        <v>4.1500000000000004</v>
      </c>
      <c r="D479">
        <v>1.08</v>
      </c>
      <c r="E479">
        <v>-1.83</v>
      </c>
      <c r="F479">
        <v>0.66</v>
      </c>
      <c r="G479">
        <v>0.13</v>
      </c>
      <c r="I479">
        <v>-1.69</v>
      </c>
    </row>
    <row r="480" spans="1:9" x14ac:dyDescent="0.3">
      <c r="A480">
        <v>200204</v>
      </c>
      <c r="B480">
        <v>-5.21</v>
      </c>
      <c r="C480">
        <v>6.63</v>
      </c>
      <c r="D480">
        <v>4.01</v>
      </c>
      <c r="E480">
        <v>4.59</v>
      </c>
      <c r="F480">
        <v>5.35</v>
      </c>
      <c r="G480">
        <v>0.15</v>
      </c>
      <c r="I480">
        <v>7.7</v>
      </c>
    </row>
    <row r="481" spans="1:9" x14ac:dyDescent="0.3">
      <c r="A481">
        <v>200205</v>
      </c>
      <c r="B481">
        <v>-1.36</v>
      </c>
      <c r="C481">
        <v>-3.07</v>
      </c>
      <c r="D481">
        <v>1.52</v>
      </c>
      <c r="E481">
        <v>2.31</v>
      </c>
      <c r="F481">
        <v>2.5299999999999998</v>
      </c>
      <c r="G481">
        <v>0.14000000000000001</v>
      </c>
      <c r="I481">
        <v>3.09</v>
      </c>
    </row>
    <row r="482" spans="1:9" x14ac:dyDescent="0.3">
      <c r="A482">
        <v>200206</v>
      </c>
      <c r="B482">
        <v>-7.23</v>
      </c>
      <c r="C482">
        <v>3.76</v>
      </c>
      <c r="D482">
        <v>0.37</v>
      </c>
      <c r="E482">
        <v>3.92</v>
      </c>
      <c r="F482">
        <v>2.66</v>
      </c>
      <c r="G482">
        <v>0.13</v>
      </c>
      <c r="I482">
        <v>6.24</v>
      </c>
    </row>
    <row r="483" spans="1:9" x14ac:dyDescent="0.3">
      <c r="A483">
        <v>200207</v>
      </c>
      <c r="B483">
        <v>-8.19</v>
      </c>
      <c r="C483">
        <v>-6.33</v>
      </c>
      <c r="D483">
        <v>-3.51</v>
      </c>
      <c r="E483">
        <v>3.84</v>
      </c>
      <c r="F483">
        <v>-1.1000000000000001</v>
      </c>
      <c r="G483">
        <v>0.15</v>
      </c>
      <c r="I483">
        <v>3.63</v>
      </c>
    </row>
    <row r="484" spans="1:9" x14ac:dyDescent="0.3">
      <c r="A484">
        <v>200208</v>
      </c>
      <c r="B484">
        <v>0.5</v>
      </c>
      <c r="C484">
        <v>-1.28</v>
      </c>
      <c r="D484">
        <v>3.01</v>
      </c>
      <c r="E484">
        <v>1.37</v>
      </c>
      <c r="F484">
        <v>-1.4</v>
      </c>
      <c r="G484">
        <v>0.14000000000000001</v>
      </c>
      <c r="I484">
        <v>1.87</v>
      </c>
    </row>
    <row r="485" spans="1:9" x14ac:dyDescent="0.3">
      <c r="A485">
        <v>200209</v>
      </c>
      <c r="B485">
        <v>-10.34</v>
      </c>
      <c r="C485">
        <v>3.05</v>
      </c>
      <c r="D485">
        <v>1.26</v>
      </c>
      <c r="E485">
        <v>3.29</v>
      </c>
      <c r="F485">
        <v>-2.29</v>
      </c>
      <c r="G485">
        <v>0.14000000000000001</v>
      </c>
      <c r="I485">
        <v>9.18</v>
      </c>
    </row>
    <row r="486" spans="1:9" x14ac:dyDescent="0.3">
      <c r="A486">
        <v>200210</v>
      </c>
      <c r="B486">
        <v>7.84</v>
      </c>
      <c r="C486">
        <v>-4.29</v>
      </c>
      <c r="D486">
        <v>-3.76</v>
      </c>
      <c r="E486">
        <v>-3.16</v>
      </c>
      <c r="F486">
        <v>0.73</v>
      </c>
      <c r="G486">
        <v>0.14000000000000001</v>
      </c>
      <c r="I486">
        <v>-5.58</v>
      </c>
    </row>
    <row r="487" spans="1:9" x14ac:dyDescent="0.3">
      <c r="A487">
        <v>200211</v>
      </c>
      <c r="B487">
        <v>5.96</v>
      </c>
      <c r="C487">
        <v>2.94</v>
      </c>
      <c r="D487">
        <v>-1.1599999999999999</v>
      </c>
      <c r="E487">
        <v>-9.25</v>
      </c>
      <c r="F487">
        <v>5.16</v>
      </c>
      <c r="G487">
        <v>0.12</v>
      </c>
      <c r="I487">
        <v>-16.43</v>
      </c>
    </row>
    <row r="488" spans="1:9" x14ac:dyDescent="0.3">
      <c r="A488">
        <v>200212</v>
      </c>
      <c r="B488">
        <v>-5.76</v>
      </c>
      <c r="C488">
        <v>0.55000000000000004</v>
      </c>
      <c r="D488">
        <v>2.11</v>
      </c>
      <c r="E488">
        <v>6.32</v>
      </c>
      <c r="F488">
        <v>-1.79</v>
      </c>
      <c r="G488">
        <v>0.11</v>
      </c>
      <c r="I488">
        <v>9.7200000000000006</v>
      </c>
    </row>
    <row r="489" spans="1:9" x14ac:dyDescent="0.3">
      <c r="A489">
        <v>200301</v>
      </c>
      <c r="B489">
        <v>-2.57</v>
      </c>
      <c r="C489">
        <v>0.71</v>
      </c>
      <c r="D489">
        <v>-0.79</v>
      </c>
      <c r="E489">
        <v>-0.93</v>
      </c>
      <c r="F489">
        <v>0.69</v>
      </c>
      <c r="G489">
        <v>0.1</v>
      </c>
      <c r="I489">
        <v>1.59</v>
      </c>
    </row>
    <row r="490" spans="1:9" x14ac:dyDescent="0.3">
      <c r="A490">
        <v>200302</v>
      </c>
      <c r="B490">
        <v>-1.88</v>
      </c>
      <c r="C490">
        <v>-0.87</v>
      </c>
      <c r="D490">
        <v>-1.36</v>
      </c>
      <c r="E490">
        <v>0.79</v>
      </c>
      <c r="F490">
        <v>-0.68</v>
      </c>
      <c r="G490">
        <v>0.09</v>
      </c>
      <c r="I490">
        <v>1.21</v>
      </c>
    </row>
    <row r="491" spans="1:9" x14ac:dyDescent="0.3">
      <c r="A491">
        <v>200303</v>
      </c>
      <c r="B491">
        <v>1.0900000000000001</v>
      </c>
      <c r="C491">
        <v>0.77</v>
      </c>
      <c r="D491">
        <v>-2.11</v>
      </c>
      <c r="E491">
        <v>1.68</v>
      </c>
      <c r="F491">
        <v>-0.81</v>
      </c>
      <c r="G491">
        <v>0.1</v>
      </c>
      <c r="I491">
        <v>1.4</v>
      </c>
    </row>
    <row r="492" spans="1:9" x14ac:dyDescent="0.3">
      <c r="A492">
        <v>200304</v>
      </c>
      <c r="B492">
        <v>8.18</v>
      </c>
      <c r="C492">
        <v>1.1399999999999999</v>
      </c>
      <c r="D492">
        <v>1.22</v>
      </c>
      <c r="E492">
        <v>-4.68</v>
      </c>
      <c r="F492">
        <v>0.98</v>
      </c>
      <c r="G492">
        <v>0.1</v>
      </c>
      <c r="I492">
        <v>-9.35</v>
      </c>
    </row>
    <row r="493" spans="1:9" x14ac:dyDescent="0.3">
      <c r="A493">
        <v>200305</v>
      </c>
      <c r="B493">
        <v>6.05</v>
      </c>
      <c r="C493">
        <v>4.78</v>
      </c>
      <c r="D493">
        <v>0.7</v>
      </c>
      <c r="E493">
        <v>-6.94</v>
      </c>
      <c r="F493">
        <v>3.07</v>
      </c>
      <c r="G493">
        <v>0.09</v>
      </c>
      <c r="I493">
        <v>-10.75</v>
      </c>
    </row>
    <row r="494" spans="1:9" x14ac:dyDescent="0.3">
      <c r="A494">
        <v>200306</v>
      </c>
      <c r="B494">
        <v>1.42</v>
      </c>
      <c r="C494">
        <v>1.65</v>
      </c>
      <c r="D494">
        <v>0.14000000000000001</v>
      </c>
      <c r="E494">
        <v>0.44</v>
      </c>
      <c r="F494">
        <v>-0.4</v>
      </c>
      <c r="G494">
        <v>0.1</v>
      </c>
      <c r="I494">
        <v>-1.23</v>
      </c>
    </row>
    <row r="495" spans="1:9" x14ac:dyDescent="0.3">
      <c r="A495">
        <v>200307</v>
      </c>
      <c r="B495">
        <v>2.33</v>
      </c>
      <c r="C495">
        <v>4.4000000000000004</v>
      </c>
      <c r="D495">
        <v>-1.53</v>
      </c>
      <c r="E495">
        <v>-3.89</v>
      </c>
      <c r="F495">
        <v>1.52</v>
      </c>
      <c r="G495">
        <v>7.0000000000000007E-2</v>
      </c>
      <c r="I495">
        <v>-0.3</v>
      </c>
    </row>
    <row r="496" spans="1:9" x14ac:dyDescent="0.3">
      <c r="A496">
        <v>200308</v>
      </c>
      <c r="B496">
        <v>2.33</v>
      </c>
      <c r="C496">
        <v>2.37</v>
      </c>
      <c r="D496">
        <v>1.64</v>
      </c>
      <c r="E496">
        <v>-2.29</v>
      </c>
      <c r="F496">
        <v>2.15</v>
      </c>
      <c r="G496">
        <v>7.0000000000000007E-2</v>
      </c>
      <c r="I496">
        <v>-0.53</v>
      </c>
    </row>
    <row r="497" spans="1:9" x14ac:dyDescent="0.3">
      <c r="A497">
        <v>200309</v>
      </c>
      <c r="B497">
        <v>-1.24</v>
      </c>
      <c r="C497">
        <v>0.56999999999999995</v>
      </c>
      <c r="D497">
        <v>0.14000000000000001</v>
      </c>
      <c r="E497">
        <v>0.9</v>
      </c>
      <c r="F497">
        <v>0.41</v>
      </c>
      <c r="G497">
        <v>0.08</v>
      </c>
      <c r="I497">
        <v>-7.0000000000000007E-2</v>
      </c>
    </row>
    <row r="498" spans="1:9" x14ac:dyDescent="0.3">
      <c r="A498">
        <v>200310</v>
      </c>
      <c r="B498">
        <v>6.08</v>
      </c>
      <c r="C498">
        <v>2.63</v>
      </c>
      <c r="D498">
        <v>2.21</v>
      </c>
      <c r="E498">
        <v>-1.38</v>
      </c>
      <c r="F498">
        <v>1.65</v>
      </c>
      <c r="G498">
        <v>7.0000000000000007E-2</v>
      </c>
      <c r="I498">
        <v>4.01</v>
      </c>
    </row>
    <row r="499" spans="1:9" x14ac:dyDescent="0.3">
      <c r="A499">
        <v>200311</v>
      </c>
      <c r="B499">
        <v>1.35</v>
      </c>
      <c r="C499">
        <v>2.31</v>
      </c>
      <c r="D499">
        <v>1.72</v>
      </c>
      <c r="E499">
        <v>0.21</v>
      </c>
      <c r="F499">
        <v>1.68</v>
      </c>
      <c r="G499">
        <v>7.0000000000000007E-2</v>
      </c>
      <c r="I499">
        <v>1.36</v>
      </c>
    </row>
    <row r="500" spans="1:9" x14ac:dyDescent="0.3">
      <c r="A500">
        <v>200312</v>
      </c>
      <c r="B500">
        <v>4.29</v>
      </c>
      <c r="C500">
        <v>-2.5099999999999998</v>
      </c>
      <c r="D500">
        <v>1.51</v>
      </c>
      <c r="E500">
        <v>0.56999999999999995</v>
      </c>
      <c r="F500">
        <v>0.85</v>
      </c>
      <c r="G500">
        <v>0.08</v>
      </c>
      <c r="I500">
        <v>-5.54</v>
      </c>
    </row>
    <row r="501" spans="1:9" x14ac:dyDescent="0.3">
      <c r="A501">
        <v>200401</v>
      </c>
      <c r="B501">
        <v>2.15</v>
      </c>
      <c r="C501">
        <v>2.46</v>
      </c>
      <c r="D501">
        <v>2.42</v>
      </c>
      <c r="E501">
        <v>-3.6</v>
      </c>
      <c r="F501">
        <v>3.33</v>
      </c>
      <c r="G501">
        <v>7.0000000000000007E-2</v>
      </c>
      <c r="I501">
        <v>2.57</v>
      </c>
    </row>
    <row r="502" spans="1:9" x14ac:dyDescent="0.3">
      <c r="A502">
        <v>200402</v>
      </c>
      <c r="B502">
        <v>1.4</v>
      </c>
      <c r="C502">
        <v>-0.92</v>
      </c>
      <c r="D502">
        <v>0.95</v>
      </c>
      <c r="E502">
        <v>2.13</v>
      </c>
      <c r="F502">
        <v>-1.17</v>
      </c>
      <c r="G502">
        <v>0.06</v>
      </c>
      <c r="I502">
        <v>-1.17</v>
      </c>
    </row>
    <row r="503" spans="1:9" x14ac:dyDescent="0.3">
      <c r="A503">
        <v>200403</v>
      </c>
      <c r="B503">
        <v>-1.32</v>
      </c>
      <c r="C503">
        <v>2.11</v>
      </c>
      <c r="D503">
        <v>0.23</v>
      </c>
      <c r="E503">
        <v>1.65</v>
      </c>
      <c r="F503">
        <v>-0.98</v>
      </c>
      <c r="G503">
        <v>0.09</v>
      </c>
      <c r="I503">
        <v>0.19</v>
      </c>
    </row>
    <row r="504" spans="1:9" x14ac:dyDescent="0.3">
      <c r="A504">
        <v>200404</v>
      </c>
      <c r="B504">
        <v>-1.82</v>
      </c>
      <c r="C504">
        <v>-2.06</v>
      </c>
      <c r="D504">
        <v>-3.23</v>
      </c>
      <c r="E504">
        <v>3.46</v>
      </c>
      <c r="F504">
        <v>-2.83</v>
      </c>
      <c r="G504">
        <v>0.08</v>
      </c>
      <c r="I504">
        <v>-5.34</v>
      </c>
    </row>
    <row r="505" spans="1:9" x14ac:dyDescent="0.3">
      <c r="A505">
        <v>200405</v>
      </c>
      <c r="B505">
        <v>1.18</v>
      </c>
      <c r="C505">
        <v>-0.4</v>
      </c>
      <c r="D505">
        <v>-0.18</v>
      </c>
      <c r="E505">
        <v>-1.17</v>
      </c>
      <c r="F505">
        <v>0.01</v>
      </c>
      <c r="G505">
        <v>0.06</v>
      </c>
      <c r="I505">
        <v>1.49</v>
      </c>
    </row>
    <row r="506" spans="1:9" x14ac:dyDescent="0.3">
      <c r="A506">
        <v>200406</v>
      </c>
      <c r="B506">
        <v>1.86</v>
      </c>
      <c r="C506">
        <v>2.52</v>
      </c>
      <c r="D506">
        <v>1.21</v>
      </c>
      <c r="E506">
        <v>1.1200000000000001</v>
      </c>
      <c r="F506">
        <v>-0.31</v>
      </c>
      <c r="G506">
        <v>0.08</v>
      </c>
      <c r="I506">
        <v>2.08</v>
      </c>
    </row>
    <row r="507" spans="1:9" x14ac:dyDescent="0.3">
      <c r="A507">
        <v>200407</v>
      </c>
      <c r="B507">
        <v>-4.04</v>
      </c>
      <c r="C507">
        <v>-2.92</v>
      </c>
      <c r="D507">
        <v>3.22</v>
      </c>
      <c r="E507">
        <v>5.21</v>
      </c>
      <c r="F507">
        <v>-1.68</v>
      </c>
      <c r="G507">
        <v>0.1</v>
      </c>
      <c r="I507">
        <v>-2.2400000000000002</v>
      </c>
    </row>
    <row r="508" spans="1:9" x14ac:dyDescent="0.3">
      <c r="A508">
        <v>200408</v>
      </c>
      <c r="B508">
        <v>0.08</v>
      </c>
      <c r="C508">
        <v>-1.18</v>
      </c>
      <c r="D508">
        <v>1.08</v>
      </c>
      <c r="E508">
        <v>1.21</v>
      </c>
      <c r="F508">
        <v>-1.35</v>
      </c>
      <c r="G508">
        <v>0.11</v>
      </c>
      <c r="I508">
        <v>-1.55</v>
      </c>
    </row>
    <row r="509" spans="1:9" x14ac:dyDescent="0.3">
      <c r="A509">
        <v>200409</v>
      </c>
      <c r="B509">
        <v>1.6</v>
      </c>
      <c r="C509">
        <v>3.22</v>
      </c>
      <c r="D509">
        <v>-0.05</v>
      </c>
      <c r="E509">
        <v>-1.49</v>
      </c>
      <c r="F509">
        <v>-1.72</v>
      </c>
      <c r="G509">
        <v>0.11</v>
      </c>
      <c r="I509">
        <v>5.48</v>
      </c>
    </row>
    <row r="510" spans="1:9" x14ac:dyDescent="0.3">
      <c r="A510">
        <v>200410</v>
      </c>
      <c r="B510">
        <v>1.42</v>
      </c>
      <c r="C510">
        <v>0.15</v>
      </c>
      <c r="D510">
        <v>-0.26</v>
      </c>
      <c r="E510">
        <v>-0.53</v>
      </c>
      <c r="F510">
        <v>0.41</v>
      </c>
      <c r="G510">
        <v>0.11</v>
      </c>
      <c r="I510">
        <v>-1.43</v>
      </c>
    </row>
    <row r="511" spans="1:9" x14ac:dyDescent="0.3">
      <c r="A511">
        <v>200411</v>
      </c>
      <c r="B511">
        <v>4.53</v>
      </c>
      <c r="C511">
        <v>4.12</v>
      </c>
      <c r="D511">
        <v>1.57</v>
      </c>
      <c r="E511">
        <v>-0.52</v>
      </c>
      <c r="F511">
        <v>-0.18</v>
      </c>
      <c r="G511">
        <v>0.15</v>
      </c>
      <c r="I511">
        <v>3.08</v>
      </c>
    </row>
    <row r="512" spans="1:9" x14ac:dyDescent="0.3">
      <c r="A512">
        <v>200412</v>
      </c>
      <c r="B512">
        <v>3.41</v>
      </c>
      <c r="C512">
        <v>-0.04</v>
      </c>
      <c r="D512">
        <v>-0.23</v>
      </c>
      <c r="E512">
        <v>-1.07</v>
      </c>
      <c r="F512">
        <v>0.39</v>
      </c>
      <c r="G512">
        <v>0.16</v>
      </c>
      <c r="I512">
        <v>-2.85</v>
      </c>
    </row>
    <row r="513" spans="1:9" x14ac:dyDescent="0.3">
      <c r="A513">
        <v>200501</v>
      </c>
      <c r="B513">
        <v>-2.75</v>
      </c>
      <c r="C513">
        <v>-1.1100000000000001</v>
      </c>
      <c r="D513">
        <v>2.06</v>
      </c>
      <c r="E513">
        <v>2.8</v>
      </c>
      <c r="F513">
        <v>-1.41</v>
      </c>
      <c r="G513">
        <v>0.16</v>
      </c>
      <c r="I513">
        <v>2.96</v>
      </c>
    </row>
    <row r="514" spans="1:9" x14ac:dyDescent="0.3">
      <c r="A514">
        <v>200502</v>
      </c>
      <c r="B514">
        <v>1.88</v>
      </c>
      <c r="C514">
        <v>-0.3</v>
      </c>
      <c r="D514">
        <v>1.41</v>
      </c>
      <c r="E514">
        <v>1.32</v>
      </c>
      <c r="F514">
        <v>-0.21</v>
      </c>
      <c r="G514">
        <v>0.16</v>
      </c>
      <c r="I514">
        <v>3.43</v>
      </c>
    </row>
    <row r="515" spans="1:9" x14ac:dyDescent="0.3">
      <c r="A515">
        <v>200503</v>
      </c>
      <c r="B515">
        <v>-1.93</v>
      </c>
      <c r="C515">
        <v>-1.41</v>
      </c>
      <c r="D515">
        <v>2.0699999999999998</v>
      </c>
      <c r="E515">
        <v>0.44</v>
      </c>
      <c r="F515">
        <v>1.34</v>
      </c>
      <c r="G515">
        <v>0.21</v>
      </c>
      <c r="I515">
        <v>0.43</v>
      </c>
    </row>
    <row r="516" spans="1:9" x14ac:dyDescent="0.3">
      <c r="A516">
        <v>200504</v>
      </c>
      <c r="B516">
        <v>-2.6</v>
      </c>
      <c r="C516">
        <v>-3.97</v>
      </c>
      <c r="D516">
        <v>0.05</v>
      </c>
      <c r="E516">
        <v>0.97</v>
      </c>
      <c r="F516">
        <v>-0.85</v>
      </c>
      <c r="G516">
        <v>0.21</v>
      </c>
      <c r="I516">
        <v>-0.68</v>
      </c>
    </row>
    <row r="517" spans="1:9" x14ac:dyDescent="0.3">
      <c r="A517">
        <v>200505</v>
      </c>
      <c r="B517">
        <v>3.65</v>
      </c>
      <c r="C517">
        <v>2.76</v>
      </c>
      <c r="D517">
        <v>-0.57999999999999996</v>
      </c>
      <c r="E517">
        <v>-1.02</v>
      </c>
      <c r="F517">
        <v>0.28000000000000003</v>
      </c>
      <c r="G517">
        <v>0.24</v>
      </c>
      <c r="I517">
        <v>0.37</v>
      </c>
    </row>
    <row r="518" spans="1:9" x14ac:dyDescent="0.3">
      <c r="A518">
        <v>200506</v>
      </c>
      <c r="B518">
        <v>0.57999999999999996</v>
      </c>
      <c r="C518">
        <v>3.26</v>
      </c>
      <c r="D518">
        <v>2.8</v>
      </c>
      <c r="E518">
        <v>0.87</v>
      </c>
      <c r="F518">
        <v>-0.52</v>
      </c>
      <c r="G518">
        <v>0.23</v>
      </c>
      <c r="I518">
        <v>2.0699999999999998</v>
      </c>
    </row>
    <row r="519" spans="1:9" x14ac:dyDescent="0.3">
      <c r="A519">
        <v>200507</v>
      </c>
      <c r="B519">
        <v>3.92</v>
      </c>
      <c r="C519">
        <v>2.76</v>
      </c>
      <c r="D519">
        <v>-0.78</v>
      </c>
      <c r="E519">
        <v>-1.19</v>
      </c>
      <c r="F519">
        <v>-0.78</v>
      </c>
      <c r="G519">
        <v>0.24</v>
      </c>
      <c r="I519">
        <v>0.03</v>
      </c>
    </row>
    <row r="520" spans="1:9" x14ac:dyDescent="0.3">
      <c r="A520">
        <v>200508</v>
      </c>
      <c r="B520">
        <v>-1.2</v>
      </c>
      <c r="C520">
        <v>-0.94</v>
      </c>
      <c r="D520">
        <v>1.34</v>
      </c>
      <c r="E520">
        <v>-1.96</v>
      </c>
      <c r="F520">
        <v>0.38</v>
      </c>
      <c r="G520">
        <v>0.3</v>
      </c>
      <c r="I520">
        <v>2.0699999999999998</v>
      </c>
    </row>
    <row r="521" spans="1:9" x14ac:dyDescent="0.3">
      <c r="A521">
        <v>200509</v>
      </c>
      <c r="B521">
        <v>0.48</v>
      </c>
      <c r="C521">
        <v>-0.31</v>
      </c>
      <c r="D521">
        <v>0.78</v>
      </c>
      <c r="E521">
        <v>0.26</v>
      </c>
      <c r="F521">
        <v>-0.61</v>
      </c>
      <c r="G521">
        <v>0.28999999999999998</v>
      </c>
      <c r="I521">
        <v>3.46</v>
      </c>
    </row>
    <row r="522" spans="1:9" x14ac:dyDescent="0.3">
      <c r="A522">
        <v>200510</v>
      </c>
      <c r="B522">
        <v>-2.04</v>
      </c>
      <c r="C522">
        <v>-1.5</v>
      </c>
      <c r="D522">
        <v>0.43</v>
      </c>
      <c r="E522">
        <v>-0.7</v>
      </c>
      <c r="F522">
        <v>-1.26</v>
      </c>
      <c r="G522">
        <v>0.27</v>
      </c>
      <c r="I522">
        <v>-1.19</v>
      </c>
    </row>
    <row r="523" spans="1:9" x14ac:dyDescent="0.3">
      <c r="A523">
        <v>200511</v>
      </c>
      <c r="B523">
        <v>3.61</v>
      </c>
      <c r="C523">
        <v>0.9</v>
      </c>
      <c r="D523">
        <v>-1.19</v>
      </c>
      <c r="E523">
        <v>-0.79</v>
      </c>
      <c r="F523">
        <v>-1.0900000000000001</v>
      </c>
      <c r="G523">
        <v>0.31</v>
      </c>
      <c r="I523">
        <v>0.34</v>
      </c>
    </row>
    <row r="524" spans="1:9" x14ac:dyDescent="0.3">
      <c r="A524">
        <v>200512</v>
      </c>
      <c r="B524">
        <v>-0.24</v>
      </c>
      <c r="C524">
        <v>-0.25</v>
      </c>
      <c r="D524">
        <v>0.15</v>
      </c>
      <c r="E524">
        <v>0.18</v>
      </c>
      <c r="F524">
        <v>0.2</v>
      </c>
      <c r="G524">
        <v>0.32</v>
      </c>
      <c r="I524">
        <v>0.78</v>
      </c>
    </row>
    <row r="525" spans="1:9" x14ac:dyDescent="0.3">
      <c r="A525">
        <v>200601</v>
      </c>
      <c r="B525">
        <v>3.03</v>
      </c>
      <c r="C525">
        <v>5.83</v>
      </c>
      <c r="D525">
        <v>0.99</v>
      </c>
      <c r="E525">
        <v>-0.66</v>
      </c>
      <c r="F525">
        <v>-0.35</v>
      </c>
      <c r="G525">
        <v>0.35</v>
      </c>
      <c r="I525">
        <v>2.52</v>
      </c>
    </row>
    <row r="526" spans="1:9" x14ac:dyDescent="0.3">
      <c r="A526">
        <v>200602</v>
      </c>
      <c r="B526">
        <v>-0.3</v>
      </c>
      <c r="C526">
        <v>-0.46</v>
      </c>
      <c r="D526">
        <v>-0.31</v>
      </c>
      <c r="E526">
        <v>-0.54</v>
      </c>
      <c r="F526">
        <v>1.98</v>
      </c>
      <c r="G526">
        <v>0.34</v>
      </c>
      <c r="I526">
        <v>-1.78</v>
      </c>
    </row>
    <row r="527" spans="1:9" x14ac:dyDescent="0.3">
      <c r="A527">
        <v>200603</v>
      </c>
      <c r="B527">
        <v>1.47</v>
      </c>
      <c r="C527">
        <v>3.34</v>
      </c>
      <c r="D527">
        <v>0.61</v>
      </c>
      <c r="E527">
        <v>0.03</v>
      </c>
      <c r="F527">
        <v>-0.44</v>
      </c>
      <c r="G527">
        <v>0.37</v>
      </c>
      <c r="I527">
        <v>1.26</v>
      </c>
    </row>
    <row r="528" spans="1:9" x14ac:dyDescent="0.3">
      <c r="A528">
        <v>200604</v>
      </c>
      <c r="B528">
        <v>0.73</v>
      </c>
      <c r="C528">
        <v>-0.79</v>
      </c>
      <c r="D528">
        <v>2.2599999999999998</v>
      </c>
      <c r="E528">
        <v>1.74</v>
      </c>
      <c r="F528">
        <v>-0.13</v>
      </c>
      <c r="G528">
        <v>0.36</v>
      </c>
      <c r="I528">
        <v>0.6</v>
      </c>
    </row>
    <row r="529" spans="1:9" x14ac:dyDescent="0.3">
      <c r="A529">
        <v>200605</v>
      </c>
      <c r="B529">
        <v>-3.56</v>
      </c>
      <c r="C529">
        <v>-2.9</v>
      </c>
      <c r="D529">
        <v>2.38</v>
      </c>
      <c r="E529">
        <v>0.87</v>
      </c>
      <c r="F529">
        <v>1.53</v>
      </c>
      <c r="G529">
        <v>0.43</v>
      </c>
      <c r="I529">
        <v>-3.66</v>
      </c>
    </row>
    <row r="530" spans="1:9" x14ac:dyDescent="0.3">
      <c r="A530">
        <v>200606</v>
      </c>
      <c r="B530">
        <v>-0.34</v>
      </c>
      <c r="C530">
        <v>-0.24</v>
      </c>
      <c r="D530">
        <v>0.85</v>
      </c>
      <c r="E530">
        <v>1.32</v>
      </c>
      <c r="F530">
        <v>-0.13</v>
      </c>
      <c r="G530">
        <v>0.4</v>
      </c>
      <c r="I530">
        <v>1.55</v>
      </c>
    </row>
    <row r="531" spans="1:9" x14ac:dyDescent="0.3">
      <c r="A531">
        <v>200607</v>
      </c>
      <c r="B531">
        <v>-0.77</v>
      </c>
      <c r="C531">
        <v>-3.6</v>
      </c>
      <c r="D531">
        <v>2.62</v>
      </c>
      <c r="E531">
        <v>1.63</v>
      </c>
      <c r="F531">
        <v>0.84</v>
      </c>
      <c r="G531">
        <v>0.4</v>
      </c>
      <c r="I531">
        <v>-2.04</v>
      </c>
    </row>
    <row r="532" spans="1:9" x14ac:dyDescent="0.3">
      <c r="A532">
        <v>200608</v>
      </c>
      <c r="B532">
        <v>2.0299999999999998</v>
      </c>
      <c r="C532">
        <v>0.45</v>
      </c>
      <c r="D532">
        <v>-1.95</v>
      </c>
      <c r="E532">
        <v>-1.81</v>
      </c>
      <c r="F532">
        <v>2.14</v>
      </c>
      <c r="G532">
        <v>0.42</v>
      </c>
      <c r="I532">
        <v>-3.36</v>
      </c>
    </row>
    <row r="533" spans="1:9" x14ac:dyDescent="0.3">
      <c r="A533">
        <v>200609</v>
      </c>
      <c r="B533">
        <v>1.84</v>
      </c>
      <c r="C533">
        <v>-1.39</v>
      </c>
      <c r="D533">
        <v>0.06</v>
      </c>
      <c r="E533">
        <v>0.78</v>
      </c>
      <c r="F533">
        <v>0.46</v>
      </c>
      <c r="G533">
        <v>0.41</v>
      </c>
      <c r="I533">
        <v>-0.98</v>
      </c>
    </row>
    <row r="534" spans="1:9" x14ac:dyDescent="0.3">
      <c r="A534">
        <v>200610</v>
      </c>
      <c r="B534">
        <v>3.22</v>
      </c>
      <c r="C534">
        <v>1.98</v>
      </c>
      <c r="D534">
        <v>-0.33</v>
      </c>
      <c r="E534">
        <v>-0.11</v>
      </c>
      <c r="F534">
        <v>0.32</v>
      </c>
      <c r="G534">
        <v>0.41</v>
      </c>
      <c r="I534">
        <v>-0.25</v>
      </c>
    </row>
    <row r="535" spans="1:9" x14ac:dyDescent="0.3">
      <c r="A535">
        <v>200611</v>
      </c>
      <c r="B535">
        <v>1.7</v>
      </c>
      <c r="C535">
        <v>0.63</v>
      </c>
      <c r="D535">
        <v>0.04</v>
      </c>
      <c r="E535">
        <v>0.2</v>
      </c>
      <c r="F535">
        <v>-0.8</v>
      </c>
      <c r="G535">
        <v>0.42</v>
      </c>
      <c r="I535">
        <v>-1.04</v>
      </c>
    </row>
    <row r="536" spans="1:9" x14ac:dyDescent="0.3">
      <c r="A536">
        <v>200612</v>
      </c>
      <c r="B536">
        <v>0.85</v>
      </c>
      <c r="C536">
        <v>-0.81</v>
      </c>
      <c r="D536">
        <v>2.74</v>
      </c>
      <c r="E536">
        <v>-0.65</v>
      </c>
      <c r="F536">
        <v>1.88</v>
      </c>
      <c r="G536">
        <v>0.4</v>
      </c>
      <c r="I536">
        <v>0.79</v>
      </c>
    </row>
    <row r="537" spans="1:9" x14ac:dyDescent="0.3">
      <c r="A537">
        <v>200701</v>
      </c>
      <c r="B537">
        <v>1.38</v>
      </c>
      <c r="C537">
        <v>0.02</v>
      </c>
      <c r="D537">
        <v>-0.68</v>
      </c>
      <c r="E537">
        <v>0.19</v>
      </c>
      <c r="F537">
        <v>0.4</v>
      </c>
      <c r="G537">
        <v>0.44</v>
      </c>
      <c r="I537">
        <v>0.17</v>
      </c>
    </row>
    <row r="538" spans="1:9" x14ac:dyDescent="0.3">
      <c r="A538">
        <v>200702</v>
      </c>
      <c r="B538">
        <v>-1.96</v>
      </c>
      <c r="C538">
        <v>1.33</v>
      </c>
      <c r="D538">
        <v>-0.08</v>
      </c>
      <c r="E538">
        <v>-0.52</v>
      </c>
      <c r="F538">
        <v>-0.66</v>
      </c>
      <c r="G538">
        <v>0.38</v>
      </c>
      <c r="I538">
        <v>-1.29</v>
      </c>
    </row>
    <row r="539" spans="1:9" x14ac:dyDescent="0.3">
      <c r="A539">
        <v>200703</v>
      </c>
      <c r="B539">
        <v>0.71</v>
      </c>
      <c r="C539">
        <v>0.14000000000000001</v>
      </c>
      <c r="D539">
        <v>-0.88</v>
      </c>
      <c r="E539">
        <v>0.55000000000000004</v>
      </c>
      <c r="F539">
        <v>-0.67</v>
      </c>
      <c r="G539">
        <v>0.43</v>
      </c>
      <c r="I539">
        <v>2.58</v>
      </c>
    </row>
    <row r="540" spans="1:9" x14ac:dyDescent="0.3">
      <c r="A540">
        <v>200704</v>
      </c>
      <c r="B540">
        <v>3.49</v>
      </c>
      <c r="C540">
        <v>-2.08</v>
      </c>
      <c r="D540">
        <v>-1.44</v>
      </c>
      <c r="E540">
        <v>1.18</v>
      </c>
      <c r="F540">
        <v>1.01</v>
      </c>
      <c r="G540">
        <v>0.44</v>
      </c>
      <c r="I540">
        <v>-0.16</v>
      </c>
    </row>
    <row r="541" spans="1:9" x14ac:dyDescent="0.3">
      <c r="A541">
        <v>200705</v>
      </c>
      <c r="B541">
        <v>3.24</v>
      </c>
      <c r="C541">
        <v>0.33</v>
      </c>
      <c r="D541">
        <v>-0.59</v>
      </c>
      <c r="E541">
        <v>1.47</v>
      </c>
      <c r="F541">
        <v>-1.26</v>
      </c>
      <c r="G541">
        <v>0.41</v>
      </c>
      <c r="I541">
        <v>-0.33</v>
      </c>
    </row>
    <row r="542" spans="1:9" x14ac:dyDescent="0.3">
      <c r="A542">
        <v>200706</v>
      </c>
      <c r="B542">
        <v>-1.96</v>
      </c>
      <c r="C542">
        <v>0.7</v>
      </c>
      <c r="D542">
        <v>-1.05</v>
      </c>
      <c r="E542">
        <v>0.49</v>
      </c>
      <c r="F542">
        <v>0.06</v>
      </c>
      <c r="G542">
        <v>0.4</v>
      </c>
      <c r="I542">
        <v>0.52</v>
      </c>
    </row>
    <row r="543" spans="1:9" x14ac:dyDescent="0.3">
      <c r="A543">
        <v>200707</v>
      </c>
      <c r="B543">
        <v>-3.72</v>
      </c>
      <c r="C543">
        <v>-3.05</v>
      </c>
      <c r="D543">
        <v>-3.68</v>
      </c>
      <c r="E543">
        <v>0.26</v>
      </c>
      <c r="F543">
        <v>-1.1599999999999999</v>
      </c>
      <c r="G543">
        <v>0.4</v>
      </c>
      <c r="I543">
        <v>2.84</v>
      </c>
    </row>
    <row r="544" spans="1:9" x14ac:dyDescent="0.3">
      <c r="A544">
        <v>200708</v>
      </c>
      <c r="B544">
        <v>0.94</v>
      </c>
      <c r="C544">
        <v>-0.33</v>
      </c>
      <c r="D544">
        <v>-1.87</v>
      </c>
      <c r="E544">
        <v>-1.27</v>
      </c>
      <c r="F544">
        <v>-0.56999999999999995</v>
      </c>
      <c r="G544">
        <v>0.42</v>
      </c>
      <c r="I544">
        <v>-0.03</v>
      </c>
    </row>
    <row r="545" spans="1:9" x14ac:dyDescent="0.3">
      <c r="A545">
        <v>200709</v>
      </c>
      <c r="B545">
        <v>3.22</v>
      </c>
      <c r="C545">
        <v>-2.44</v>
      </c>
      <c r="D545">
        <v>-2.17</v>
      </c>
      <c r="E545">
        <v>-0.49</v>
      </c>
      <c r="F545">
        <v>-2.94</v>
      </c>
      <c r="G545">
        <v>0.32</v>
      </c>
      <c r="I545">
        <v>4.43</v>
      </c>
    </row>
    <row r="546" spans="1:9" x14ac:dyDescent="0.3">
      <c r="A546">
        <v>200710</v>
      </c>
      <c r="B546">
        <v>1.79</v>
      </c>
      <c r="C546">
        <v>-0.03</v>
      </c>
      <c r="D546">
        <v>-2.87</v>
      </c>
      <c r="E546">
        <v>-0.33</v>
      </c>
      <c r="F546">
        <v>0.06</v>
      </c>
      <c r="G546">
        <v>0.32</v>
      </c>
      <c r="I546">
        <v>5.03</v>
      </c>
    </row>
    <row r="547" spans="1:9" x14ac:dyDescent="0.3">
      <c r="A547">
        <v>200711</v>
      </c>
      <c r="B547">
        <v>-4.8</v>
      </c>
      <c r="C547">
        <v>-2.91</v>
      </c>
      <c r="D547">
        <v>-1.0900000000000001</v>
      </c>
      <c r="E547">
        <v>1.75</v>
      </c>
      <c r="F547">
        <v>-0.36</v>
      </c>
      <c r="G547">
        <v>0.34</v>
      </c>
      <c r="I547">
        <v>1.1200000000000001</v>
      </c>
    </row>
    <row r="548" spans="1:9" x14ac:dyDescent="0.3">
      <c r="A548">
        <v>200712</v>
      </c>
      <c r="B548">
        <v>-0.87</v>
      </c>
      <c r="C548">
        <v>0.18</v>
      </c>
      <c r="D548">
        <v>-0.51</v>
      </c>
      <c r="E548">
        <v>0.9</v>
      </c>
      <c r="F548">
        <v>-1.07</v>
      </c>
      <c r="G548">
        <v>0.27</v>
      </c>
      <c r="I548">
        <v>6.56</v>
      </c>
    </row>
    <row r="549" spans="1:9" x14ac:dyDescent="0.3">
      <c r="A549">
        <v>200801</v>
      </c>
      <c r="B549">
        <v>-6.32</v>
      </c>
      <c r="C549">
        <v>-0.63</v>
      </c>
      <c r="D549">
        <v>4</v>
      </c>
      <c r="E549">
        <v>2.12</v>
      </c>
      <c r="F549">
        <v>2.06</v>
      </c>
      <c r="G549">
        <v>0.21</v>
      </c>
      <c r="I549">
        <v>-7.74</v>
      </c>
    </row>
    <row r="550" spans="1:9" x14ac:dyDescent="0.3">
      <c r="A550">
        <v>200802</v>
      </c>
      <c r="B550">
        <v>-3.09</v>
      </c>
      <c r="C550">
        <v>-0.64</v>
      </c>
      <c r="D550">
        <v>-0.72</v>
      </c>
      <c r="E550">
        <v>1.07</v>
      </c>
      <c r="F550">
        <v>-0.97</v>
      </c>
      <c r="G550">
        <v>0.13</v>
      </c>
      <c r="I550">
        <v>6.13</v>
      </c>
    </row>
    <row r="551" spans="1:9" x14ac:dyDescent="0.3">
      <c r="A551">
        <v>200803</v>
      </c>
      <c r="B551">
        <v>-0.94</v>
      </c>
      <c r="C551">
        <v>0.59</v>
      </c>
      <c r="D551">
        <v>0.31</v>
      </c>
      <c r="E551">
        <v>0.89</v>
      </c>
      <c r="F551">
        <v>0.47</v>
      </c>
      <c r="G551">
        <v>0.17</v>
      </c>
      <c r="I551">
        <v>4.25</v>
      </c>
    </row>
    <row r="552" spans="1:9" x14ac:dyDescent="0.3">
      <c r="A552">
        <v>200804</v>
      </c>
      <c r="B552">
        <v>4.6100000000000003</v>
      </c>
      <c r="C552">
        <v>-1.1599999999999999</v>
      </c>
      <c r="D552">
        <v>-0.96</v>
      </c>
      <c r="E552">
        <v>1.81</v>
      </c>
      <c r="F552">
        <v>-2.56</v>
      </c>
      <c r="G552">
        <v>0.18</v>
      </c>
      <c r="I552">
        <v>-0.33</v>
      </c>
    </row>
    <row r="553" spans="1:9" x14ac:dyDescent="0.3">
      <c r="A553">
        <v>200805</v>
      </c>
      <c r="B553">
        <v>1.87</v>
      </c>
      <c r="C553">
        <v>3.04</v>
      </c>
      <c r="D553">
        <v>-1.5</v>
      </c>
      <c r="E553">
        <v>0.92</v>
      </c>
      <c r="F553">
        <v>0.14000000000000001</v>
      </c>
      <c r="G553">
        <v>0.18</v>
      </c>
      <c r="I553">
        <v>3.39</v>
      </c>
    </row>
    <row r="554" spans="1:9" x14ac:dyDescent="0.3">
      <c r="A554">
        <v>200806</v>
      </c>
      <c r="B554">
        <v>-8.43</v>
      </c>
      <c r="C554">
        <v>1.1599999999999999</v>
      </c>
      <c r="D554">
        <v>-2.5099999999999998</v>
      </c>
      <c r="E554">
        <v>4.9800000000000004</v>
      </c>
      <c r="F554">
        <v>-0.69</v>
      </c>
      <c r="G554">
        <v>0.17</v>
      </c>
      <c r="I554">
        <v>12.71</v>
      </c>
    </row>
    <row r="555" spans="1:9" x14ac:dyDescent="0.3">
      <c r="A555">
        <v>200807</v>
      </c>
      <c r="B555">
        <v>-0.75</v>
      </c>
      <c r="C555">
        <v>3.71</v>
      </c>
      <c r="D555">
        <v>5.2</v>
      </c>
      <c r="E555">
        <v>-1.36</v>
      </c>
      <c r="F555">
        <v>0.99</v>
      </c>
      <c r="G555">
        <v>0.15</v>
      </c>
      <c r="I555">
        <v>-5.0199999999999996</v>
      </c>
    </row>
    <row r="556" spans="1:9" x14ac:dyDescent="0.3">
      <c r="A556">
        <v>200808</v>
      </c>
      <c r="B556">
        <v>1.53</v>
      </c>
      <c r="C556">
        <v>3.28</v>
      </c>
      <c r="D556">
        <v>1.52</v>
      </c>
      <c r="E556">
        <v>1.83</v>
      </c>
      <c r="F556">
        <v>0.66</v>
      </c>
      <c r="G556">
        <v>0.13</v>
      </c>
      <c r="I556">
        <v>-4.4800000000000004</v>
      </c>
    </row>
    <row r="557" spans="1:9" x14ac:dyDescent="0.3">
      <c r="A557">
        <v>200809</v>
      </c>
      <c r="B557">
        <v>-9.35</v>
      </c>
      <c r="C557">
        <v>0.38</v>
      </c>
      <c r="D557">
        <v>5.66</v>
      </c>
      <c r="E557">
        <v>2.4</v>
      </c>
      <c r="F557">
        <v>1.7</v>
      </c>
      <c r="G557">
        <v>0.15</v>
      </c>
      <c r="I557">
        <v>0.86</v>
      </c>
    </row>
    <row r="558" spans="1:9" x14ac:dyDescent="0.3">
      <c r="A558">
        <v>200810</v>
      </c>
      <c r="B558">
        <v>-17.2</v>
      </c>
      <c r="C558">
        <v>-3.06</v>
      </c>
      <c r="D558">
        <v>-1.89</v>
      </c>
      <c r="E558">
        <v>2.73</v>
      </c>
      <c r="F558">
        <v>1.38</v>
      </c>
      <c r="G558">
        <v>0.08</v>
      </c>
      <c r="I558">
        <v>7.87</v>
      </c>
    </row>
    <row r="559" spans="1:9" x14ac:dyDescent="0.3">
      <c r="A559">
        <v>200811</v>
      </c>
      <c r="B559">
        <v>-7.74</v>
      </c>
      <c r="C559">
        <v>-4</v>
      </c>
      <c r="D559">
        <v>-6.21</v>
      </c>
      <c r="E559">
        <v>4.67</v>
      </c>
      <c r="F559">
        <v>2.39</v>
      </c>
      <c r="G559">
        <v>0.03</v>
      </c>
      <c r="I559">
        <v>7.28</v>
      </c>
    </row>
    <row r="560" spans="1:9" x14ac:dyDescent="0.3">
      <c r="A560">
        <v>200812</v>
      </c>
      <c r="B560">
        <v>1.77</v>
      </c>
      <c r="C560">
        <v>3.33</v>
      </c>
      <c r="D560">
        <v>0.05</v>
      </c>
      <c r="E560">
        <v>0.03</v>
      </c>
      <c r="F560">
        <v>-1.52</v>
      </c>
      <c r="G560">
        <v>0</v>
      </c>
      <c r="I560">
        <v>-5.09</v>
      </c>
    </row>
    <row r="561" spans="1:9" x14ac:dyDescent="0.3">
      <c r="A561">
        <v>200901</v>
      </c>
      <c r="B561">
        <v>-8.09</v>
      </c>
      <c r="C561">
        <v>-2.09</v>
      </c>
      <c r="D561">
        <v>-11.02</v>
      </c>
      <c r="E561">
        <v>0</v>
      </c>
      <c r="F561">
        <v>-1.1599999999999999</v>
      </c>
      <c r="G561">
        <v>0</v>
      </c>
      <c r="I561">
        <v>-2.36</v>
      </c>
    </row>
    <row r="562" spans="1:9" x14ac:dyDescent="0.3">
      <c r="A562">
        <v>200902</v>
      </c>
      <c r="B562">
        <v>-10.14</v>
      </c>
      <c r="C562">
        <v>-1.17</v>
      </c>
      <c r="D562">
        <v>-6.6</v>
      </c>
      <c r="E562">
        <v>1.01</v>
      </c>
      <c r="F562">
        <v>-0.62</v>
      </c>
      <c r="G562">
        <v>0.01</v>
      </c>
      <c r="I562">
        <v>4.3600000000000003</v>
      </c>
    </row>
    <row r="563" spans="1:9" x14ac:dyDescent="0.3">
      <c r="A563">
        <v>200903</v>
      </c>
      <c r="B563">
        <v>9.01</v>
      </c>
      <c r="C563">
        <v>0.59</v>
      </c>
      <c r="D563">
        <v>3.48</v>
      </c>
      <c r="E563">
        <v>-2.58</v>
      </c>
      <c r="F563">
        <v>-2</v>
      </c>
      <c r="G563">
        <v>0.02</v>
      </c>
      <c r="I563">
        <v>-11.83</v>
      </c>
    </row>
    <row r="564" spans="1:9" x14ac:dyDescent="0.3">
      <c r="A564">
        <v>200904</v>
      </c>
      <c r="B564">
        <v>10.17</v>
      </c>
      <c r="C564">
        <v>7.14</v>
      </c>
      <c r="D564">
        <v>5.38</v>
      </c>
      <c r="E564">
        <v>1.34</v>
      </c>
      <c r="F564">
        <v>0.5</v>
      </c>
      <c r="G564">
        <v>0.01</v>
      </c>
      <c r="I564">
        <v>-34.340000000000003</v>
      </c>
    </row>
    <row r="565" spans="1:9" x14ac:dyDescent="0.3">
      <c r="A565">
        <v>200905</v>
      </c>
      <c r="B565">
        <v>5.2</v>
      </c>
      <c r="C565">
        <v>-2.2400000000000002</v>
      </c>
      <c r="D565">
        <v>0.41</v>
      </c>
      <c r="E565">
        <v>-0.81</v>
      </c>
      <c r="F565">
        <v>-1.99</v>
      </c>
      <c r="G565">
        <v>0</v>
      </c>
      <c r="I565">
        <v>-12.53</v>
      </c>
    </row>
    <row r="566" spans="1:9" x14ac:dyDescent="0.3">
      <c r="A566">
        <v>200906</v>
      </c>
      <c r="B566">
        <v>0.42</v>
      </c>
      <c r="C566">
        <v>2.27</v>
      </c>
      <c r="D566">
        <v>-2.76</v>
      </c>
      <c r="E566">
        <v>-1.41</v>
      </c>
      <c r="F566">
        <v>-0.37</v>
      </c>
      <c r="G566">
        <v>0.01</v>
      </c>
      <c r="I566">
        <v>5.45</v>
      </c>
    </row>
    <row r="567" spans="1:9" x14ac:dyDescent="0.3">
      <c r="A567">
        <v>200907</v>
      </c>
      <c r="B567">
        <v>7.74</v>
      </c>
      <c r="C567">
        <v>2.31</v>
      </c>
      <c r="D567">
        <v>4.8899999999999997</v>
      </c>
      <c r="E567">
        <v>-0.26</v>
      </c>
      <c r="F567">
        <v>3.08</v>
      </c>
      <c r="G567">
        <v>0.01</v>
      </c>
      <c r="I567">
        <v>-5.54</v>
      </c>
    </row>
    <row r="568" spans="1:9" x14ac:dyDescent="0.3">
      <c r="A568">
        <v>200908</v>
      </c>
      <c r="B568">
        <v>3.33</v>
      </c>
      <c r="C568">
        <v>-0.1</v>
      </c>
      <c r="D568">
        <v>7.6</v>
      </c>
      <c r="E568">
        <v>-2.85</v>
      </c>
      <c r="F568">
        <v>3.3</v>
      </c>
      <c r="G568">
        <v>0.01</v>
      </c>
      <c r="I568">
        <v>-9.1</v>
      </c>
    </row>
    <row r="569" spans="1:9" x14ac:dyDescent="0.3">
      <c r="A569">
        <v>200909</v>
      </c>
      <c r="B569">
        <v>4.08</v>
      </c>
      <c r="C569">
        <v>2.72</v>
      </c>
      <c r="D569">
        <v>1.1499999999999999</v>
      </c>
      <c r="E569">
        <v>1.1499999999999999</v>
      </c>
      <c r="F569">
        <v>0.34</v>
      </c>
      <c r="G569">
        <v>0.01</v>
      </c>
      <c r="I569">
        <v>-4.87</v>
      </c>
    </row>
    <row r="570" spans="1:9" x14ac:dyDescent="0.3">
      <c r="A570">
        <v>200910</v>
      </c>
      <c r="B570">
        <v>-2.5499999999999998</v>
      </c>
      <c r="C570">
        <v>-4.8499999999999996</v>
      </c>
      <c r="D570">
        <v>-4.17</v>
      </c>
      <c r="E570">
        <v>4.22</v>
      </c>
      <c r="F570">
        <v>-1.48</v>
      </c>
      <c r="G570">
        <v>0</v>
      </c>
      <c r="I570">
        <v>2.4900000000000002</v>
      </c>
    </row>
    <row r="571" spans="1:9" x14ac:dyDescent="0.3">
      <c r="A571">
        <v>200911</v>
      </c>
      <c r="B571">
        <v>5.58</v>
      </c>
      <c r="C571">
        <v>-2.76</v>
      </c>
      <c r="D571">
        <v>-0.33</v>
      </c>
      <c r="E571">
        <v>0.9</v>
      </c>
      <c r="F571">
        <v>0</v>
      </c>
      <c r="G571">
        <v>0</v>
      </c>
      <c r="I571">
        <v>0.39</v>
      </c>
    </row>
    <row r="572" spans="1:9" x14ac:dyDescent="0.3">
      <c r="A572">
        <v>200912</v>
      </c>
      <c r="B572">
        <v>2.74</v>
      </c>
      <c r="C572">
        <v>6.14</v>
      </c>
      <c r="D572">
        <v>-0.11</v>
      </c>
      <c r="E572">
        <v>0.71</v>
      </c>
      <c r="F572">
        <v>-0.09</v>
      </c>
      <c r="G572">
        <v>0.01</v>
      </c>
      <c r="I572">
        <v>3</v>
      </c>
    </row>
    <row r="573" spans="1:9" x14ac:dyDescent="0.3">
      <c r="A573">
        <v>201001</v>
      </c>
      <c r="B573">
        <v>-3.35</v>
      </c>
      <c r="C573">
        <v>0.4</v>
      </c>
      <c r="D573">
        <v>0.33</v>
      </c>
      <c r="E573">
        <v>-1.08</v>
      </c>
      <c r="F573">
        <v>0.51</v>
      </c>
      <c r="G573">
        <v>0</v>
      </c>
      <c r="I573">
        <v>-5.33</v>
      </c>
    </row>
    <row r="574" spans="1:9" x14ac:dyDescent="0.3">
      <c r="A574">
        <v>201002</v>
      </c>
      <c r="B574">
        <v>3.39</v>
      </c>
      <c r="C574">
        <v>1.49</v>
      </c>
      <c r="D574">
        <v>3.18</v>
      </c>
      <c r="E574">
        <v>-0.28999999999999998</v>
      </c>
      <c r="F574">
        <v>1.42</v>
      </c>
      <c r="G574">
        <v>0</v>
      </c>
      <c r="I574">
        <v>3.69</v>
      </c>
    </row>
    <row r="575" spans="1:9" x14ac:dyDescent="0.3">
      <c r="A575">
        <v>201003</v>
      </c>
      <c r="B575">
        <v>6.3</v>
      </c>
      <c r="C575">
        <v>1.83</v>
      </c>
      <c r="D575">
        <v>2.19</v>
      </c>
      <c r="E575">
        <v>-0.61</v>
      </c>
      <c r="F575">
        <v>1.74</v>
      </c>
      <c r="G575">
        <v>0.01</v>
      </c>
      <c r="I575">
        <v>3.57</v>
      </c>
    </row>
    <row r="576" spans="1:9" x14ac:dyDescent="0.3">
      <c r="A576">
        <v>201004</v>
      </c>
      <c r="B576">
        <v>2</v>
      </c>
      <c r="C576">
        <v>4.96</v>
      </c>
      <c r="D576">
        <v>2.96</v>
      </c>
      <c r="E576">
        <v>0.61</v>
      </c>
      <c r="F576">
        <v>1.75</v>
      </c>
      <c r="G576">
        <v>0.01</v>
      </c>
      <c r="I576">
        <v>3.16</v>
      </c>
    </row>
    <row r="577" spans="1:9" x14ac:dyDescent="0.3">
      <c r="A577">
        <v>201005</v>
      </c>
      <c r="B577">
        <v>-7.9</v>
      </c>
      <c r="C577">
        <v>0.08</v>
      </c>
      <c r="D577">
        <v>-2.48</v>
      </c>
      <c r="E577">
        <v>1.3</v>
      </c>
      <c r="F577">
        <v>-0.24</v>
      </c>
      <c r="G577">
        <v>0.01</v>
      </c>
      <c r="I577">
        <v>-0.2</v>
      </c>
    </row>
    <row r="578" spans="1:9" x14ac:dyDescent="0.3">
      <c r="A578">
        <v>201006</v>
      </c>
      <c r="B578">
        <v>-5.57</v>
      </c>
      <c r="C578">
        <v>-2.42</v>
      </c>
      <c r="D578">
        <v>-4.7300000000000004</v>
      </c>
      <c r="E578">
        <v>-0.1</v>
      </c>
      <c r="F578">
        <v>-1.58</v>
      </c>
      <c r="G578">
        <v>0.01</v>
      </c>
      <c r="I578">
        <v>-2.7</v>
      </c>
    </row>
    <row r="579" spans="1:9" x14ac:dyDescent="0.3">
      <c r="A579">
        <v>201007</v>
      </c>
      <c r="B579">
        <v>6.92</v>
      </c>
      <c r="C579">
        <v>0.04</v>
      </c>
      <c r="D579">
        <v>-0.5</v>
      </c>
      <c r="E579">
        <v>0.17</v>
      </c>
      <c r="F579">
        <v>2.02</v>
      </c>
      <c r="G579">
        <v>0.01</v>
      </c>
      <c r="I579">
        <v>1.78</v>
      </c>
    </row>
    <row r="580" spans="1:9" x14ac:dyDescent="0.3">
      <c r="A580">
        <v>201008</v>
      </c>
      <c r="B580">
        <v>-4.7699999999999996</v>
      </c>
      <c r="C580">
        <v>-3.06</v>
      </c>
      <c r="D580">
        <v>-1.73</v>
      </c>
      <c r="E580">
        <v>0.6</v>
      </c>
      <c r="F580">
        <v>-1.6</v>
      </c>
      <c r="G580">
        <v>0.01</v>
      </c>
      <c r="I580">
        <v>0.04</v>
      </c>
    </row>
    <row r="581" spans="1:9" x14ac:dyDescent="0.3">
      <c r="A581">
        <v>201009</v>
      </c>
      <c r="B581">
        <v>9.5500000000000007</v>
      </c>
      <c r="C581">
        <v>3.65</v>
      </c>
      <c r="D581">
        <v>-3.02</v>
      </c>
      <c r="E581">
        <v>-0.19</v>
      </c>
      <c r="F581">
        <v>0.38</v>
      </c>
      <c r="G581">
        <v>0.01</v>
      </c>
      <c r="I581">
        <v>1.38</v>
      </c>
    </row>
    <row r="582" spans="1:9" x14ac:dyDescent="0.3">
      <c r="A582">
        <v>201010</v>
      </c>
      <c r="B582">
        <v>3.87</v>
      </c>
      <c r="C582">
        <v>0.73</v>
      </c>
      <c r="D582">
        <v>-2.46</v>
      </c>
      <c r="E582">
        <v>1.28</v>
      </c>
      <c r="F582">
        <v>-0.38</v>
      </c>
      <c r="G582">
        <v>0.01</v>
      </c>
      <c r="I582">
        <v>1.46</v>
      </c>
    </row>
    <row r="583" spans="1:9" x14ac:dyDescent="0.3">
      <c r="A583">
        <v>201011</v>
      </c>
      <c r="B583">
        <v>0.59</v>
      </c>
      <c r="C583">
        <v>3.54</v>
      </c>
      <c r="D583">
        <v>-0.9</v>
      </c>
      <c r="E583">
        <v>0.32</v>
      </c>
      <c r="F583">
        <v>1.79</v>
      </c>
      <c r="G583">
        <v>0.01</v>
      </c>
      <c r="I583">
        <v>2.73</v>
      </c>
    </row>
    <row r="584" spans="1:9" x14ac:dyDescent="0.3">
      <c r="A584">
        <v>201012</v>
      </c>
      <c r="B584">
        <v>6.82</v>
      </c>
      <c r="C584">
        <v>0.97</v>
      </c>
      <c r="D584">
        <v>3.56</v>
      </c>
      <c r="E584">
        <v>-3.42</v>
      </c>
      <c r="F584">
        <v>3.17</v>
      </c>
      <c r="G584">
        <v>0.01</v>
      </c>
      <c r="I584">
        <v>-3</v>
      </c>
    </row>
    <row r="585" spans="1:9" x14ac:dyDescent="0.3">
      <c r="A585">
        <v>201101</v>
      </c>
      <c r="B585">
        <v>1.98</v>
      </c>
      <c r="C585">
        <v>-2.31</v>
      </c>
      <c r="D585">
        <v>0.61</v>
      </c>
      <c r="E585">
        <v>-0.64</v>
      </c>
      <c r="F585">
        <v>0.81</v>
      </c>
      <c r="G585">
        <v>0.01</v>
      </c>
      <c r="I585">
        <v>-0.3</v>
      </c>
    </row>
    <row r="586" spans="1:9" x14ac:dyDescent="0.3">
      <c r="A586">
        <v>201102</v>
      </c>
      <c r="B586">
        <v>3.48</v>
      </c>
      <c r="C586">
        <v>1.65</v>
      </c>
      <c r="D586">
        <v>1.18</v>
      </c>
      <c r="E586">
        <v>-1.83</v>
      </c>
      <c r="F586">
        <v>0.84</v>
      </c>
      <c r="G586">
        <v>0.01</v>
      </c>
      <c r="I586">
        <v>1.88</v>
      </c>
    </row>
    <row r="587" spans="1:9" x14ac:dyDescent="0.3">
      <c r="A587">
        <v>201103</v>
      </c>
      <c r="B587">
        <v>0.46</v>
      </c>
      <c r="C587">
        <v>2.56</v>
      </c>
      <c r="D587">
        <v>-1.84</v>
      </c>
      <c r="E587">
        <v>1.73</v>
      </c>
      <c r="F587">
        <v>-7.0000000000000007E-2</v>
      </c>
      <c r="G587">
        <v>0.01</v>
      </c>
      <c r="I587">
        <v>3.45</v>
      </c>
    </row>
    <row r="588" spans="1:9" x14ac:dyDescent="0.3">
      <c r="A588">
        <v>201104</v>
      </c>
      <c r="B588">
        <v>2.9</v>
      </c>
      <c r="C588">
        <v>-0.53</v>
      </c>
      <c r="D588">
        <v>-2.44</v>
      </c>
      <c r="E588">
        <v>1.1200000000000001</v>
      </c>
      <c r="F588">
        <v>-0.86</v>
      </c>
      <c r="G588">
        <v>0</v>
      </c>
      <c r="I588">
        <v>0.05</v>
      </c>
    </row>
    <row r="589" spans="1:9" x14ac:dyDescent="0.3">
      <c r="A589">
        <v>201105</v>
      </c>
      <c r="B589">
        <v>-1.27</v>
      </c>
      <c r="C589">
        <v>-0.72</v>
      </c>
      <c r="D589">
        <v>-1.85</v>
      </c>
      <c r="E589">
        <v>1.92</v>
      </c>
      <c r="F589">
        <v>-1.43</v>
      </c>
      <c r="G589">
        <v>0</v>
      </c>
      <c r="I589">
        <v>-0.6</v>
      </c>
    </row>
    <row r="590" spans="1:9" x14ac:dyDescent="0.3">
      <c r="A590">
        <v>201106</v>
      </c>
      <c r="B590">
        <v>-1.74</v>
      </c>
      <c r="C590">
        <v>0.06</v>
      </c>
      <c r="D590">
        <v>-0.2</v>
      </c>
      <c r="E590">
        <v>2.27</v>
      </c>
      <c r="F590">
        <v>-1.42</v>
      </c>
      <c r="G590">
        <v>0</v>
      </c>
      <c r="I590">
        <v>1.82</v>
      </c>
    </row>
    <row r="591" spans="1:9" x14ac:dyDescent="0.3">
      <c r="A591">
        <v>201107</v>
      </c>
      <c r="B591">
        <v>-2.35</v>
      </c>
      <c r="C591">
        <v>-1.1100000000000001</v>
      </c>
      <c r="D591">
        <v>-0.91</v>
      </c>
      <c r="E591">
        <v>2.68</v>
      </c>
      <c r="F591">
        <v>-1.73</v>
      </c>
      <c r="G591">
        <v>0</v>
      </c>
      <c r="I591">
        <v>0.2</v>
      </c>
    </row>
    <row r="592" spans="1:9" x14ac:dyDescent="0.3">
      <c r="A592">
        <v>201108</v>
      </c>
      <c r="B592">
        <v>-5.96</v>
      </c>
      <c r="C592">
        <v>-3.09</v>
      </c>
      <c r="D592">
        <v>-2.4300000000000002</v>
      </c>
      <c r="E592">
        <v>3.41</v>
      </c>
      <c r="F592">
        <v>-0.26</v>
      </c>
      <c r="G592">
        <v>0.01</v>
      </c>
      <c r="I592">
        <v>-0.27</v>
      </c>
    </row>
    <row r="593" spans="1:9" x14ac:dyDescent="0.3">
      <c r="A593">
        <v>201109</v>
      </c>
      <c r="B593">
        <v>-7.57</v>
      </c>
      <c r="C593">
        <v>-3.49</v>
      </c>
      <c r="D593">
        <v>-1.53</v>
      </c>
      <c r="E593">
        <v>1.99</v>
      </c>
      <c r="F593">
        <v>0.15</v>
      </c>
      <c r="G593">
        <v>0</v>
      </c>
      <c r="I593">
        <v>-2.4</v>
      </c>
    </row>
    <row r="594" spans="1:9" x14ac:dyDescent="0.3">
      <c r="A594">
        <v>201110</v>
      </c>
      <c r="B594">
        <v>11.34</v>
      </c>
      <c r="C594">
        <v>3.25</v>
      </c>
      <c r="D594">
        <v>0.06</v>
      </c>
      <c r="E594">
        <v>-2.25</v>
      </c>
      <c r="F594">
        <v>-0.73</v>
      </c>
      <c r="G594">
        <v>0</v>
      </c>
      <c r="I594">
        <v>-1.4</v>
      </c>
    </row>
    <row r="595" spans="1:9" x14ac:dyDescent="0.3">
      <c r="A595">
        <v>201111</v>
      </c>
      <c r="B595">
        <v>-0.27</v>
      </c>
      <c r="C595">
        <v>-0.3</v>
      </c>
      <c r="D595">
        <v>-0.52</v>
      </c>
      <c r="E595">
        <v>1.94</v>
      </c>
      <c r="F595">
        <v>1.44</v>
      </c>
      <c r="G595">
        <v>0</v>
      </c>
      <c r="I595">
        <v>3.88</v>
      </c>
    </row>
    <row r="596" spans="1:9" x14ac:dyDescent="0.3">
      <c r="A596">
        <v>201112</v>
      </c>
      <c r="B596">
        <v>0.75</v>
      </c>
      <c r="C596">
        <v>-0.28999999999999998</v>
      </c>
      <c r="D596">
        <v>1.54</v>
      </c>
      <c r="E596">
        <v>1.06</v>
      </c>
      <c r="F596">
        <v>2.4700000000000002</v>
      </c>
      <c r="G596">
        <v>0</v>
      </c>
      <c r="I596">
        <v>1.83</v>
      </c>
    </row>
    <row r="597" spans="1:9" x14ac:dyDescent="0.3">
      <c r="A597">
        <v>201201</v>
      </c>
      <c r="B597">
        <v>5.05</v>
      </c>
      <c r="C597">
        <v>2.02</v>
      </c>
      <c r="D597">
        <v>-0.93</v>
      </c>
      <c r="E597">
        <v>-2.06</v>
      </c>
      <c r="F597">
        <v>-1.48</v>
      </c>
      <c r="G597">
        <v>0</v>
      </c>
      <c r="I597">
        <v>-8.01</v>
      </c>
    </row>
    <row r="598" spans="1:9" x14ac:dyDescent="0.3">
      <c r="A598">
        <v>201202</v>
      </c>
      <c r="B598">
        <v>4.4000000000000004</v>
      </c>
      <c r="C598">
        <v>-1.67</v>
      </c>
      <c r="D598">
        <v>0.42</v>
      </c>
      <c r="E598">
        <v>-0.36</v>
      </c>
      <c r="F598">
        <v>-0.08</v>
      </c>
      <c r="G598">
        <v>0</v>
      </c>
      <c r="I598">
        <v>-0.26</v>
      </c>
    </row>
    <row r="599" spans="1:9" x14ac:dyDescent="0.3">
      <c r="A599">
        <v>201203</v>
      </c>
      <c r="B599">
        <v>3.11</v>
      </c>
      <c r="C599">
        <v>-0.48</v>
      </c>
      <c r="D599">
        <v>1.19</v>
      </c>
      <c r="E599">
        <v>-0.61</v>
      </c>
      <c r="F599">
        <v>0.7</v>
      </c>
      <c r="G599">
        <v>0</v>
      </c>
      <c r="I599">
        <v>1.31</v>
      </c>
    </row>
    <row r="600" spans="1:9" x14ac:dyDescent="0.3">
      <c r="A600">
        <v>201204</v>
      </c>
      <c r="B600">
        <v>-0.84</v>
      </c>
      <c r="C600">
        <v>-0.5</v>
      </c>
      <c r="D600">
        <v>-0.77</v>
      </c>
      <c r="E600">
        <v>1.3</v>
      </c>
      <c r="F600">
        <v>0.66</v>
      </c>
      <c r="G600">
        <v>0</v>
      </c>
      <c r="I600">
        <v>3.72</v>
      </c>
    </row>
    <row r="601" spans="1:9" x14ac:dyDescent="0.3">
      <c r="A601">
        <v>201205</v>
      </c>
      <c r="B601">
        <v>-6.17</v>
      </c>
      <c r="C601">
        <v>-0.08</v>
      </c>
      <c r="D601">
        <v>-0.95</v>
      </c>
      <c r="E601">
        <v>2.0299999999999998</v>
      </c>
      <c r="F601">
        <v>2.36</v>
      </c>
      <c r="G601">
        <v>0.01</v>
      </c>
      <c r="I601">
        <v>6.44</v>
      </c>
    </row>
    <row r="602" spans="1:9" x14ac:dyDescent="0.3">
      <c r="A602">
        <v>201206</v>
      </c>
      <c r="B602">
        <v>3.9</v>
      </c>
      <c r="C602">
        <v>0.89</v>
      </c>
      <c r="D602">
        <v>0.55000000000000004</v>
      </c>
      <c r="E602">
        <v>-1.06</v>
      </c>
      <c r="F602">
        <v>0.45</v>
      </c>
      <c r="G602">
        <v>0</v>
      </c>
      <c r="I602">
        <v>-1.1000000000000001</v>
      </c>
    </row>
    <row r="603" spans="1:9" x14ac:dyDescent="0.3">
      <c r="A603">
        <v>201207</v>
      </c>
      <c r="B603">
        <v>0.79</v>
      </c>
      <c r="C603">
        <v>-2.81</v>
      </c>
      <c r="D603">
        <v>-0.06</v>
      </c>
      <c r="E603">
        <v>1.04</v>
      </c>
      <c r="F603">
        <v>0.01</v>
      </c>
      <c r="G603">
        <v>0</v>
      </c>
      <c r="I603">
        <v>3</v>
      </c>
    </row>
    <row r="604" spans="1:9" x14ac:dyDescent="0.3">
      <c r="A604">
        <v>201208</v>
      </c>
      <c r="B604">
        <v>2.54</v>
      </c>
      <c r="C604">
        <v>0.44</v>
      </c>
      <c r="D604">
        <v>1.23</v>
      </c>
      <c r="E604">
        <v>-1.5</v>
      </c>
      <c r="F604">
        <v>-0.86</v>
      </c>
      <c r="G604">
        <v>0.01</v>
      </c>
      <c r="I604">
        <v>-2.35</v>
      </c>
    </row>
    <row r="605" spans="1:9" x14ac:dyDescent="0.3">
      <c r="A605">
        <v>201209</v>
      </c>
      <c r="B605">
        <v>2.73</v>
      </c>
      <c r="C605">
        <v>0.56999999999999995</v>
      </c>
      <c r="D605">
        <v>1.62</v>
      </c>
      <c r="E605">
        <v>-1.3</v>
      </c>
      <c r="F605">
        <v>1.56</v>
      </c>
      <c r="G605">
        <v>0.01</v>
      </c>
      <c r="I605">
        <v>-1.1299999999999999</v>
      </c>
    </row>
    <row r="606" spans="1:9" x14ac:dyDescent="0.3">
      <c r="A606">
        <v>201210</v>
      </c>
      <c r="B606">
        <v>-1.76</v>
      </c>
      <c r="C606">
        <v>-0.83</v>
      </c>
      <c r="D606">
        <v>3.52</v>
      </c>
      <c r="E606">
        <v>-1.4</v>
      </c>
      <c r="F606">
        <v>2.52</v>
      </c>
      <c r="G606">
        <v>0.01</v>
      </c>
      <c r="I606">
        <v>0.05</v>
      </c>
    </row>
    <row r="607" spans="1:9" x14ac:dyDescent="0.3">
      <c r="A607">
        <v>201211</v>
      </c>
      <c r="B607">
        <v>0.78</v>
      </c>
      <c r="C607">
        <v>0.4</v>
      </c>
      <c r="D607">
        <v>-0.86</v>
      </c>
      <c r="E607">
        <v>0.38</v>
      </c>
      <c r="F607">
        <v>0.81</v>
      </c>
      <c r="G607">
        <v>0.01</v>
      </c>
      <c r="I607">
        <v>0.53</v>
      </c>
    </row>
    <row r="608" spans="1:9" x14ac:dyDescent="0.3">
      <c r="A608">
        <v>201212</v>
      </c>
      <c r="B608">
        <v>1.18</v>
      </c>
      <c r="C608">
        <v>1.92</v>
      </c>
      <c r="D608">
        <v>3.48</v>
      </c>
      <c r="E608">
        <v>-1.72</v>
      </c>
      <c r="F608">
        <v>0.8</v>
      </c>
      <c r="G608">
        <v>0.01</v>
      </c>
      <c r="I608">
        <v>-2.93</v>
      </c>
    </row>
    <row r="609" spans="1:9" x14ac:dyDescent="0.3">
      <c r="A609">
        <v>201301</v>
      </c>
      <c r="B609">
        <v>5.57</v>
      </c>
      <c r="C609">
        <v>0.42</v>
      </c>
      <c r="D609">
        <v>1.01</v>
      </c>
      <c r="E609">
        <v>-2.0099999999999998</v>
      </c>
      <c r="F609">
        <v>1.52</v>
      </c>
      <c r="G609">
        <v>0</v>
      </c>
      <c r="I609">
        <v>-1.82</v>
      </c>
    </row>
    <row r="610" spans="1:9" x14ac:dyDescent="0.3">
      <c r="A610">
        <v>201302</v>
      </c>
      <c r="B610">
        <v>1.29</v>
      </c>
      <c r="C610">
        <v>-0.25</v>
      </c>
      <c r="D610">
        <v>0.21</v>
      </c>
      <c r="E610">
        <v>-0.59</v>
      </c>
      <c r="F610">
        <v>0.61</v>
      </c>
      <c r="G610">
        <v>0</v>
      </c>
      <c r="I610">
        <v>1.23</v>
      </c>
    </row>
    <row r="611" spans="1:9" x14ac:dyDescent="0.3">
      <c r="A611">
        <v>201303</v>
      </c>
      <c r="B611">
        <v>4.03</v>
      </c>
      <c r="C611">
        <v>0.88</v>
      </c>
      <c r="D611">
        <v>-0.22</v>
      </c>
      <c r="E611">
        <v>0.27</v>
      </c>
      <c r="F611">
        <v>1.41</v>
      </c>
      <c r="G611">
        <v>0</v>
      </c>
      <c r="I611">
        <v>1.92</v>
      </c>
    </row>
    <row r="612" spans="1:9" x14ac:dyDescent="0.3">
      <c r="A612">
        <v>201304</v>
      </c>
      <c r="B612">
        <v>1.56</v>
      </c>
      <c r="C612">
        <v>-2.2400000000000002</v>
      </c>
      <c r="D612">
        <v>0.44</v>
      </c>
      <c r="E612">
        <v>0.39</v>
      </c>
      <c r="F612">
        <v>0.43</v>
      </c>
      <c r="G612">
        <v>0</v>
      </c>
      <c r="I612">
        <v>0.22</v>
      </c>
    </row>
    <row r="613" spans="1:9" x14ac:dyDescent="0.3">
      <c r="A613">
        <v>201305</v>
      </c>
      <c r="B613">
        <v>2.81</v>
      </c>
      <c r="C613">
        <v>2.04</v>
      </c>
      <c r="D613">
        <v>2.67</v>
      </c>
      <c r="E613">
        <v>-2</v>
      </c>
      <c r="F613">
        <v>-0.95</v>
      </c>
      <c r="G613">
        <v>0</v>
      </c>
      <c r="I613">
        <v>-2.0099999999999998</v>
      </c>
    </row>
    <row r="614" spans="1:9" x14ac:dyDescent="0.3">
      <c r="A614">
        <v>201306</v>
      </c>
      <c r="B614">
        <v>-1.2</v>
      </c>
      <c r="C614">
        <v>1.54</v>
      </c>
      <c r="D614">
        <v>-0.05</v>
      </c>
      <c r="E614">
        <v>-0.28000000000000003</v>
      </c>
      <c r="F614">
        <v>-0.06</v>
      </c>
      <c r="G614">
        <v>0</v>
      </c>
      <c r="I614">
        <v>0.43</v>
      </c>
    </row>
    <row r="615" spans="1:9" x14ac:dyDescent="0.3">
      <c r="A615">
        <v>201307</v>
      </c>
      <c r="B615">
        <v>5.65</v>
      </c>
      <c r="C615">
        <v>1.75</v>
      </c>
      <c r="D615">
        <v>0.57999999999999996</v>
      </c>
      <c r="E615">
        <v>-1.35</v>
      </c>
      <c r="F615">
        <v>0.56999999999999995</v>
      </c>
      <c r="G615">
        <v>0</v>
      </c>
      <c r="I615">
        <v>1.74</v>
      </c>
    </row>
    <row r="616" spans="1:9" x14ac:dyDescent="0.3">
      <c r="A616">
        <v>201308</v>
      </c>
      <c r="B616">
        <v>-2.71</v>
      </c>
      <c r="C616">
        <v>-0.03</v>
      </c>
      <c r="D616">
        <v>-2.73</v>
      </c>
      <c r="E616">
        <v>0.71</v>
      </c>
      <c r="F616">
        <v>-2.17</v>
      </c>
      <c r="G616">
        <v>0</v>
      </c>
      <c r="I616">
        <v>0.04</v>
      </c>
    </row>
    <row r="617" spans="1:9" x14ac:dyDescent="0.3">
      <c r="A617">
        <v>201309</v>
      </c>
      <c r="B617">
        <v>3.77</v>
      </c>
      <c r="C617">
        <v>2.65</v>
      </c>
      <c r="D617">
        <v>-1.18</v>
      </c>
      <c r="E617">
        <v>-0.54</v>
      </c>
      <c r="F617">
        <v>-1.32</v>
      </c>
      <c r="G617">
        <v>0</v>
      </c>
      <c r="I617">
        <v>3.02</v>
      </c>
    </row>
    <row r="618" spans="1:9" x14ac:dyDescent="0.3">
      <c r="A618">
        <v>201310</v>
      </c>
      <c r="B618">
        <v>4.17</v>
      </c>
      <c r="C618">
        <v>-1.5</v>
      </c>
      <c r="D618">
        <v>1.22</v>
      </c>
      <c r="E618">
        <v>2.75</v>
      </c>
      <c r="F618">
        <v>0.89</v>
      </c>
      <c r="G618">
        <v>0</v>
      </c>
      <c r="I618">
        <v>0.02</v>
      </c>
    </row>
    <row r="619" spans="1:9" x14ac:dyDescent="0.3">
      <c r="A619">
        <v>201311</v>
      </c>
      <c r="B619">
        <v>3.12</v>
      </c>
      <c r="C619">
        <v>1.44</v>
      </c>
      <c r="D619">
        <v>0.19</v>
      </c>
      <c r="E619">
        <v>0.26</v>
      </c>
      <c r="F619">
        <v>0.06</v>
      </c>
      <c r="G619">
        <v>0</v>
      </c>
      <c r="I619">
        <v>0.39</v>
      </c>
    </row>
    <row r="620" spans="1:9" x14ac:dyDescent="0.3">
      <c r="A620">
        <v>201312</v>
      </c>
      <c r="B620">
        <v>2.8</v>
      </c>
      <c r="C620">
        <v>-0.44</v>
      </c>
      <c r="D620">
        <v>0</v>
      </c>
      <c r="E620">
        <v>-0.57999999999999996</v>
      </c>
      <c r="F620">
        <v>0.08</v>
      </c>
      <c r="G620">
        <v>0</v>
      </c>
      <c r="I620">
        <v>0.02</v>
      </c>
    </row>
    <row r="621" spans="1:9" x14ac:dyDescent="0.3">
      <c r="A621">
        <v>201401</v>
      </c>
      <c r="B621">
        <v>-3.3</v>
      </c>
      <c r="C621">
        <v>0.6</v>
      </c>
      <c r="D621">
        <v>-1.99</v>
      </c>
      <c r="E621">
        <v>-3.91</v>
      </c>
      <c r="F621">
        <v>-1.54</v>
      </c>
      <c r="G621">
        <v>0</v>
      </c>
      <c r="I621">
        <v>1.61</v>
      </c>
    </row>
    <row r="622" spans="1:9" x14ac:dyDescent="0.3">
      <c r="A622">
        <v>201402</v>
      </c>
      <c r="B622">
        <v>4.68</v>
      </c>
      <c r="C622">
        <v>0.13</v>
      </c>
      <c r="D622">
        <v>-0.35</v>
      </c>
      <c r="E622">
        <v>-0.25</v>
      </c>
      <c r="F622">
        <v>-0.54</v>
      </c>
      <c r="G622">
        <v>0</v>
      </c>
      <c r="I622">
        <v>2.13</v>
      </c>
    </row>
    <row r="623" spans="1:9" x14ac:dyDescent="0.3">
      <c r="A623">
        <v>201403</v>
      </c>
      <c r="B623">
        <v>0.41</v>
      </c>
      <c r="C623">
        <v>-1.1299999999999999</v>
      </c>
      <c r="D623">
        <v>4.9000000000000004</v>
      </c>
      <c r="E623">
        <v>2.02</v>
      </c>
      <c r="F623">
        <v>1.92</v>
      </c>
      <c r="G623">
        <v>0</v>
      </c>
      <c r="I623">
        <v>-3.27</v>
      </c>
    </row>
    <row r="624" spans="1:9" x14ac:dyDescent="0.3">
      <c r="A624">
        <v>201404</v>
      </c>
      <c r="B624">
        <v>-0.19</v>
      </c>
      <c r="C624">
        <v>-4.07</v>
      </c>
      <c r="D624">
        <v>1.22</v>
      </c>
      <c r="E624">
        <v>3.4</v>
      </c>
      <c r="F624">
        <v>0.93</v>
      </c>
      <c r="G624">
        <v>0</v>
      </c>
      <c r="I624">
        <v>-3.82</v>
      </c>
    </row>
    <row r="625" spans="1:9" x14ac:dyDescent="0.3">
      <c r="A625">
        <v>201405</v>
      </c>
      <c r="B625">
        <v>2.04</v>
      </c>
      <c r="C625">
        <v>-1.86</v>
      </c>
      <c r="D625">
        <v>-0.1</v>
      </c>
      <c r="E625">
        <v>-0.09</v>
      </c>
      <c r="F625">
        <v>-0.96</v>
      </c>
      <c r="G625">
        <v>0</v>
      </c>
      <c r="I625">
        <v>0.89</v>
      </c>
    </row>
    <row r="626" spans="1:9" x14ac:dyDescent="0.3">
      <c r="A626">
        <v>201406</v>
      </c>
      <c r="B626">
        <v>2.61</v>
      </c>
      <c r="C626">
        <v>3.06</v>
      </c>
      <c r="D626">
        <v>-0.71</v>
      </c>
      <c r="E626">
        <v>-1.83</v>
      </c>
      <c r="F626">
        <v>-1.91</v>
      </c>
      <c r="G626">
        <v>0</v>
      </c>
      <c r="I626">
        <v>0.65</v>
      </c>
    </row>
    <row r="627" spans="1:9" x14ac:dyDescent="0.3">
      <c r="A627">
        <v>201407</v>
      </c>
      <c r="B627">
        <v>-2.0299999999999998</v>
      </c>
      <c r="C627">
        <v>-4.2</v>
      </c>
      <c r="D627">
        <v>-0.08</v>
      </c>
      <c r="E627">
        <v>0.93</v>
      </c>
      <c r="F627">
        <v>0.51</v>
      </c>
      <c r="G627">
        <v>0</v>
      </c>
      <c r="I627">
        <v>-0.17</v>
      </c>
    </row>
    <row r="628" spans="1:9" x14ac:dyDescent="0.3">
      <c r="A628">
        <v>201408</v>
      </c>
      <c r="B628">
        <v>4.24</v>
      </c>
      <c r="C628">
        <v>0.28999999999999998</v>
      </c>
      <c r="D628">
        <v>-0.56999999999999995</v>
      </c>
      <c r="E628">
        <v>-0.64</v>
      </c>
      <c r="F628">
        <v>-0.69</v>
      </c>
      <c r="G628">
        <v>0</v>
      </c>
      <c r="I628">
        <v>0.83</v>
      </c>
    </row>
    <row r="629" spans="1:9" x14ac:dyDescent="0.3">
      <c r="A629">
        <v>201409</v>
      </c>
      <c r="B629">
        <v>-1.96</v>
      </c>
      <c r="C629">
        <v>-3.66</v>
      </c>
      <c r="D629">
        <v>-1.47</v>
      </c>
      <c r="E629">
        <v>1.2</v>
      </c>
      <c r="F629">
        <v>-0.59</v>
      </c>
      <c r="G629">
        <v>0</v>
      </c>
      <c r="I629">
        <v>0.6</v>
      </c>
    </row>
    <row r="630" spans="1:9" x14ac:dyDescent="0.3">
      <c r="A630">
        <v>201410</v>
      </c>
      <c r="B630">
        <v>2.5099999999999998</v>
      </c>
      <c r="C630">
        <v>3.66</v>
      </c>
      <c r="D630">
        <v>-1.63</v>
      </c>
      <c r="E630">
        <v>-0.39</v>
      </c>
      <c r="F630">
        <v>0.21</v>
      </c>
      <c r="G630">
        <v>0</v>
      </c>
      <c r="I630">
        <v>-0.21</v>
      </c>
    </row>
    <row r="631" spans="1:9" x14ac:dyDescent="0.3">
      <c r="A631">
        <v>201411</v>
      </c>
      <c r="B631">
        <v>2.56</v>
      </c>
      <c r="C631">
        <v>-2.2999999999999998</v>
      </c>
      <c r="D631">
        <v>-3.13</v>
      </c>
      <c r="E631">
        <v>1.57</v>
      </c>
      <c r="F631">
        <v>0.14000000000000001</v>
      </c>
      <c r="G631">
        <v>0</v>
      </c>
      <c r="I631">
        <v>0.69</v>
      </c>
    </row>
    <row r="632" spans="1:9" x14ac:dyDescent="0.3">
      <c r="A632">
        <v>201412</v>
      </c>
      <c r="B632">
        <v>-0.05</v>
      </c>
      <c r="C632">
        <v>2.83</v>
      </c>
      <c r="D632">
        <v>2.12</v>
      </c>
      <c r="E632">
        <v>-1.21</v>
      </c>
      <c r="F632">
        <v>0.9</v>
      </c>
      <c r="G632">
        <v>0</v>
      </c>
      <c r="I632">
        <v>1.03</v>
      </c>
    </row>
    <row r="633" spans="1:9" x14ac:dyDescent="0.3">
      <c r="A633">
        <v>201501</v>
      </c>
      <c r="B633">
        <v>-3.09</v>
      </c>
      <c r="C633">
        <v>-0.93</v>
      </c>
      <c r="D633">
        <v>-3.45</v>
      </c>
      <c r="E633">
        <v>1.58</v>
      </c>
      <c r="F633">
        <v>-1.64</v>
      </c>
      <c r="G633">
        <v>0</v>
      </c>
      <c r="I633">
        <v>3.74</v>
      </c>
    </row>
    <row r="634" spans="1:9" x14ac:dyDescent="0.3">
      <c r="A634">
        <v>201502</v>
      </c>
      <c r="B634">
        <v>6.14</v>
      </c>
      <c r="C634">
        <v>0.36</v>
      </c>
      <c r="D634">
        <v>-1.79</v>
      </c>
      <c r="E634">
        <v>-1.1000000000000001</v>
      </c>
      <c r="F634">
        <v>-1.75</v>
      </c>
      <c r="G634">
        <v>0</v>
      </c>
      <c r="I634">
        <v>-3.1</v>
      </c>
    </row>
    <row r="635" spans="1:9" x14ac:dyDescent="0.3">
      <c r="A635">
        <v>201503</v>
      </c>
      <c r="B635">
        <v>-1.0900000000000001</v>
      </c>
      <c r="C635">
        <v>3.08</v>
      </c>
      <c r="D635">
        <v>-0.38</v>
      </c>
      <c r="E635">
        <v>7.0000000000000007E-2</v>
      </c>
      <c r="F635">
        <v>-0.62</v>
      </c>
      <c r="G635">
        <v>0</v>
      </c>
      <c r="I635">
        <v>2.7</v>
      </c>
    </row>
    <row r="636" spans="1:9" x14ac:dyDescent="0.3">
      <c r="A636">
        <v>201504</v>
      </c>
      <c r="B636">
        <v>0.6</v>
      </c>
      <c r="C636">
        <v>-3.01</v>
      </c>
      <c r="D636">
        <v>1.8</v>
      </c>
      <c r="E636">
        <v>0.05</v>
      </c>
      <c r="F636">
        <v>-0.62</v>
      </c>
      <c r="G636">
        <v>0</v>
      </c>
      <c r="I636">
        <v>-7.27</v>
      </c>
    </row>
    <row r="637" spans="1:9" x14ac:dyDescent="0.3">
      <c r="A637">
        <v>201505</v>
      </c>
      <c r="B637">
        <v>1.38</v>
      </c>
      <c r="C637">
        <v>0.82</v>
      </c>
      <c r="D637">
        <v>-1.1100000000000001</v>
      </c>
      <c r="E637">
        <v>-1.76</v>
      </c>
      <c r="F637">
        <v>-0.83</v>
      </c>
      <c r="G637">
        <v>0</v>
      </c>
      <c r="I637">
        <v>5.68</v>
      </c>
    </row>
    <row r="638" spans="1:9" x14ac:dyDescent="0.3">
      <c r="A638">
        <v>201506</v>
      </c>
      <c r="B638">
        <v>-1.54</v>
      </c>
      <c r="C638">
        <v>2.9</v>
      </c>
      <c r="D638">
        <v>-0.82</v>
      </c>
      <c r="E638">
        <v>0.35</v>
      </c>
      <c r="F638">
        <v>-1.54</v>
      </c>
      <c r="G638">
        <v>0</v>
      </c>
      <c r="I638">
        <v>3.01</v>
      </c>
    </row>
    <row r="639" spans="1:9" x14ac:dyDescent="0.3">
      <c r="A639">
        <v>201507</v>
      </c>
      <c r="B639">
        <v>1.57</v>
      </c>
      <c r="C639">
        <v>-4.58</v>
      </c>
      <c r="D639">
        <v>-4.16</v>
      </c>
      <c r="E639">
        <v>0.31</v>
      </c>
      <c r="F639">
        <v>-2.44</v>
      </c>
      <c r="G639">
        <v>0</v>
      </c>
      <c r="I639">
        <v>9.9700000000000006</v>
      </c>
    </row>
    <row r="640" spans="1:9" x14ac:dyDescent="0.3">
      <c r="A640">
        <v>201508</v>
      </c>
      <c r="B640">
        <v>-6.02</v>
      </c>
      <c r="C640">
        <v>0.28999999999999998</v>
      </c>
      <c r="D640">
        <v>2.75</v>
      </c>
      <c r="E640">
        <v>0.66</v>
      </c>
      <c r="F640">
        <v>1.29</v>
      </c>
      <c r="G640">
        <v>0</v>
      </c>
      <c r="I640">
        <v>-2.16</v>
      </c>
    </row>
    <row r="641" spans="1:9" x14ac:dyDescent="0.3">
      <c r="A641">
        <v>201509</v>
      </c>
      <c r="B641">
        <v>-3.06</v>
      </c>
      <c r="C641">
        <v>-2.8</v>
      </c>
      <c r="D641">
        <v>0.55000000000000004</v>
      </c>
      <c r="E641">
        <v>1.8</v>
      </c>
      <c r="F641">
        <v>-0.59</v>
      </c>
      <c r="G641">
        <v>0</v>
      </c>
      <c r="I641">
        <v>5.24</v>
      </c>
    </row>
    <row r="642" spans="1:9" x14ac:dyDescent="0.3">
      <c r="A642">
        <v>201510</v>
      </c>
      <c r="B642">
        <v>7.75</v>
      </c>
      <c r="C642">
        <v>-2.06</v>
      </c>
      <c r="D642">
        <v>-0.47</v>
      </c>
      <c r="E642">
        <v>0.95</v>
      </c>
      <c r="F642">
        <v>0.61</v>
      </c>
      <c r="G642">
        <v>0</v>
      </c>
      <c r="I642">
        <v>-3.19</v>
      </c>
    </row>
    <row r="643" spans="1:9" x14ac:dyDescent="0.3">
      <c r="A643">
        <v>201511</v>
      </c>
      <c r="B643">
        <v>0.56999999999999995</v>
      </c>
      <c r="C643">
        <v>3.3</v>
      </c>
      <c r="D643">
        <v>-0.43</v>
      </c>
      <c r="E643">
        <v>-2.65</v>
      </c>
      <c r="F643">
        <v>-1.06</v>
      </c>
      <c r="G643">
        <v>0</v>
      </c>
      <c r="I643">
        <v>2.29</v>
      </c>
    </row>
    <row r="644" spans="1:9" x14ac:dyDescent="0.3">
      <c r="A644">
        <v>201512</v>
      </c>
      <c r="B644">
        <v>-2.15</v>
      </c>
      <c r="C644">
        <v>-2.95</v>
      </c>
      <c r="D644">
        <v>-2.57</v>
      </c>
      <c r="E644">
        <v>0.34</v>
      </c>
      <c r="F644">
        <v>0.12</v>
      </c>
      <c r="G644">
        <v>0.01</v>
      </c>
      <c r="I644">
        <v>3.34</v>
      </c>
    </row>
    <row r="645" spans="1:9" x14ac:dyDescent="0.3">
      <c r="A645">
        <v>201601</v>
      </c>
      <c r="B645">
        <v>-5.74</v>
      </c>
      <c r="C645">
        <v>-3.44</v>
      </c>
      <c r="D645">
        <v>2.08</v>
      </c>
      <c r="E645">
        <v>2.78</v>
      </c>
      <c r="F645">
        <v>3.05</v>
      </c>
      <c r="G645">
        <v>0.01</v>
      </c>
      <c r="I645">
        <v>1.6</v>
      </c>
    </row>
    <row r="646" spans="1:9" x14ac:dyDescent="0.3">
      <c r="A646">
        <v>201602</v>
      </c>
      <c r="B646">
        <v>-7.0000000000000007E-2</v>
      </c>
      <c r="C646">
        <v>0.87</v>
      </c>
      <c r="D646">
        <v>-0.61</v>
      </c>
      <c r="E646">
        <v>3.31</v>
      </c>
      <c r="F646">
        <v>1.94</v>
      </c>
      <c r="G646">
        <v>0.02</v>
      </c>
      <c r="I646">
        <v>-4.3499999999999996</v>
      </c>
    </row>
    <row r="647" spans="1:9" x14ac:dyDescent="0.3">
      <c r="A647">
        <v>201603</v>
      </c>
      <c r="B647">
        <v>6.95</v>
      </c>
      <c r="C647">
        <v>1</v>
      </c>
      <c r="D647">
        <v>1.22</v>
      </c>
      <c r="E647">
        <v>0.68</v>
      </c>
      <c r="F647">
        <v>0.01</v>
      </c>
      <c r="G647">
        <v>0.02</v>
      </c>
      <c r="I647">
        <v>-5.04</v>
      </c>
    </row>
    <row r="648" spans="1:9" x14ac:dyDescent="0.3">
      <c r="A648">
        <v>201604</v>
      </c>
      <c r="B648">
        <v>0.91</v>
      </c>
      <c r="C648">
        <v>1.23</v>
      </c>
      <c r="D648">
        <v>3.22</v>
      </c>
      <c r="E648">
        <v>-2.85</v>
      </c>
      <c r="F648">
        <v>1.77</v>
      </c>
      <c r="G648">
        <v>0.01</v>
      </c>
      <c r="I648">
        <v>-5.98</v>
      </c>
    </row>
    <row r="649" spans="1:9" x14ac:dyDescent="0.3">
      <c r="A649">
        <v>201605</v>
      </c>
      <c r="B649">
        <v>1.78</v>
      </c>
      <c r="C649">
        <v>-0.62</v>
      </c>
      <c r="D649">
        <v>-1.62</v>
      </c>
      <c r="E649">
        <v>-1.1000000000000001</v>
      </c>
      <c r="F649">
        <v>-2.54</v>
      </c>
      <c r="G649">
        <v>0.01</v>
      </c>
      <c r="I649">
        <v>1.47</v>
      </c>
    </row>
    <row r="650" spans="1:9" x14ac:dyDescent="0.3">
      <c r="A650">
        <v>201606</v>
      </c>
      <c r="B650">
        <v>-0.03</v>
      </c>
      <c r="C650">
        <v>0.42</v>
      </c>
      <c r="D650">
        <v>-1.49</v>
      </c>
      <c r="E650">
        <v>1.45</v>
      </c>
      <c r="F650">
        <v>1.9</v>
      </c>
      <c r="G650">
        <v>0.02</v>
      </c>
      <c r="I650">
        <v>4.2</v>
      </c>
    </row>
    <row r="651" spans="1:9" x14ac:dyDescent="0.3">
      <c r="A651">
        <v>201607</v>
      </c>
      <c r="B651">
        <v>3.94</v>
      </c>
      <c r="C651">
        <v>2.4700000000000002</v>
      </c>
      <c r="D651">
        <v>-1.24</v>
      </c>
      <c r="E651">
        <v>1.31</v>
      </c>
      <c r="F651">
        <v>-1.1599999999999999</v>
      </c>
      <c r="G651">
        <v>0.02</v>
      </c>
      <c r="I651">
        <v>-3.31</v>
      </c>
    </row>
    <row r="652" spans="1:9" x14ac:dyDescent="0.3">
      <c r="A652">
        <v>201608</v>
      </c>
      <c r="B652">
        <v>0.49</v>
      </c>
      <c r="C652">
        <v>1.66</v>
      </c>
      <c r="D652">
        <v>3.17</v>
      </c>
      <c r="E652">
        <v>-1.85</v>
      </c>
      <c r="F652">
        <v>-0.36</v>
      </c>
      <c r="G652">
        <v>0.02</v>
      </c>
      <c r="I652">
        <v>-3.41</v>
      </c>
    </row>
    <row r="653" spans="1:9" x14ac:dyDescent="0.3">
      <c r="A653">
        <v>201609</v>
      </c>
      <c r="B653">
        <v>0.27</v>
      </c>
      <c r="C653">
        <v>1.81</v>
      </c>
      <c r="D653">
        <v>-1.19</v>
      </c>
      <c r="E653">
        <v>-2.1800000000000002</v>
      </c>
      <c r="F653">
        <v>0.03</v>
      </c>
      <c r="G653">
        <v>0.02</v>
      </c>
      <c r="I653">
        <v>0.26</v>
      </c>
    </row>
    <row r="654" spans="1:9" x14ac:dyDescent="0.3">
      <c r="A654">
        <v>201610</v>
      </c>
      <c r="B654">
        <v>-2.0099999999999998</v>
      </c>
      <c r="C654">
        <v>-4.0199999999999996</v>
      </c>
      <c r="D654">
        <v>4.1100000000000003</v>
      </c>
      <c r="E654">
        <v>0.99</v>
      </c>
      <c r="F654">
        <v>0.25</v>
      </c>
      <c r="G654">
        <v>0.02</v>
      </c>
      <c r="I654">
        <v>0.51</v>
      </c>
    </row>
    <row r="655" spans="1:9" x14ac:dyDescent="0.3">
      <c r="A655">
        <v>201611</v>
      </c>
      <c r="B655">
        <v>4.8499999999999996</v>
      </c>
      <c r="C655">
        <v>6.96</v>
      </c>
      <c r="D655">
        <v>8.2899999999999991</v>
      </c>
      <c r="E655">
        <v>-0.24</v>
      </c>
      <c r="F655">
        <v>3.71</v>
      </c>
      <c r="G655">
        <v>0.01</v>
      </c>
      <c r="I655">
        <v>-4.7699999999999996</v>
      </c>
    </row>
    <row r="656" spans="1:9" x14ac:dyDescent="0.3">
      <c r="A656">
        <v>201612</v>
      </c>
      <c r="B656">
        <v>1.81</v>
      </c>
      <c r="C656">
        <v>0.44</v>
      </c>
      <c r="D656">
        <v>3.47</v>
      </c>
      <c r="E656">
        <v>1.24</v>
      </c>
      <c r="F656">
        <v>-0.32</v>
      </c>
      <c r="G656">
        <v>0.03</v>
      </c>
      <c r="I656">
        <v>-0.27</v>
      </c>
    </row>
    <row r="657" spans="1:9" x14ac:dyDescent="0.3">
      <c r="A657">
        <v>201701</v>
      </c>
      <c r="B657">
        <v>1.94</v>
      </c>
      <c r="C657">
        <v>-1.44</v>
      </c>
      <c r="D657">
        <v>-2.76</v>
      </c>
      <c r="E657">
        <v>-0.51</v>
      </c>
      <c r="F657">
        <v>-1.06</v>
      </c>
      <c r="G657">
        <v>0.04</v>
      </c>
      <c r="I657">
        <v>-0.93</v>
      </c>
    </row>
    <row r="658" spans="1:9" x14ac:dyDescent="0.3">
      <c r="A658">
        <v>201702</v>
      </c>
      <c r="B658">
        <v>3.55</v>
      </c>
      <c r="C658">
        <v>-2.2999999999999998</v>
      </c>
      <c r="D658">
        <v>-1.5</v>
      </c>
      <c r="E658">
        <v>0.45</v>
      </c>
      <c r="F658">
        <v>-1.8</v>
      </c>
      <c r="G658">
        <v>0.04</v>
      </c>
      <c r="I658">
        <v>-1.51</v>
      </c>
    </row>
    <row r="659" spans="1:9" x14ac:dyDescent="0.3">
      <c r="A659">
        <v>201703</v>
      </c>
      <c r="B659">
        <v>0.17</v>
      </c>
      <c r="C659">
        <v>0.75</v>
      </c>
      <c r="D659">
        <v>-3.33</v>
      </c>
      <c r="E659">
        <v>0.63</v>
      </c>
      <c r="F659">
        <v>-0.95</v>
      </c>
      <c r="G659">
        <v>0.03</v>
      </c>
      <c r="I659">
        <v>-0.97</v>
      </c>
    </row>
    <row r="660" spans="1:9" x14ac:dyDescent="0.3">
      <c r="A660">
        <v>201704</v>
      </c>
      <c r="B660">
        <v>1.08</v>
      </c>
      <c r="C660">
        <v>0.41</v>
      </c>
      <c r="D660">
        <v>-2.0499999999999998</v>
      </c>
      <c r="E660">
        <v>1.79</v>
      </c>
      <c r="F660">
        <v>-1.6</v>
      </c>
      <c r="G660">
        <v>0.05</v>
      </c>
      <c r="I660">
        <v>0.48</v>
      </c>
    </row>
    <row r="661" spans="1:9" x14ac:dyDescent="0.3">
      <c r="A661">
        <v>201705</v>
      </c>
      <c r="B661">
        <v>1.07</v>
      </c>
      <c r="C661">
        <v>-2.99</v>
      </c>
      <c r="D661">
        <v>-3.82</v>
      </c>
      <c r="E661">
        <v>0.99</v>
      </c>
      <c r="F661">
        <v>-1.66</v>
      </c>
      <c r="G661">
        <v>0.06</v>
      </c>
      <c r="I661">
        <v>1.5</v>
      </c>
    </row>
    <row r="662" spans="1:9" x14ac:dyDescent="0.3">
      <c r="A662">
        <v>201706</v>
      </c>
      <c r="B662">
        <v>0.78</v>
      </c>
      <c r="C662">
        <v>2.52</v>
      </c>
      <c r="D662">
        <v>1.5</v>
      </c>
      <c r="E662">
        <v>-2.2599999999999998</v>
      </c>
      <c r="F662">
        <v>0.04</v>
      </c>
      <c r="G662">
        <v>0.06</v>
      </c>
      <c r="I662">
        <v>-0.1</v>
      </c>
    </row>
    <row r="663" spans="1:9" x14ac:dyDescent="0.3">
      <c r="A663">
        <v>201707</v>
      </c>
      <c r="B663">
        <v>1.88</v>
      </c>
      <c r="C663">
        <v>-1.64</v>
      </c>
      <c r="D663">
        <v>-0.23</v>
      </c>
      <c r="E663">
        <v>-0.75</v>
      </c>
      <c r="F663">
        <v>-0.15</v>
      </c>
      <c r="G663">
        <v>7.0000000000000007E-2</v>
      </c>
      <c r="I663">
        <v>1.63</v>
      </c>
    </row>
    <row r="664" spans="1:9" x14ac:dyDescent="0.3">
      <c r="A664">
        <v>201708</v>
      </c>
      <c r="B664">
        <v>0.18</v>
      </c>
      <c r="C664">
        <v>-1.83</v>
      </c>
      <c r="D664">
        <v>-2.13</v>
      </c>
      <c r="E664">
        <v>0.2</v>
      </c>
      <c r="F664">
        <v>-2.38</v>
      </c>
      <c r="G664">
        <v>0.09</v>
      </c>
      <c r="I664">
        <v>3.31</v>
      </c>
    </row>
    <row r="665" spans="1:9" x14ac:dyDescent="0.3">
      <c r="A665">
        <v>201709</v>
      </c>
      <c r="B665">
        <v>2.4900000000000002</v>
      </c>
      <c r="C665">
        <v>4.76</v>
      </c>
      <c r="D665">
        <v>3.15</v>
      </c>
      <c r="E665">
        <v>-1.54</v>
      </c>
      <c r="F665">
        <v>1.63</v>
      </c>
      <c r="G665">
        <v>0.09</v>
      </c>
      <c r="I665">
        <v>-1.35</v>
      </c>
    </row>
    <row r="666" spans="1:9" x14ac:dyDescent="0.3">
      <c r="A666">
        <v>201710</v>
      </c>
      <c r="B666">
        <v>2.25</v>
      </c>
      <c r="C666">
        <v>-1.91</v>
      </c>
      <c r="D666">
        <v>0.13</v>
      </c>
      <c r="E666">
        <v>0.92</v>
      </c>
      <c r="F666">
        <v>-3.14</v>
      </c>
      <c r="G666">
        <v>0.09</v>
      </c>
      <c r="I666">
        <v>4.21</v>
      </c>
    </row>
    <row r="667" spans="1:9" x14ac:dyDescent="0.3">
      <c r="A667">
        <v>201711</v>
      </c>
      <c r="B667">
        <v>3.12</v>
      </c>
      <c r="C667">
        <v>-0.38</v>
      </c>
      <c r="D667">
        <v>-0.09</v>
      </c>
      <c r="E667">
        <v>3.19</v>
      </c>
      <c r="F667">
        <v>-0.1</v>
      </c>
      <c r="G667">
        <v>0.08</v>
      </c>
      <c r="I667">
        <v>-0.94</v>
      </c>
    </row>
    <row r="668" spans="1:9" x14ac:dyDescent="0.3">
      <c r="A668">
        <v>201712</v>
      </c>
      <c r="B668">
        <v>1.06</v>
      </c>
      <c r="C668">
        <v>-1.05</v>
      </c>
      <c r="D668">
        <v>0.05</v>
      </c>
      <c r="E668">
        <v>0.73</v>
      </c>
      <c r="F668">
        <v>1.79</v>
      </c>
      <c r="G668">
        <v>0.09</v>
      </c>
      <c r="I668">
        <v>-1.55</v>
      </c>
    </row>
    <row r="669" spans="1:9" x14ac:dyDescent="0.3">
      <c r="A669">
        <v>201801</v>
      </c>
      <c r="B669">
        <v>5.58</v>
      </c>
      <c r="C669">
        <v>-3.21</v>
      </c>
      <c r="D669">
        <v>-1.32</v>
      </c>
      <c r="E669">
        <v>-0.75</v>
      </c>
      <c r="F669">
        <v>-1.05</v>
      </c>
      <c r="G669">
        <v>0.11</v>
      </c>
      <c r="I669">
        <v>4.08</v>
      </c>
    </row>
    <row r="670" spans="1:9" x14ac:dyDescent="0.3">
      <c r="A670">
        <v>201802</v>
      </c>
      <c r="B670">
        <v>-3.64</v>
      </c>
      <c r="C670">
        <v>0.34</v>
      </c>
      <c r="D670">
        <v>-1.1000000000000001</v>
      </c>
      <c r="E670">
        <v>0.53</v>
      </c>
      <c r="F670">
        <v>-2.36</v>
      </c>
      <c r="G670">
        <v>0.11</v>
      </c>
      <c r="I670">
        <v>3.68</v>
      </c>
    </row>
    <row r="671" spans="1:9" x14ac:dyDescent="0.3">
      <c r="A671">
        <v>201803</v>
      </c>
      <c r="B671">
        <v>-2.35</v>
      </c>
      <c r="C671">
        <v>3.61</v>
      </c>
      <c r="D671">
        <v>-0.21</v>
      </c>
      <c r="E671">
        <v>-0.41</v>
      </c>
      <c r="F671">
        <v>0.08</v>
      </c>
      <c r="G671">
        <v>0.12</v>
      </c>
      <c r="I671">
        <v>-1.2</v>
      </c>
    </row>
    <row r="672" spans="1:9" x14ac:dyDescent="0.3">
      <c r="A672">
        <v>201804</v>
      </c>
      <c r="B672">
        <v>0.28999999999999998</v>
      </c>
      <c r="C672">
        <v>0.89</v>
      </c>
      <c r="D672">
        <v>0.53</v>
      </c>
      <c r="E672">
        <v>-2.42</v>
      </c>
      <c r="F672">
        <v>1.24</v>
      </c>
      <c r="G672">
        <v>0.14000000000000001</v>
      </c>
      <c r="I672">
        <v>0.45</v>
      </c>
    </row>
    <row r="673" spans="1:9" x14ac:dyDescent="0.3">
      <c r="A673">
        <v>201805</v>
      </c>
      <c r="B673">
        <v>2.63</v>
      </c>
      <c r="C673">
        <v>4.71</v>
      </c>
      <c r="D673">
        <v>-3.14</v>
      </c>
      <c r="E673">
        <v>-1.98</v>
      </c>
      <c r="F673">
        <v>-1.49</v>
      </c>
      <c r="G673">
        <v>0.14000000000000001</v>
      </c>
      <c r="I673">
        <v>3.91</v>
      </c>
    </row>
    <row r="674" spans="1:9" x14ac:dyDescent="0.3">
      <c r="A674">
        <v>201806</v>
      </c>
      <c r="B674">
        <v>0.49</v>
      </c>
      <c r="C674">
        <v>0.77</v>
      </c>
      <c r="D674">
        <v>-2.33</v>
      </c>
      <c r="E674">
        <v>0.83</v>
      </c>
      <c r="F674">
        <v>0.2</v>
      </c>
      <c r="G674">
        <v>0.14000000000000001</v>
      </c>
      <c r="I674">
        <v>-2.2599999999999998</v>
      </c>
    </row>
    <row r="675" spans="1:9" x14ac:dyDescent="0.3">
      <c r="A675">
        <v>201807</v>
      </c>
      <c r="B675">
        <v>3.2</v>
      </c>
      <c r="C675">
        <v>-1.93</v>
      </c>
      <c r="D675">
        <v>0.49</v>
      </c>
      <c r="E675">
        <v>1.53</v>
      </c>
      <c r="F675">
        <v>0.31</v>
      </c>
      <c r="G675">
        <v>0.16</v>
      </c>
      <c r="I675">
        <v>-1.43</v>
      </c>
    </row>
    <row r="676" spans="1:9" x14ac:dyDescent="0.3">
      <c r="A676">
        <v>201808</v>
      </c>
      <c r="B676">
        <v>3.46</v>
      </c>
      <c r="C676">
        <v>0.65</v>
      </c>
      <c r="D676">
        <v>-3.91</v>
      </c>
      <c r="E676">
        <v>-0.28999999999999998</v>
      </c>
      <c r="F676">
        <v>-2.57</v>
      </c>
      <c r="G676">
        <v>0.16</v>
      </c>
      <c r="I676">
        <v>5.3</v>
      </c>
    </row>
    <row r="677" spans="1:9" x14ac:dyDescent="0.3">
      <c r="A677">
        <v>201809</v>
      </c>
      <c r="B677">
        <v>0.06</v>
      </c>
      <c r="C677">
        <v>-2.4900000000000002</v>
      </c>
      <c r="D677">
        <v>-1.62</v>
      </c>
      <c r="E677">
        <v>0.65</v>
      </c>
      <c r="F677">
        <v>1.36</v>
      </c>
      <c r="G677">
        <v>0.15</v>
      </c>
      <c r="I677">
        <v>-0.08</v>
      </c>
    </row>
    <row r="678" spans="1:9" x14ac:dyDescent="0.3">
      <c r="A678">
        <v>201810</v>
      </c>
      <c r="B678">
        <v>-7.64</v>
      </c>
      <c r="C678">
        <v>-4.38</v>
      </c>
      <c r="D678">
        <v>3.38</v>
      </c>
      <c r="E678">
        <v>1.03</v>
      </c>
      <c r="F678">
        <v>3.6</v>
      </c>
      <c r="G678">
        <v>0.19</v>
      </c>
      <c r="I678">
        <v>-2.06</v>
      </c>
    </row>
    <row r="679" spans="1:9" x14ac:dyDescent="0.3">
      <c r="A679">
        <v>201811</v>
      </c>
      <c r="B679">
        <v>1.71</v>
      </c>
      <c r="C679">
        <v>-0.81</v>
      </c>
      <c r="D679">
        <v>0.36</v>
      </c>
      <c r="E679">
        <v>-0.61</v>
      </c>
      <c r="F679">
        <v>0.4</v>
      </c>
      <c r="G679">
        <v>0.18</v>
      </c>
      <c r="I679">
        <v>-1.4</v>
      </c>
    </row>
    <row r="680" spans="1:9" x14ac:dyDescent="0.3">
      <c r="A680">
        <v>201812</v>
      </c>
      <c r="B680">
        <v>-9.5500000000000007</v>
      </c>
      <c r="C680">
        <v>-2.81</v>
      </c>
      <c r="D680">
        <v>-1.92</v>
      </c>
      <c r="E680">
        <v>-0.03</v>
      </c>
      <c r="F680">
        <v>0.24</v>
      </c>
      <c r="G680">
        <v>0.19</v>
      </c>
      <c r="I680">
        <v>1.76</v>
      </c>
    </row>
    <row r="681" spans="1:9" x14ac:dyDescent="0.3">
      <c r="A681">
        <v>201901</v>
      </c>
      <c r="B681">
        <v>8.36</v>
      </c>
      <c r="C681">
        <v>2.91</v>
      </c>
      <c r="D681">
        <v>-0.39</v>
      </c>
      <c r="E681">
        <v>-0.73</v>
      </c>
      <c r="F681">
        <v>-1.65</v>
      </c>
      <c r="G681">
        <v>0.21</v>
      </c>
      <c r="I681">
        <v>-8.6199999999999992</v>
      </c>
    </row>
    <row r="682" spans="1:9" x14ac:dyDescent="0.3">
      <c r="A682">
        <v>201902</v>
      </c>
      <c r="B682">
        <v>3.42</v>
      </c>
      <c r="C682">
        <v>1.72</v>
      </c>
      <c r="D682">
        <v>-2.66</v>
      </c>
      <c r="E682">
        <v>0.16</v>
      </c>
      <c r="F682">
        <v>-1.54</v>
      </c>
      <c r="G682">
        <v>0.18</v>
      </c>
      <c r="I682">
        <v>0.5</v>
      </c>
    </row>
    <row r="683" spans="1:9" x14ac:dyDescent="0.3">
      <c r="A683">
        <v>201903</v>
      </c>
      <c r="B683">
        <v>1.1000000000000001</v>
      </c>
      <c r="C683">
        <v>-3.52</v>
      </c>
      <c r="D683">
        <v>-4.1399999999999997</v>
      </c>
      <c r="E683">
        <v>0.88</v>
      </c>
      <c r="F683">
        <v>-0.9</v>
      </c>
      <c r="G683">
        <v>0.19</v>
      </c>
      <c r="I683">
        <v>2.2400000000000002</v>
      </c>
    </row>
    <row r="684" spans="1:9" x14ac:dyDescent="0.3">
      <c r="A684">
        <v>201904</v>
      </c>
      <c r="B684">
        <v>3.97</v>
      </c>
      <c r="C684">
        <v>-1.1499999999999999</v>
      </c>
      <c r="D684">
        <v>2.13</v>
      </c>
      <c r="E684">
        <v>1.61</v>
      </c>
      <c r="F684">
        <v>-2.1800000000000002</v>
      </c>
      <c r="G684">
        <v>0.21</v>
      </c>
      <c r="I684">
        <v>-2.91</v>
      </c>
    </row>
    <row r="685" spans="1:9" x14ac:dyDescent="0.3">
      <c r="A685">
        <v>201905</v>
      </c>
      <c r="B685">
        <v>-6.92</v>
      </c>
      <c r="C685">
        <v>-1.56</v>
      </c>
      <c r="D685">
        <v>-2.4500000000000002</v>
      </c>
      <c r="E685">
        <v>-0.48</v>
      </c>
      <c r="F685">
        <v>1.76</v>
      </c>
      <c r="G685">
        <v>0.21</v>
      </c>
      <c r="I685">
        <v>7.55</v>
      </c>
    </row>
    <row r="686" spans="1:9" x14ac:dyDescent="0.3">
      <c r="A686">
        <v>201906</v>
      </c>
      <c r="B686">
        <v>6.92</v>
      </c>
      <c r="C686">
        <v>0.37</v>
      </c>
      <c r="D686">
        <v>-0.64</v>
      </c>
      <c r="E686">
        <v>0.89</v>
      </c>
      <c r="F686">
        <v>-0.42</v>
      </c>
      <c r="G686">
        <v>0.18</v>
      </c>
      <c r="I686">
        <v>-2.2400000000000002</v>
      </c>
    </row>
    <row r="687" spans="1:9" x14ac:dyDescent="0.3">
      <c r="A687">
        <v>201907</v>
      </c>
      <c r="B687">
        <v>1.22</v>
      </c>
      <c r="C687">
        <v>-1.82</v>
      </c>
      <c r="D687">
        <v>0.5</v>
      </c>
      <c r="E687">
        <v>-0.13</v>
      </c>
      <c r="F687">
        <v>0.37</v>
      </c>
      <c r="G687">
        <v>0.19</v>
      </c>
      <c r="I687">
        <v>2.92</v>
      </c>
    </row>
    <row r="688" spans="1:9" x14ac:dyDescent="0.3">
      <c r="A688">
        <v>201908</v>
      </c>
      <c r="B688">
        <v>-2.5499999999999998</v>
      </c>
      <c r="C688">
        <v>-3.25</v>
      </c>
      <c r="D688">
        <v>-4.7699999999999996</v>
      </c>
      <c r="E688">
        <v>0.53</v>
      </c>
      <c r="F688">
        <v>-0.62</v>
      </c>
      <c r="G688">
        <v>0.16</v>
      </c>
      <c r="I688">
        <v>7.51</v>
      </c>
    </row>
    <row r="689" spans="1:9" x14ac:dyDescent="0.3">
      <c r="A689">
        <v>201909</v>
      </c>
      <c r="B689">
        <v>1.42</v>
      </c>
      <c r="C689">
        <v>0.28999999999999998</v>
      </c>
      <c r="D689">
        <v>6.76</v>
      </c>
      <c r="E689">
        <v>1.82</v>
      </c>
      <c r="F689">
        <v>3.38</v>
      </c>
      <c r="G689">
        <v>0.18</v>
      </c>
      <c r="I689">
        <v>-6.74</v>
      </c>
    </row>
    <row r="690" spans="1:9" x14ac:dyDescent="0.3">
      <c r="A690">
        <v>201910</v>
      </c>
      <c r="B690">
        <v>2.0699999999999998</v>
      </c>
      <c r="C690">
        <v>0.25</v>
      </c>
      <c r="D690">
        <v>-1.92</v>
      </c>
      <c r="E690">
        <v>0.43</v>
      </c>
      <c r="F690">
        <v>-1.03</v>
      </c>
      <c r="G690">
        <v>0.15</v>
      </c>
      <c r="I690">
        <v>0.13</v>
      </c>
    </row>
    <row r="691" spans="1:9" x14ac:dyDescent="0.3">
      <c r="A691">
        <v>201911</v>
      </c>
      <c r="B691">
        <v>3.87</v>
      </c>
      <c r="C691">
        <v>0.39</v>
      </c>
      <c r="D691">
        <v>-2</v>
      </c>
      <c r="E691">
        <v>-1.64</v>
      </c>
      <c r="F691">
        <v>-1.1399999999999999</v>
      </c>
      <c r="G691">
        <v>0.12</v>
      </c>
      <c r="I691">
        <v>-2.54</v>
      </c>
    </row>
    <row r="692" spans="1:9" x14ac:dyDescent="0.3">
      <c r="A692">
        <v>201912</v>
      </c>
      <c r="B692">
        <v>2.76</v>
      </c>
      <c r="C692">
        <v>0.99</v>
      </c>
      <c r="D692">
        <v>1.73</v>
      </c>
      <c r="E692">
        <v>0.05</v>
      </c>
      <c r="F692">
        <v>1.19</v>
      </c>
      <c r="G692">
        <v>0.14000000000000001</v>
      </c>
      <c r="I692">
        <v>-2.2200000000000002</v>
      </c>
    </row>
    <row r="693" spans="1:9" x14ac:dyDescent="0.3">
      <c r="A693">
        <v>202001</v>
      </c>
      <c r="B693">
        <v>-0.09</v>
      </c>
      <c r="C693">
        <v>-4.37</v>
      </c>
      <c r="D693">
        <v>-6.22</v>
      </c>
      <c r="E693">
        <v>-1.19</v>
      </c>
      <c r="F693">
        <v>-2.19</v>
      </c>
      <c r="G693">
        <v>0.13</v>
      </c>
      <c r="I693">
        <v>6.02</v>
      </c>
    </row>
    <row r="694" spans="1:9" x14ac:dyDescent="0.3">
      <c r="A694">
        <v>202002</v>
      </c>
      <c r="B694">
        <v>-8.15</v>
      </c>
      <c r="C694">
        <v>0.08</v>
      </c>
      <c r="D694">
        <v>-3.82</v>
      </c>
      <c r="E694">
        <v>-1.43</v>
      </c>
      <c r="F694">
        <v>-2.5299999999999998</v>
      </c>
      <c r="G694">
        <v>0.12</v>
      </c>
      <c r="I694">
        <v>-0.28000000000000003</v>
      </c>
    </row>
    <row r="695" spans="1:9" x14ac:dyDescent="0.3">
      <c r="A695">
        <v>202003</v>
      </c>
      <c r="B695">
        <v>-13.35</v>
      </c>
      <c r="C695">
        <v>-8.18</v>
      </c>
      <c r="D695">
        <v>-13.83</v>
      </c>
      <c r="E695">
        <v>-1.61</v>
      </c>
      <c r="F695">
        <v>1.19</v>
      </c>
      <c r="G695">
        <v>0.12</v>
      </c>
      <c r="I695">
        <v>8.2100000000000009</v>
      </c>
    </row>
    <row r="696" spans="1:9" x14ac:dyDescent="0.3">
      <c r="A696">
        <v>202004</v>
      </c>
      <c r="B696">
        <v>13.58</v>
      </c>
      <c r="C696">
        <v>2.57</v>
      </c>
      <c r="D696">
        <v>-1.34</v>
      </c>
      <c r="E696">
        <v>2.76</v>
      </c>
      <c r="F696">
        <v>-1.02</v>
      </c>
      <c r="G696">
        <v>0</v>
      </c>
      <c r="I696">
        <v>-5.48</v>
      </c>
    </row>
    <row r="697" spans="1:9" x14ac:dyDescent="0.3">
      <c r="A697">
        <v>202005</v>
      </c>
      <c r="B697">
        <v>5.59</v>
      </c>
      <c r="C697">
        <v>1.92</v>
      </c>
      <c r="D697">
        <v>-5</v>
      </c>
      <c r="E697">
        <v>0.96</v>
      </c>
      <c r="F697">
        <v>-3.16</v>
      </c>
      <c r="G697">
        <v>0.01</v>
      </c>
      <c r="I697">
        <v>0.16</v>
      </c>
    </row>
    <row r="698" spans="1:9" x14ac:dyDescent="0.3">
      <c r="A698">
        <v>202006</v>
      </c>
      <c r="B698">
        <v>2.44</v>
      </c>
      <c r="C698">
        <v>1.95</v>
      </c>
      <c r="D698">
        <v>-2.17</v>
      </c>
      <c r="E698">
        <v>0.14000000000000001</v>
      </c>
      <c r="F698">
        <v>0.55000000000000004</v>
      </c>
      <c r="G698">
        <v>0.01</v>
      </c>
      <c r="I698">
        <v>-0.83</v>
      </c>
    </row>
    <row r="699" spans="1:9" x14ac:dyDescent="0.3">
      <c r="A699">
        <v>202007</v>
      </c>
      <c r="B699">
        <v>5.83</v>
      </c>
      <c r="C699">
        <v>-3.19</v>
      </c>
      <c r="D699">
        <v>-1.44</v>
      </c>
      <c r="E699">
        <v>0.38</v>
      </c>
      <c r="F699">
        <v>0.97</v>
      </c>
      <c r="G699">
        <v>0.01</v>
      </c>
      <c r="I699">
        <v>7.71</v>
      </c>
    </row>
    <row r="700" spans="1:9" x14ac:dyDescent="0.3">
      <c r="A700">
        <v>202008</v>
      </c>
      <c r="B700">
        <v>7.62</v>
      </c>
      <c r="C700">
        <v>-0.89</v>
      </c>
      <c r="D700">
        <v>-3.02</v>
      </c>
      <c r="E700">
        <v>4.2699999999999996</v>
      </c>
      <c r="F700">
        <v>-1.51</v>
      </c>
      <c r="G700">
        <v>0.01</v>
      </c>
      <c r="I700">
        <v>0.46</v>
      </c>
    </row>
    <row r="701" spans="1:9" x14ac:dyDescent="0.3">
      <c r="A701">
        <v>202009</v>
      </c>
      <c r="B701">
        <v>-3.64</v>
      </c>
      <c r="C701">
        <v>-0.01</v>
      </c>
      <c r="D701">
        <v>-2.72</v>
      </c>
      <c r="E701">
        <v>-1.38</v>
      </c>
      <c r="F701">
        <v>-1.93</v>
      </c>
      <c r="G701">
        <v>0.01</v>
      </c>
      <c r="I701">
        <v>3.19</v>
      </c>
    </row>
    <row r="702" spans="1:9" x14ac:dyDescent="0.3">
      <c r="A702">
        <v>202010</v>
      </c>
      <c r="B702">
        <v>-2.08</v>
      </c>
      <c r="C702">
        <v>4.67</v>
      </c>
      <c r="D702">
        <v>4.25</v>
      </c>
      <c r="E702">
        <v>-0.77</v>
      </c>
      <c r="F702">
        <v>-0.56999999999999995</v>
      </c>
      <c r="G702">
        <v>0.01</v>
      </c>
      <c r="I702">
        <v>-3.14</v>
      </c>
    </row>
    <row r="703" spans="1:9" x14ac:dyDescent="0.3">
      <c r="A703">
        <v>202011</v>
      </c>
      <c r="B703">
        <v>12.44</v>
      </c>
      <c r="C703">
        <v>7.12</v>
      </c>
      <c r="D703">
        <v>2.09</v>
      </c>
      <c r="E703">
        <v>-2.25</v>
      </c>
      <c r="F703">
        <v>1.28</v>
      </c>
      <c r="G703">
        <v>0.01</v>
      </c>
      <c r="I703">
        <v>-12.55</v>
      </c>
    </row>
    <row r="704" spans="1:9" x14ac:dyDescent="0.3">
      <c r="A704">
        <v>202012</v>
      </c>
      <c r="B704">
        <v>4.63</v>
      </c>
      <c r="C704">
        <v>4.93</v>
      </c>
      <c r="D704">
        <v>-1.68</v>
      </c>
      <c r="E704">
        <v>-1.97</v>
      </c>
      <c r="F704">
        <v>-0.06</v>
      </c>
      <c r="G704">
        <v>0.01</v>
      </c>
      <c r="I704">
        <v>-2.37</v>
      </c>
    </row>
    <row r="705" spans="1:9" x14ac:dyDescent="0.3">
      <c r="A705">
        <v>202101</v>
      </c>
      <c r="B705">
        <v>-7.0000000000000007E-2</v>
      </c>
      <c r="C705">
        <v>6.81</v>
      </c>
      <c r="D705">
        <v>3.22</v>
      </c>
      <c r="E705">
        <v>-3.65</v>
      </c>
      <c r="F705">
        <v>4.97</v>
      </c>
      <c r="G705">
        <v>0</v>
      </c>
      <c r="I705">
        <v>4.3099999999999996</v>
      </c>
    </row>
    <row r="706" spans="1:9" x14ac:dyDescent="0.3">
      <c r="A706">
        <v>202102</v>
      </c>
      <c r="B706">
        <v>2.81</v>
      </c>
      <c r="C706">
        <v>4.5</v>
      </c>
      <c r="D706">
        <v>7.2</v>
      </c>
      <c r="E706">
        <v>0.33</v>
      </c>
      <c r="F706">
        <v>-1.99</v>
      </c>
      <c r="G706">
        <v>0</v>
      </c>
      <c r="I706">
        <v>-7.9</v>
      </c>
    </row>
    <row r="707" spans="1:9" x14ac:dyDescent="0.3">
      <c r="A707">
        <v>202103</v>
      </c>
      <c r="B707">
        <v>3.16</v>
      </c>
      <c r="C707">
        <v>-0.84</v>
      </c>
      <c r="D707">
        <v>7.35</v>
      </c>
      <c r="E707">
        <v>6.35</v>
      </c>
      <c r="F707">
        <v>3.52</v>
      </c>
      <c r="G707">
        <v>0</v>
      </c>
      <c r="I707">
        <v>-6.12</v>
      </c>
    </row>
    <row r="708" spans="1:9" x14ac:dyDescent="0.3">
      <c r="A708">
        <v>202104</v>
      </c>
      <c r="B708">
        <v>4.97</v>
      </c>
      <c r="C708">
        <v>-3.16</v>
      </c>
      <c r="D708">
        <v>-1.02</v>
      </c>
      <c r="E708">
        <v>2.4300000000000002</v>
      </c>
      <c r="F708">
        <v>-2.72</v>
      </c>
      <c r="G708">
        <v>0</v>
      </c>
      <c r="I708">
        <v>1.23</v>
      </c>
    </row>
    <row r="709" spans="1:9" x14ac:dyDescent="0.3">
      <c r="A709">
        <v>202105</v>
      </c>
      <c r="B709">
        <v>0.28999999999999998</v>
      </c>
      <c r="C709">
        <v>1.27</v>
      </c>
      <c r="D709">
        <v>7.04</v>
      </c>
      <c r="E709">
        <v>2.34</v>
      </c>
      <c r="F709">
        <v>3.01</v>
      </c>
      <c r="G709">
        <v>0</v>
      </c>
      <c r="I709">
        <v>0.56000000000000005</v>
      </c>
    </row>
    <row r="710" spans="1:9" x14ac:dyDescent="0.3">
      <c r="A710">
        <v>202106</v>
      </c>
      <c r="B710">
        <v>2.73</v>
      </c>
      <c r="C710">
        <v>-0.3</v>
      </c>
      <c r="D710">
        <v>-7.86</v>
      </c>
      <c r="E710">
        <v>-2.14</v>
      </c>
      <c r="F710">
        <v>-0.93</v>
      </c>
      <c r="G710">
        <v>0</v>
      </c>
      <c r="I710">
        <v>2.0699999999999998</v>
      </c>
    </row>
    <row r="711" spans="1:9" x14ac:dyDescent="0.3">
      <c r="A711">
        <v>202107</v>
      </c>
      <c r="B711">
        <v>1.34</v>
      </c>
      <c r="C711">
        <v>-4.55</v>
      </c>
      <c r="D711">
        <v>-1.79</v>
      </c>
      <c r="E711">
        <v>5.5</v>
      </c>
      <c r="F711">
        <v>-0.59</v>
      </c>
      <c r="G711">
        <v>0</v>
      </c>
      <c r="I711">
        <v>-2.1800000000000002</v>
      </c>
    </row>
    <row r="712" spans="1:9" x14ac:dyDescent="0.3">
      <c r="A712">
        <v>202108</v>
      </c>
      <c r="B712">
        <v>2.95</v>
      </c>
      <c r="C712">
        <v>-0.66</v>
      </c>
      <c r="D712">
        <v>-0.23</v>
      </c>
      <c r="E712">
        <v>-0.26</v>
      </c>
      <c r="F712">
        <v>-1.72</v>
      </c>
      <c r="G712">
        <v>0</v>
      </c>
      <c r="I712">
        <v>2.63</v>
      </c>
    </row>
    <row r="713" spans="1:9" x14ac:dyDescent="0.3">
      <c r="A713">
        <v>202109</v>
      </c>
      <c r="B713">
        <v>-4.4000000000000004</v>
      </c>
      <c r="C713">
        <v>1.1200000000000001</v>
      </c>
      <c r="D713">
        <v>5.12</v>
      </c>
      <c r="E713">
        <v>-1.92</v>
      </c>
      <c r="F713">
        <v>2</v>
      </c>
      <c r="G713">
        <v>0</v>
      </c>
      <c r="I713">
        <v>1.39</v>
      </c>
    </row>
    <row r="714" spans="1:9" x14ac:dyDescent="0.3">
      <c r="A714">
        <v>202110</v>
      </c>
      <c r="B714">
        <v>6.63</v>
      </c>
      <c r="C714">
        <v>-2.7</v>
      </c>
      <c r="D714">
        <v>-0.53</v>
      </c>
      <c r="E714">
        <v>1.71</v>
      </c>
      <c r="F714">
        <v>-1.54</v>
      </c>
      <c r="G714">
        <v>0</v>
      </c>
      <c r="I714">
        <v>3.32</v>
      </c>
    </row>
    <row r="715" spans="1:9" x14ac:dyDescent="0.3">
      <c r="A715">
        <v>202111</v>
      </c>
      <c r="B715">
        <v>-1.58</v>
      </c>
      <c r="C715">
        <v>-1.7</v>
      </c>
      <c r="D715">
        <v>-0.37</v>
      </c>
      <c r="E715">
        <v>7.19</v>
      </c>
      <c r="F715">
        <v>1.7</v>
      </c>
      <c r="G715">
        <v>0</v>
      </c>
      <c r="I715">
        <v>0.96</v>
      </c>
    </row>
    <row r="716" spans="1:9" x14ac:dyDescent="0.3">
      <c r="A716">
        <v>202112</v>
      </c>
      <c r="B716">
        <v>3.24</v>
      </c>
      <c r="C716">
        <v>-0.78</v>
      </c>
      <c r="D716">
        <v>3.25</v>
      </c>
      <c r="E716">
        <v>4.88</v>
      </c>
      <c r="F716">
        <v>4.29</v>
      </c>
      <c r="G716">
        <v>0.01</v>
      </c>
      <c r="I716">
        <v>-2.39</v>
      </c>
    </row>
    <row r="717" spans="1:9" x14ac:dyDescent="0.3">
      <c r="A717">
        <v>202201</v>
      </c>
      <c r="B717">
        <v>-6.15</v>
      </c>
      <c r="C717">
        <v>-4.01</v>
      </c>
      <c r="D717">
        <v>12.86</v>
      </c>
      <c r="E717">
        <v>0.77</v>
      </c>
      <c r="F717">
        <v>7.73</v>
      </c>
      <c r="G717">
        <v>0</v>
      </c>
      <c r="I717">
        <v>-2.42</v>
      </c>
    </row>
    <row r="718" spans="1:9" x14ac:dyDescent="0.3">
      <c r="A718">
        <v>202202</v>
      </c>
      <c r="B718">
        <v>-2.2799999999999998</v>
      </c>
      <c r="C718">
        <v>2.86</v>
      </c>
      <c r="D718">
        <v>3.06</v>
      </c>
      <c r="E718">
        <v>-2.0299999999999998</v>
      </c>
      <c r="F718">
        <v>3.03</v>
      </c>
      <c r="G718">
        <v>0</v>
      </c>
      <c r="I718">
        <v>1.66</v>
      </c>
    </row>
    <row r="719" spans="1:9" x14ac:dyDescent="0.3">
      <c r="A719">
        <v>202203</v>
      </c>
      <c r="B719">
        <v>3.08</v>
      </c>
      <c r="C719">
        <v>-2.11</v>
      </c>
      <c r="D719">
        <v>-1.9</v>
      </c>
      <c r="E719">
        <v>-1.5</v>
      </c>
      <c r="F719">
        <v>3.21</v>
      </c>
      <c r="G719">
        <v>0</v>
      </c>
      <c r="I719">
        <v>2.94</v>
      </c>
    </row>
    <row r="720" spans="1:9" x14ac:dyDescent="0.3">
      <c r="A720">
        <v>202204</v>
      </c>
      <c r="B720">
        <v>-9.41</v>
      </c>
      <c r="C720">
        <v>-0.35</v>
      </c>
      <c r="D720">
        <v>6.18</v>
      </c>
      <c r="E720">
        <v>3.41</v>
      </c>
      <c r="F720">
        <v>5.92</v>
      </c>
      <c r="G720">
        <v>0</v>
      </c>
      <c r="I720">
        <v>5</v>
      </c>
    </row>
    <row r="721" spans="1:9" x14ac:dyDescent="0.3">
      <c r="A721">
        <v>202205</v>
      </c>
      <c r="B721">
        <v>-0.33</v>
      </c>
      <c r="C721">
        <v>-0.03</v>
      </c>
      <c r="D721">
        <v>8.44</v>
      </c>
      <c r="E721">
        <v>1.55</v>
      </c>
      <c r="F721">
        <v>3.95</v>
      </c>
      <c r="G721">
        <v>0.03</v>
      </c>
      <c r="I721">
        <v>2.54</v>
      </c>
    </row>
    <row r="722" spans="1:9" x14ac:dyDescent="0.3">
      <c r="A722">
        <v>202206</v>
      </c>
      <c r="B722">
        <v>-8.4</v>
      </c>
      <c r="C722">
        <v>1.33</v>
      </c>
      <c r="D722">
        <v>-6</v>
      </c>
      <c r="E722">
        <v>1.76</v>
      </c>
      <c r="F722">
        <v>-4.58</v>
      </c>
      <c r="G722">
        <v>0.06</v>
      </c>
      <c r="I722">
        <v>1.0900000000000001</v>
      </c>
    </row>
    <row r="723" spans="1:9" x14ac:dyDescent="0.3">
      <c r="A723">
        <v>202207</v>
      </c>
      <c r="B723">
        <v>9.57</v>
      </c>
      <c r="C723">
        <v>1.78</v>
      </c>
      <c r="D723">
        <v>-4.1500000000000004</v>
      </c>
      <c r="E723">
        <v>0.77</v>
      </c>
      <c r="F723">
        <v>-6.85</v>
      </c>
      <c r="G723">
        <v>0.08</v>
      </c>
      <c r="I723">
        <v>-4.3600000000000003</v>
      </c>
    </row>
    <row r="724" spans="1:9" x14ac:dyDescent="0.3">
      <c r="A724">
        <v>202208</v>
      </c>
      <c r="B724">
        <v>-3.77</v>
      </c>
      <c r="C724">
        <v>1.49</v>
      </c>
      <c r="D724">
        <v>0.18</v>
      </c>
      <c r="E724">
        <v>-4.78</v>
      </c>
      <c r="F724">
        <v>1.32</v>
      </c>
      <c r="G724">
        <v>0.19</v>
      </c>
      <c r="I724">
        <v>1.85</v>
      </c>
    </row>
    <row r="725" spans="1:9" x14ac:dyDescent="0.3">
      <c r="A725">
        <v>202209</v>
      </c>
      <c r="B725">
        <v>-9.34</v>
      </c>
      <c r="C725">
        <v>-0.97</v>
      </c>
      <c r="D725">
        <v>0.03</v>
      </c>
      <c r="E725">
        <v>-1.37</v>
      </c>
      <c r="F725">
        <v>-0.77</v>
      </c>
      <c r="G725">
        <v>0.19</v>
      </c>
      <c r="I725">
        <v>3.67</v>
      </c>
    </row>
    <row r="726" spans="1:9" x14ac:dyDescent="0.3">
      <c r="A726">
        <v>202210</v>
      </c>
      <c r="B726">
        <v>7.86</v>
      </c>
      <c r="C726">
        <v>1.81</v>
      </c>
      <c r="D726">
        <v>7.97</v>
      </c>
      <c r="E726">
        <v>3.27</v>
      </c>
      <c r="F726">
        <v>6.43</v>
      </c>
      <c r="G726">
        <v>0.23</v>
      </c>
      <c r="I726">
        <v>3.9</v>
      </c>
    </row>
    <row r="727" spans="1:9" x14ac:dyDescent="0.3">
      <c r="A727">
        <v>202211</v>
      </c>
      <c r="B727">
        <v>4.6900000000000004</v>
      </c>
      <c r="C727">
        <v>-2.75</v>
      </c>
      <c r="D727">
        <v>1.48</v>
      </c>
      <c r="E727">
        <v>6.3</v>
      </c>
      <c r="F727">
        <v>3.15</v>
      </c>
      <c r="G727">
        <v>0.28999999999999998</v>
      </c>
      <c r="I727">
        <v>-1.7</v>
      </c>
    </row>
    <row r="728" spans="1:9" x14ac:dyDescent="0.3">
      <c r="A728">
        <v>202212</v>
      </c>
      <c r="B728">
        <v>-6.38</v>
      </c>
      <c r="C728">
        <v>-0.19</v>
      </c>
      <c r="D728">
        <v>1.34</v>
      </c>
      <c r="E728">
        <v>0.32</v>
      </c>
      <c r="F728">
        <v>4.28</v>
      </c>
      <c r="G728">
        <v>0.33</v>
      </c>
      <c r="I728">
        <v>4.91</v>
      </c>
    </row>
    <row r="729" spans="1:9" x14ac:dyDescent="0.3">
      <c r="A729">
        <v>202301</v>
      </c>
      <c r="B729">
        <v>6.59</v>
      </c>
      <c r="C729">
        <v>4.3899999999999997</v>
      </c>
      <c r="D729">
        <v>-3.94</v>
      </c>
      <c r="E729">
        <v>-2.42</v>
      </c>
      <c r="F729">
        <v>-4.43</v>
      </c>
      <c r="G729">
        <v>0.35</v>
      </c>
      <c r="I729">
        <v>-16.170000000000002</v>
      </c>
    </row>
    <row r="730" spans="1:9" x14ac:dyDescent="0.3">
      <c r="A730">
        <v>202302</v>
      </c>
      <c r="B730">
        <v>-2.57</v>
      </c>
      <c r="C730">
        <v>0.57999999999999996</v>
      </c>
      <c r="D730">
        <v>-0.8</v>
      </c>
      <c r="E730">
        <v>0.97</v>
      </c>
      <c r="F730">
        <v>-1.51</v>
      </c>
      <c r="G730">
        <v>0.34</v>
      </c>
      <c r="I730">
        <v>0.55000000000000004</v>
      </c>
    </row>
    <row r="731" spans="1:9" x14ac:dyDescent="0.3">
      <c r="A731">
        <v>202303</v>
      </c>
      <c r="B731">
        <v>2.4900000000000002</v>
      </c>
      <c r="C731">
        <v>-6.89</v>
      </c>
      <c r="D731">
        <v>-9.0500000000000007</v>
      </c>
      <c r="E731">
        <v>2.27</v>
      </c>
      <c r="F731">
        <v>-2.1</v>
      </c>
      <c r="G731">
        <v>0.36</v>
      </c>
      <c r="I731">
        <v>-2.35</v>
      </c>
    </row>
    <row r="732" spans="1:9" x14ac:dyDescent="0.3">
      <c r="A732">
        <v>202304</v>
      </c>
      <c r="B732">
        <v>0.63</v>
      </c>
      <c r="C732">
        <v>-2.57</v>
      </c>
      <c r="D732">
        <v>-0.12</v>
      </c>
      <c r="E732">
        <v>2.42</v>
      </c>
      <c r="F732">
        <v>2.85</v>
      </c>
      <c r="G732">
        <v>0.35</v>
      </c>
      <c r="I732">
        <v>1.76</v>
      </c>
    </row>
    <row r="733" spans="1:9" x14ac:dyDescent="0.3">
      <c r="A733">
        <v>202305</v>
      </c>
      <c r="B733">
        <v>0.33</v>
      </c>
      <c r="C733">
        <v>-0.43</v>
      </c>
      <c r="D733">
        <v>-7.79</v>
      </c>
      <c r="E733">
        <v>-1.78</v>
      </c>
      <c r="F733">
        <v>-7.08</v>
      </c>
      <c r="G733">
        <v>0.36</v>
      </c>
      <c r="I733">
        <v>-0.88</v>
      </c>
    </row>
    <row r="734" spans="1:9" x14ac:dyDescent="0.3">
      <c r="A734">
        <v>202306</v>
      </c>
      <c r="B734">
        <v>6.46</v>
      </c>
      <c r="C734">
        <v>1.28</v>
      </c>
      <c r="D734">
        <v>-0.13</v>
      </c>
      <c r="E734">
        <v>2.3199999999999998</v>
      </c>
      <c r="F734">
        <v>-1.54</v>
      </c>
      <c r="G734">
        <v>0.4</v>
      </c>
      <c r="I734">
        <v>-2.69</v>
      </c>
    </row>
    <row r="735" spans="1:9" x14ac:dyDescent="0.3">
      <c r="A735">
        <v>202307</v>
      </c>
      <c r="B735">
        <v>3.21</v>
      </c>
      <c r="C735">
        <v>2.86</v>
      </c>
      <c r="D735">
        <v>4.0599999999999996</v>
      </c>
      <c r="E735">
        <v>-0.59</v>
      </c>
      <c r="F735">
        <v>0.66</v>
      </c>
      <c r="G735">
        <v>0.45</v>
      </c>
      <c r="I735">
        <v>-4.0599999999999996</v>
      </c>
    </row>
    <row r="736" spans="1:9" x14ac:dyDescent="0.3">
      <c r="A736">
        <v>202308</v>
      </c>
      <c r="B736">
        <v>-2.36</v>
      </c>
      <c r="C736">
        <v>-3.65</v>
      </c>
      <c r="D736">
        <v>-1.1499999999999999</v>
      </c>
      <c r="E736">
        <v>3.35</v>
      </c>
      <c r="F736">
        <v>-2.41</v>
      </c>
      <c r="G736">
        <v>0.45</v>
      </c>
      <c r="I736">
        <v>3.78</v>
      </c>
    </row>
    <row r="737" spans="1:9" x14ac:dyDescent="0.3">
      <c r="A737">
        <v>202309</v>
      </c>
      <c r="B737">
        <v>-5.23</v>
      </c>
      <c r="C737">
        <v>-1.78</v>
      </c>
      <c r="D737">
        <v>1.49</v>
      </c>
      <c r="E737">
        <v>1.87</v>
      </c>
      <c r="F737">
        <v>-0.77</v>
      </c>
      <c r="G737">
        <v>0.43</v>
      </c>
      <c r="I737">
        <v>0.33</v>
      </c>
    </row>
    <row r="738" spans="1:9" x14ac:dyDescent="0.3">
      <c r="A738">
        <v>202310</v>
      </c>
      <c r="B738">
        <v>-3.15</v>
      </c>
      <c r="C738">
        <v>-4.03</v>
      </c>
      <c r="D738">
        <v>0.2</v>
      </c>
      <c r="E738">
        <v>2.41</v>
      </c>
      <c r="F738">
        <v>-0.69</v>
      </c>
      <c r="G738">
        <v>0.47</v>
      </c>
      <c r="I738">
        <v>1.67</v>
      </c>
    </row>
    <row r="739" spans="1:9" x14ac:dyDescent="0.3">
      <c r="A739">
        <v>202311</v>
      </c>
      <c r="B739">
        <v>8.8800000000000008</v>
      </c>
      <c r="C739">
        <v>-0.2</v>
      </c>
      <c r="D739">
        <v>1.67</v>
      </c>
      <c r="E739">
        <v>-3.73</v>
      </c>
      <c r="F739">
        <v>-1.08</v>
      </c>
      <c r="G739">
        <v>0.44</v>
      </c>
      <c r="I739">
        <v>2.56</v>
      </c>
    </row>
    <row r="740" spans="1:9" x14ac:dyDescent="0.3">
      <c r="A740">
        <v>202312</v>
      </c>
      <c r="B740">
        <v>4.8600000000000003</v>
      </c>
      <c r="C740">
        <v>7.27</v>
      </c>
      <c r="D740">
        <v>4.8899999999999997</v>
      </c>
      <c r="E740">
        <v>-2.97</v>
      </c>
      <c r="F740">
        <v>1.29</v>
      </c>
      <c r="G740">
        <v>0.43</v>
      </c>
      <c r="I740">
        <v>-5.53</v>
      </c>
    </row>
    <row r="741" spans="1:9" x14ac:dyDescent="0.3">
      <c r="A741">
        <v>202401</v>
      </c>
      <c r="B741">
        <v>0.73</v>
      </c>
      <c r="C741">
        <v>-5.72</v>
      </c>
      <c r="D741">
        <v>-2.38</v>
      </c>
      <c r="E741">
        <v>0.67</v>
      </c>
      <c r="F741">
        <v>-0.97</v>
      </c>
      <c r="G741">
        <v>0.47</v>
      </c>
      <c r="I741">
        <v>5.42</v>
      </c>
    </row>
    <row r="742" spans="1:9" x14ac:dyDescent="0.3">
      <c r="A742">
        <v>202402</v>
      </c>
      <c r="B742">
        <v>5.07</v>
      </c>
      <c r="C742">
        <v>-0.82</v>
      </c>
      <c r="D742">
        <v>-3.43</v>
      </c>
      <c r="E742">
        <v>-2.06</v>
      </c>
      <c r="F742">
        <v>-2.17</v>
      </c>
      <c r="G742">
        <v>0.42</v>
      </c>
      <c r="I742">
        <v>4.9000000000000004</v>
      </c>
    </row>
    <row r="743" spans="1:9" x14ac:dyDescent="0.3">
      <c r="A743">
        <v>202403</v>
      </c>
      <c r="B743">
        <v>2.84</v>
      </c>
      <c r="C743">
        <v>-1.21</v>
      </c>
      <c r="D743">
        <v>4.16</v>
      </c>
      <c r="E743">
        <v>1.33</v>
      </c>
      <c r="F743">
        <v>1.1399999999999999</v>
      </c>
      <c r="G743">
        <v>0.43</v>
      </c>
      <c r="I743">
        <v>-0.32</v>
      </c>
    </row>
    <row r="744" spans="1:9" x14ac:dyDescent="0.3">
      <c r="A744">
        <v>202404</v>
      </c>
      <c r="B744">
        <v>-4.6500000000000004</v>
      </c>
      <c r="C744">
        <v>-2.59</v>
      </c>
      <c r="D744">
        <v>-0.45</v>
      </c>
      <c r="E744">
        <v>1.1399999999999999</v>
      </c>
      <c r="F744">
        <v>-0.31</v>
      </c>
      <c r="G744">
        <v>0.47</v>
      </c>
      <c r="I744">
        <v>-0.43</v>
      </c>
    </row>
    <row r="745" spans="1:9" x14ac:dyDescent="0.3">
      <c r="A745">
        <v>202405</v>
      </c>
      <c r="B745">
        <v>4.32</v>
      </c>
      <c r="C745">
        <v>0.59</v>
      </c>
      <c r="D745">
        <v>-1.31</v>
      </c>
      <c r="E745">
        <v>3.17</v>
      </c>
      <c r="F745">
        <v>-2.85</v>
      </c>
      <c r="G745">
        <v>0.44</v>
      </c>
      <c r="I745">
        <v>-0.16</v>
      </c>
    </row>
    <row r="746" spans="1:9" x14ac:dyDescent="0.3">
      <c r="A746">
        <v>202406</v>
      </c>
      <c r="B746">
        <v>2.8</v>
      </c>
      <c r="C746">
        <v>-4.32</v>
      </c>
      <c r="D746">
        <v>-3.36</v>
      </c>
      <c r="E746">
        <v>0.56000000000000005</v>
      </c>
      <c r="F746">
        <v>-1.8</v>
      </c>
      <c r="G746">
        <v>0.41</v>
      </c>
      <c r="I746">
        <v>0.85</v>
      </c>
    </row>
    <row r="747" spans="1:9" x14ac:dyDescent="0.3">
      <c r="A747">
        <v>202407</v>
      </c>
      <c r="B747">
        <v>1.22</v>
      </c>
      <c r="C747">
        <v>8.34</v>
      </c>
      <c r="D747">
        <v>5.62</v>
      </c>
      <c r="E747">
        <v>0.26</v>
      </c>
      <c r="F747">
        <v>0.28000000000000003</v>
      </c>
      <c r="G747">
        <v>0.45</v>
      </c>
      <c r="I747">
        <v>-2.35</v>
      </c>
    </row>
    <row r="748" spans="1:9" x14ac:dyDescent="0.3">
      <c r="A748">
        <v>202408</v>
      </c>
      <c r="B748">
        <v>1.61</v>
      </c>
      <c r="C748">
        <v>-3.55</v>
      </c>
      <c r="D748">
        <v>-1.1000000000000001</v>
      </c>
      <c r="E748">
        <v>0.76</v>
      </c>
      <c r="F748">
        <v>0.82</v>
      </c>
      <c r="G748">
        <v>0.48</v>
      </c>
      <c r="I748">
        <v>4.8099999999999996</v>
      </c>
    </row>
    <row r="749" spans="1:9" x14ac:dyDescent="0.3">
      <c r="A749">
        <v>202409</v>
      </c>
      <c r="B749">
        <v>1.73</v>
      </c>
      <c r="C749">
        <v>-0.92</v>
      </c>
      <c r="D749">
        <v>-2.77</v>
      </c>
      <c r="E749">
        <v>0.2</v>
      </c>
      <c r="F749">
        <v>-0.28999999999999998</v>
      </c>
      <c r="G749">
        <v>0.4</v>
      </c>
      <c r="I749">
        <v>-0.62</v>
      </c>
    </row>
    <row r="750" spans="1:9" x14ac:dyDescent="0.3">
      <c r="A750">
        <v>202410</v>
      </c>
      <c r="B750">
        <v>-1</v>
      </c>
      <c r="C750">
        <v>-0.89</v>
      </c>
      <c r="D750">
        <v>0.86</v>
      </c>
      <c r="E750">
        <v>-1.48</v>
      </c>
      <c r="F750">
        <v>0.98</v>
      </c>
      <c r="G750">
        <v>0.39</v>
      </c>
      <c r="I750">
        <v>3</v>
      </c>
    </row>
    <row r="751" spans="1:9" x14ac:dyDescent="0.3">
      <c r="A751">
        <v>202411</v>
      </c>
      <c r="B751">
        <v>6.49</v>
      </c>
      <c r="C751">
        <v>4.59</v>
      </c>
      <c r="D751">
        <v>0.15</v>
      </c>
      <c r="E751">
        <v>-2.31</v>
      </c>
      <c r="F751">
        <v>-2.0499999999999998</v>
      </c>
      <c r="G751">
        <v>0.4</v>
      </c>
      <c r="I751">
        <v>1</v>
      </c>
    </row>
    <row r="752" spans="1:9" x14ac:dyDescent="0.3">
      <c r="A752">
        <v>202412</v>
      </c>
      <c r="B752">
        <v>-3.15</v>
      </c>
      <c r="C752">
        <v>-3.83</v>
      </c>
      <c r="D752">
        <v>-3</v>
      </c>
      <c r="E752">
        <v>1.89</v>
      </c>
      <c r="F752">
        <v>-1.21</v>
      </c>
      <c r="G752">
        <v>0.37</v>
      </c>
      <c r="I752">
        <v>-0.3</v>
      </c>
    </row>
    <row r="753" spans="1:9" x14ac:dyDescent="0.3">
      <c r="A753">
        <v>202501</v>
      </c>
      <c r="B753">
        <v>2.8</v>
      </c>
      <c r="C753">
        <v>-1.23</v>
      </c>
      <c r="D753">
        <v>1.63</v>
      </c>
      <c r="E753">
        <v>-2.35</v>
      </c>
      <c r="F753">
        <v>-3.24</v>
      </c>
      <c r="G753">
        <v>0.37</v>
      </c>
      <c r="I753">
        <v>0.96</v>
      </c>
    </row>
    <row r="754" spans="1:9" x14ac:dyDescent="0.3">
      <c r="A754">
        <v>202502</v>
      </c>
      <c r="B754">
        <v>-2.4300000000000002</v>
      </c>
      <c r="C754">
        <v>-4.91</v>
      </c>
      <c r="D754">
        <v>4.91</v>
      </c>
      <c r="E754">
        <v>1.08</v>
      </c>
      <c r="F754">
        <v>3.06</v>
      </c>
      <c r="G754">
        <v>0.33</v>
      </c>
      <c r="I754">
        <v>-0.81</v>
      </c>
    </row>
    <row r="755" spans="1:9" x14ac:dyDescent="0.3">
      <c r="A755">
        <v>202503</v>
      </c>
      <c r="B755">
        <v>-6.39</v>
      </c>
      <c r="C755">
        <v>-1.49</v>
      </c>
      <c r="D755">
        <v>2.9</v>
      </c>
      <c r="E755">
        <v>2.11</v>
      </c>
      <c r="F755">
        <v>-0.47</v>
      </c>
      <c r="G755">
        <v>0.34</v>
      </c>
      <c r="I755">
        <v>-2.84</v>
      </c>
    </row>
    <row r="756" spans="1:9" x14ac:dyDescent="0.3">
      <c r="A756">
        <v>202504</v>
      </c>
      <c r="B756">
        <v>-0.84</v>
      </c>
      <c r="C756">
        <v>-1.86</v>
      </c>
      <c r="D756">
        <v>-3.4</v>
      </c>
      <c r="E756">
        <v>-2.85</v>
      </c>
      <c r="F756">
        <v>-2.67</v>
      </c>
      <c r="G756">
        <v>0.35</v>
      </c>
      <c r="I756">
        <v>4.97</v>
      </c>
    </row>
    <row r="757" spans="1:9" x14ac:dyDescent="0.3">
      <c r="A757">
        <v>202505</v>
      </c>
      <c r="B757">
        <v>6.06</v>
      </c>
      <c r="C757">
        <v>-0.72</v>
      </c>
      <c r="D757">
        <v>-2.88</v>
      </c>
      <c r="E757">
        <v>1.29</v>
      </c>
      <c r="F757">
        <v>2.5099999999999998</v>
      </c>
      <c r="G757">
        <v>0.38</v>
      </c>
      <c r="I757">
        <v>2.21</v>
      </c>
    </row>
    <row r="758" spans="1:9" x14ac:dyDescent="0.3">
      <c r="A758">
        <v>202506</v>
      </c>
      <c r="B758">
        <v>4.8600000000000003</v>
      </c>
      <c r="C758">
        <v>-0.02</v>
      </c>
      <c r="D758">
        <v>-1.61</v>
      </c>
      <c r="E758">
        <v>-3.2</v>
      </c>
      <c r="F758">
        <v>1.44</v>
      </c>
      <c r="G758">
        <v>0.34</v>
      </c>
      <c r="I758">
        <v>-2.64</v>
      </c>
    </row>
    <row r="759" spans="1:9" x14ac:dyDescent="0.3">
      <c r="A759">
        <v>202507</v>
      </c>
      <c r="B759">
        <v>1.98</v>
      </c>
      <c r="C759">
        <v>-0.15</v>
      </c>
      <c r="D759">
        <v>-1.27</v>
      </c>
      <c r="E759">
        <v>-0.28999999999999998</v>
      </c>
      <c r="F759">
        <v>-2.0699999999999998</v>
      </c>
      <c r="G759">
        <v>0.34</v>
      </c>
      <c r="I759">
        <v>-0.97</v>
      </c>
    </row>
    <row r="760" spans="1:9" x14ac:dyDescent="0.3">
      <c r="A760">
        <v>202508</v>
      </c>
      <c r="B760">
        <v>1.85</v>
      </c>
      <c r="C760">
        <v>4.88</v>
      </c>
      <c r="D760">
        <v>4.42</v>
      </c>
      <c r="E760">
        <v>-0.67</v>
      </c>
      <c r="F760">
        <v>2.08</v>
      </c>
      <c r="G760">
        <v>0.38</v>
      </c>
      <c r="I760">
        <v>-3.54</v>
      </c>
    </row>
    <row r="761" spans="1:9" x14ac:dyDescent="0.3">
      <c r="A761">
        <v>202509</v>
      </c>
      <c r="B761">
        <v>3.39</v>
      </c>
      <c r="C761">
        <v>-2.1800000000000002</v>
      </c>
      <c r="D761">
        <v>-1.05</v>
      </c>
      <c r="E761">
        <v>-2.0299999999999998</v>
      </c>
      <c r="F761">
        <v>-2.2200000000000002</v>
      </c>
      <c r="G761">
        <v>0.33</v>
      </c>
      <c r="I761">
        <v>4.63</v>
      </c>
    </row>
    <row r="762" spans="1:9" x14ac:dyDescent="0.3">
      <c r="A762">
        <v>202510</v>
      </c>
      <c r="B762">
        <v>1.96</v>
      </c>
      <c r="C762">
        <v>-1.31</v>
      </c>
      <c r="D762">
        <v>-3.09</v>
      </c>
      <c r="E762">
        <v>-5.22</v>
      </c>
      <c r="F762">
        <v>-4.03</v>
      </c>
      <c r="G762">
        <v>0.37</v>
      </c>
      <c r="I762">
        <v>0.28000000000000003</v>
      </c>
    </row>
    <row r="763" spans="1:9" x14ac:dyDescent="0.3">
      <c r="A763">
        <v>202511</v>
      </c>
      <c r="B763">
        <v>-0.13</v>
      </c>
      <c r="C763">
        <v>1.47</v>
      </c>
      <c r="D763">
        <v>3.76</v>
      </c>
      <c r="E763">
        <v>1.43</v>
      </c>
      <c r="F763">
        <v>0.68</v>
      </c>
      <c r="G763">
        <v>0.3</v>
      </c>
      <c r="I763">
        <v>-1.8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EU</vt:lpstr>
      <vt:lpstr>BAB</vt:lpstr>
      <vt:lpstr>Fung_Hsieh</vt:lpstr>
      <vt:lpstr>RS</vt:lpstr>
      <vt:lpstr>RI_RB</vt:lpstr>
      <vt:lpstr>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OTTAVIANI Alessio</dc:creator>
  <cp:lastModifiedBy>OTTAVIANI Alessio</cp:lastModifiedBy>
  <dcterms:created xsi:type="dcterms:W3CDTF">2026-01-12T21:06:21Z</dcterms:created>
  <dcterms:modified xsi:type="dcterms:W3CDTF">2026-02-16T15:16:27Z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preadsheetBuilder_1">
    <vt:lpwstr>eyIwIjoiSGlzdG9yeSIsIjEiOjAsIjIiOjEsIjMiOjEsIjQiOjEsIjUiOjEsIjYiOjEsIjciOjEsIjgiOjAsIjkiOjEsIjEwIjoxLCIxMSI6MCwiMTIiOjB9</vt:lpwstr>
  </property>
  <property fmtid="{D5CDD505-2E9C-101B-9397-08002B2CF9AE}" pid="3" name="SpreadsheetBuilder_2">
    <vt:lpwstr>eyIwIjoiSGlzdG9yeSIsIjEiOjAsIjIiOjEsIjMiOjEsIjQiOjEsIjUiOjEsIjYiOjEsIjciOjEsIjgiOjAsIjkiOjEsIjEwIjoxLCIxMSI6MCwiMTIiOjB9</vt:lpwstr>
  </property>
  <property fmtid="{D5CDD505-2E9C-101B-9397-08002B2CF9AE}" pid="4" name="SpreadsheetBuilder_3">
    <vt:lpwstr>eyIwIjoiSGlzdG9yeSIsIjEiOjAsIjIiOjEsIjMiOjEsIjQiOjEsIjUiOjEsIjYiOjEsIjciOjEsIjgiOjAsIjkiOjEsIjEwIjoxLCIxMSI6MCwiMTIiOjB9</vt:lpwstr>
  </property>
</Properties>
</file>